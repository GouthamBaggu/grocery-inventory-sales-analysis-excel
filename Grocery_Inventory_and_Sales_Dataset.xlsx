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ecalization\Projects\Excel Preparation\Projects\Grocery Inventory and Sales\"/>
    </mc:Choice>
  </mc:AlternateContent>
  <xr:revisionPtr revIDLastSave="0" documentId="13_ncr:1_{CDA1A085-5362-453C-B2EE-73ED8FD8B627}" xr6:coauthVersionLast="47" xr6:coauthVersionMax="47" xr10:uidLastSave="{00000000-0000-0000-0000-000000000000}"/>
  <bookViews>
    <workbookView xWindow="-108" yWindow="-108" windowWidth="23256" windowHeight="12456" activeTab="1" xr2:uid="{059BEA7D-244D-4A5A-8CB8-A13BB8DB2DE3}"/>
  </bookViews>
  <sheets>
    <sheet name="Grocery_Inventory_and_Sales_Dat" sheetId="1" r:id="rId1"/>
    <sheet name="EDA" sheetId="3" r:id="rId2"/>
    <sheet name="Graphical Representations" sheetId="2" r:id="rId3"/>
  </sheets>
  <definedNames>
    <definedName name="_xlnm._FilterDatabase" localSheetId="0" hidden="1">Grocery_Inventory_and_Sales_Dat!$E$1:$E$1009</definedName>
    <definedName name="_xlchart.v1.0" hidden="1">Grocery_Inventory_and_Sales_Dat!$W$1</definedName>
    <definedName name="_xlchart.v1.1" hidden="1">Grocery_Inventory_and_Sales_Dat!$W$2:$W$1009</definedName>
    <definedName name="_xlchart.v1.2" hidden="1">Grocery_Inventory_and_Sales_Dat!$V$1</definedName>
    <definedName name="_xlchart.v1.3" hidden="1">Grocery_Inventory_and_Sales_Dat!$V$2:$V$1009</definedName>
    <definedName name="_xlchart.v1.4" hidden="1">Grocery_Inventory_and_Sales_Dat!$W$1</definedName>
    <definedName name="_xlchart.v1.5" hidden="1">Grocery_Inventory_and_Sales_Dat!$W$2:$W$1009</definedName>
    <definedName name="_xlchart.v1.6" hidden="1">Grocery_Inventory_and_Sales_Dat!$W$1</definedName>
    <definedName name="_xlchart.v1.7" hidden="1">Grocery_Inventory_and_Sales_Dat!$W$2:$W$1009</definedName>
    <definedName name="_xlchart.v1.8" hidden="1">Grocery_Inventory_and_Sales_Dat!$M$1</definedName>
    <definedName name="_xlchart.v1.9" hidden="1">Grocery_Inventory_and_Sales_Dat!$M$2:$M$1009</definedName>
  </definedNames>
  <calcPr calcId="191029"/>
  <pivotCaches>
    <pivotCache cacheId="0" r:id="rId4"/>
    <pivotCache cacheId="10" r:id="rId5"/>
  </pivotCaches>
</workbook>
</file>

<file path=xl/calcChain.xml><?xml version="1.0" encoding="utf-8"?>
<calcChain xmlns="http://schemas.openxmlformats.org/spreadsheetml/2006/main">
  <c r="F4" i="1" l="1"/>
  <c r="F3" i="1"/>
  <c r="F2" i="1"/>
  <c r="N2" i="1"/>
  <c r="X2" i="1" s="1"/>
  <c r="AA2" i="1" s="1"/>
  <c r="N3" i="1"/>
  <c r="X3" i="1" s="1"/>
  <c r="AA3" i="1" s="1"/>
  <c r="N4" i="1"/>
  <c r="X4" i="1" s="1"/>
  <c r="AA4" i="1" s="1"/>
  <c r="N5" i="1"/>
  <c r="X5" i="1" s="1"/>
  <c r="AA5" i="1" s="1"/>
  <c r="N6" i="1"/>
  <c r="X6" i="1" s="1"/>
  <c r="AA6" i="1" s="1"/>
  <c r="N7" i="1"/>
  <c r="X7" i="1" s="1"/>
  <c r="AA7" i="1" s="1"/>
  <c r="N8" i="1"/>
  <c r="X8" i="1" s="1"/>
  <c r="AA8" i="1" s="1"/>
  <c r="N9" i="1"/>
  <c r="X9" i="1" s="1"/>
  <c r="AA9" i="1" s="1"/>
  <c r="N10" i="1"/>
  <c r="X10" i="1" s="1"/>
  <c r="AA10" i="1" s="1"/>
  <c r="N11" i="1"/>
  <c r="X11" i="1" s="1"/>
  <c r="AA11" i="1" s="1"/>
  <c r="N12" i="1"/>
  <c r="X12" i="1" s="1"/>
  <c r="AA12" i="1" s="1"/>
  <c r="N13" i="1"/>
  <c r="X13" i="1" s="1"/>
  <c r="AA13" i="1" s="1"/>
  <c r="N14" i="1"/>
  <c r="X14" i="1" s="1"/>
  <c r="AA14" i="1" s="1"/>
  <c r="N15" i="1"/>
  <c r="X15" i="1" s="1"/>
  <c r="AA15" i="1" s="1"/>
  <c r="N16" i="1"/>
  <c r="X16" i="1" s="1"/>
  <c r="AA16" i="1" s="1"/>
  <c r="N17" i="1"/>
  <c r="X17" i="1" s="1"/>
  <c r="AA17" i="1" s="1"/>
  <c r="N18" i="1"/>
  <c r="X18" i="1" s="1"/>
  <c r="AA18" i="1" s="1"/>
  <c r="N19" i="1"/>
  <c r="X19" i="1" s="1"/>
  <c r="AA19" i="1" s="1"/>
  <c r="N20" i="1"/>
  <c r="X20" i="1" s="1"/>
  <c r="AA20" i="1" s="1"/>
  <c r="N21" i="1"/>
  <c r="X21" i="1" s="1"/>
  <c r="AA21" i="1" s="1"/>
  <c r="N22" i="1"/>
  <c r="X22" i="1" s="1"/>
  <c r="AA22" i="1" s="1"/>
  <c r="N23" i="1"/>
  <c r="X23" i="1" s="1"/>
  <c r="AA23" i="1" s="1"/>
  <c r="N24" i="1"/>
  <c r="X24" i="1" s="1"/>
  <c r="AA24" i="1" s="1"/>
  <c r="N25" i="1"/>
  <c r="X25" i="1" s="1"/>
  <c r="AA25" i="1" s="1"/>
  <c r="N26" i="1"/>
  <c r="X26" i="1" s="1"/>
  <c r="AA26" i="1" s="1"/>
  <c r="N27" i="1"/>
  <c r="X27" i="1" s="1"/>
  <c r="AA27" i="1" s="1"/>
  <c r="N28" i="1"/>
  <c r="X28" i="1" s="1"/>
  <c r="AA28" i="1" s="1"/>
  <c r="N29" i="1"/>
  <c r="X29" i="1" s="1"/>
  <c r="AA29" i="1" s="1"/>
  <c r="N30" i="1"/>
  <c r="X30" i="1" s="1"/>
  <c r="AA30" i="1" s="1"/>
  <c r="N31" i="1"/>
  <c r="X31" i="1" s="1"/>
  <c r="AA31" i="1" s="1"/>
  <c r="N32" i="1"/>
  <c r="X32" i="1" s="1"/>
  <c r="AA32" i="1" s="1"/>
  <c r="N33" i="1"/>
  <c r="X33" i="1" s="1"/>
  <c r="AA33" i="1" s="1"/>
  <c r="N34" i="1"/>
  <c r="X34" i="1" s="1"/>
  <c r="AA34" i="1" s="1"/>
  <c r="N35" i="1"/>
  <c r="X35" i="1" s="1"/>
  <c r="AA35" i="1" s="1"/>
  <c r="N36" i="1"/>
  <c r="X36" i="1" s="1"/>
  <c r="AA36" i="1" s="1"/>
  <c r="N37" i="1"/>
  <c r="X37" i="1" s="1"/>
  <c r="AA37" i="1" s="1"/>
  <c r="N38" i="1"/>
  <c r="X38" i="1" s="1"/>
  <c r="AA38" i="1" s="1"/>
  <c r="N39" i="1"/>
  <c r="X39" i="1" s="1"/>
  <c r="AA39" i="1" s="1"/>
  <c r="N40" i="1"/>
  <c r="X40" i="1" s="1"/>
  <c r="AA40" i="1" s="1"/>
  <c r="N41" i="1"/>
  <c r="X41" i="1" s="1"/>
  <c r="AA41" i="1" s="1"/>
  <c r="N42" i="1"/>
  <c r="X42" i="1" s="1"/>
  <c r="AA42" i="1" s="1"/>
  <c r="N43" i="1"/>
  <c r="X43" i="1" s="1"/>
  <c r="AA43" i="1" s="1"/>
  <c r="N44" i="1"/>
  <c r="X44" i="1" s="1"/>
  <c r="AA44" i="1" s="1"/>
  <c r="N45" i="1"/>
  <c r="X45" i="1" s="1"/>
  <c r="AA45" i="1" s="1"/>
  <c r="N46" i="1"/>
  <c r="X46" i="1" s="1"/>
  <c r="AA46" i="1" s="1"/>
  <c r="N47" i="1"/>
  <c r="X47" i="1" s="1"/>
  <c r="AA47" i="1" s="1"/>
  <c r="N48" i="1"/>
  <c r="X48" i="1" s="1"/>
  <c r="AA48" i="1" s="1"/>
  <c r="N49" i="1"/>
  <c r="X49" i="1" s="1"/>
  <c r="AA49" i="1" s="1"/>
  <c r="N50" i="1"/>
  <c r="X50" i="1" s="1"/>
  <c r="AA50" i="1" s="1"/>
  <c r="N51" i="1"/>
  <c r="X51" i="1" s="1"/>
  <c r="AA51" i="1" s="1"/>
  <c r="N52" i="1"/>
  <c r="X52" i="1" s="1"/>
  <c r="AA52" i="1" s="1"/>
  <c r="N53" i="1"/>
  <c r="X53" i="1" s="1"/>
  <c r="AA53" i="1" s="1"/>
  <c r="N54" i="1"/>
  <c r="X54" i="1" s="1"/>
  <c r="AA54" i="1" s="1"/>
  <c r="N55" i="1"/>
  <c r="X55" i="1" s="1"/>
  <c r="AA55" i="1" s="1"/>
  <c r="N56" i="1"/>
  <c r="X56" i="1" s="1"/>
  <c r="AA56" i="1" s="1"/>
  <c r="N57" i="1"/>
  <c r="X57" i="1" s="1"/>
  <c r="AA57" i="1" s="1"/>
  <c r="N58" i="1"/>
  <c r="X58" i="1" s="1"/>
  <c r="AA58" i="1" s="1"/>
  <c r="N59" i="1"/>
  <c r="X59" i="1" s="1"/>
  <c r="AA59" i="1" s="1"/>
  <c r="N60" i="1"/>
  <c r="X60" i="1" s="1"/>
  <c r="AA60" i="1" s="1"/>
  <c r="N61" i="1"/>
  <c r="X61" i="1" s="1"/>
  <c r="AA61" i="1" s="1"/>
  <c r="N62" i="1"/>
  <c r="X62" i="1" s="1"/>
  <c r="AA62" i="1" s="1"/>
  <c r="N63" i="1"/>
  <c r="X63" i="1" s="1"/>
  <c r="AA63" i="1" s="1"/>
  <c r="N64" i="1"/>
  <c r="X64" i="1" s="1"/>
  <c r="AA64" i="1" s="1"/>
  <c r="N65" i="1"/>
  <c r="X65" i="1" s="1"/>
  <c r="AA65" i="1" s="1"/>
  <c r="N66" i="1"/>
  <c r="X66" i="1" s="1"/>
  <c r="AA66" i="1" s="1"/>
  <c r="N67" i="1"/>
  <c r="X67" i="1" s="1"/>
  <c r="AA67" i="1" s="1"/>
  <c r="N68" i="1"/>
  <c r="X68" i="1" s="1"/>
  <c r="AA68" i="1" s="1"/>
  <c r="N69" i="1"/>
  <c r="X69" i="1" s="1"/>
  <c r="AA69" i="1" s="1"/>
  <c r="N70" i="1"/>
  <c r="X70" i="1" s="1"/>
  <c r="AA70" i="1" s="1"/>
  <c r="N71" i="1"/>
  <c r="X71" i="1" s="1"/>
  <c r="AA71" i="1" s="1"/>
  <c r="N72" i="1"/>
  <c r="X72" i="1" s="1"/>
  <c r="AA72" i="1" s="1"/>
  <c r="N73" i="1"/>
  <c r="X73" i="1" s="1"/>
  <c r="AA73" i="1" s="1"/>
  <c r="N74" i="1"/>
  <c r="X74" i="1" s="1"/>
  <c r="AA74" i="1" s="1"/>
  <c r="N75" i="1"/>
  <c r="X75" i="1" s="1"/>
  <c r="AA75" i="1" s="1"/>
  <c r="N76" i="1"/>
  <c r="X76" i="1" s="1"/>
  <c r="AA76" i="1" s="1"/>
  <c r="N77" i="1"/>
  <c r="X77" i="1" s="1"/>
  <c r="AA77" i="1" s="1"/>
  <c r="N78" i="1"/>
  <c r="X78" i="1" s="1"/>
  <c r="AA78" i="1" s="1"/>
  <c r="N79" i="1"/>
  <c r="X79" i="1" s="1"/>
  <c r="AA79" i="1" s="1"/>
  <c r="N80" i="1"/>
  <c r="X80" i="1" s="1"/>
  <c r="AA80" i="1" s="1"/>
  <c r="N81" i="1"/>
  <c r="X81" i="1" s="1"/>
  <c r="AA81" i="1" s="1"/>
  <c r="N82" i="1"/>
  <c r="X82" i="1" s="1"/>
  <c r="AA82" i="1" s="1"/>
  <c r="N83" i="1"/>
  <c r="X83" i="1" s="1"/>
  <c r="AA83" i="1" s="1"/>
  <c r="N84" i="1"/>
  <c r="X84" i="1" s="1"/>
  <c r="AA84" i="1" s="1"/>
  <c r="N85" i="1"/>
  <c r="X85" i="1" s="1"/>
  <c r="AA85" i="1" s="1"/>
  <c r="N86" i="1"/>
  <c r="X86" i="1" s="1"/>
  <c r="AA86" i="1" s="1"/>
  <c r="N87" i="1"/>
  <c r="X87" i="1" s="1"/>
  <c r="AA87" i="1" s="1"/>
  <c r="N88" i="1"/>
  <c r="X88" i="1" s="1"/>
  <c r="AA88" i="1" s="1"/>
  <c r="N89" i="1"/>
  <c r="X89" i="1" s="1"/>
  <c r="AA89" i="1" s="1"/>
  <c r="N90" i="1"/>
  <c r="X90" i="1" s="1"/>
  <c r="AA90" i="1" s="1"/>
  <c r="N91" i="1"/>
  <c r="X91" i="1" s="1"/>
  <c r="AA91" i="1" s="1"/>
  <c r="N92" i="1"/>
  <c r="X92" i="1" s="1"/>
  <c r="AA92" i="1" s="1"/>
  <c r="N93" i="1"/>
  <c r="X93" i="1" s="1"/>
  <c r="AA93" i="1" s="1"/>
  <c r="N94" i="1"/>
  <c r="X94" i="1" s="1"/>
  <c r="AA94" i="1" s="1"/>
  <c r="N95" i="1"/>
  <c r="X95" i="1" s="1"/>
  <c r="AA95" i="1" s="1"/>
  <c r="N96" i="1"/>
  <c r="X96" i="1" s="1"/>
  <c r="AA96" i="1" s="1"/>
  <c r="N97" i="1"/>
  <c r="X97" i="1" s="1"/>
  <c r="AA97" i="1" s="1"/>
  <c r="N98" i="1"/>
  <c r="X98" i="1" s="1"/>
  <c r="AA98" i="1" s="1"/>
  <c r="N99" i="1"/>
  <c r="X99" i="1" s="1"/>
  <c r="AA99" i="1" s="1"/>
  <c r="N100" i="1"/>
  <c r="X100" i="1" s="1"/>
  <c r="AA100" i="1" s="1"/>
  <c r="N101" i="1"/>
  <c r="X101" i="1" s="1"/>
  <c r="AA101" i="1" s="1"/>
  <c r="N102" i="1"/>
  <c r="X102" i="1" s="1"/>
  <c r="AA102" i="1" s="1"/>
  <c r="N103" i="1"/>
  <c r="X103" i="1" s="1"/>
  <c r="AA103" i="1" s="1"/>
  <c r="N104" i="1"/>
  <c r="X104" i="1" s="1"/>
  <c r="AA104" i="1" s="1"/>
  <c r="N105" i="1"/>
  <c r="X105" i="1" s="1"/>
  <c r="AA105" i="1" s="1"/>
  <c r="N106" i="1"/>
  <c r="X106" i="1" s="1"/>
  <c r="AA106" i="1" s="1"/>
  <c r="N107" i="1"/>
  <c r="X107" i="1" s="1"/>
  <c r="AA107" i="1" s="1"/>
  <c r="N108" i="1"/>
  <c r="X108" i="1" s="1"/>
  <c r="AA108" i="1" s="1"/>
  <c r="N109" i="1"/>
  <c r="X109" i="1" s="1"/>
  <c r="AA109" i="1" s="1"/>
  <c r="N110" i="1"/>
  <c r="X110" i="1" s="1"/>
  <c r="AA110" i="1" s="1"/>
  <c r="N111" i="1"/>
  <c r="X111" i="1" s="1"/>
  <c r="AA111" i="1" s="1"/>
  <c r="N112" i="1"/>
  <c r="X112" i="1" s="1"/>
  <c r="AA112" i="1" s="1"/>
  <c r="N113" i="1"/>
  <c r="X113" i="1" s="1"/>
  <c r="AA113" i="1" s="1"/>
  <c r="N114" i="1"/>
  <c r="X114" i="1" s="1"/>
  <c r="AA114" i="1" s="1"/>
  <c r="N115" i="1"/>
  <c r="X115" i="1" s="1"/>
  <c r="AA115" i="1" s="1"/>
  <c r="N116" i="1"/>
  <c r="X116" i="1" s="1"/>
  <c r="AA116" i="1" s="1"/>
  <c r="N117" i="1"/>
  <c r="X117" i="1" s="1"/>
  <c r="AA117" i="1" s="1"/>
  <c r="N118" i="1"/>
  <c r="X118" i="1" s="1"/>
  <c r="AA118" i="1" s="1"/>
  <c r="N119" i="1"/>
  <c r="X119" i="1" s="1"/>
  <c r="AA119" i="1" s="1"/>
  <c r="N120" i="1"/>
  <c r="X120" i="1" s="1"/>
  <c r="AA120" i="1" s="1"/>
  <c r="N121" i="1"/>
  <c r="X121" i="1" s="1"/>
  <c r="AA121" i="1" s="1"/>
  <c r="N122" i="1"/>
  <c r="X122" i="1" s="1"/>
  <c r="AA122" i="1" s="1"/>
  <c r="N123" i="1"/>
  <c r="X123" i="1" s="1"/>
  <c r="AA123" i="1" s="1"/>
  <c r="N124" i="1"/>
  <c r="X124" i="1" s="1"/>
  <c r="AA124" i="1" s="1"/>
  <c r="N125" i="1"/>
  <c r="X125" i="1" s="1"/>
  <c r="AA125" i="1" s="1"/>
  <c r="N126" i="1"/>
  <c r="X126" i="1" s="1"/>
  <c r="AA126" i="1" s="1"/>
  <c r="N127" i="1"/>
  <c r="X127" i="1" s="1"/>
  <c r="AA127" i="1" s="1"/>
  <c r="N128" i="1"/>
  <c r="X128" i="1" s="1"/>
  <c r="AA128" i="1" s="1"/>
  <c r="N129" i="1"/>
  <c r="X129" i="1" s="1"/>
  <c r="AA129" i="1" s="1"/>
  <c r="N130" i="1"/>
  <c r="X130" i="1" s="1"/>
  <c r="AA130" i="1" s="1"/>
  <c r="N131" i="1"/>
  <c r="X131" i="1" s="1"/>
  <c r="AA131" i="1" s="1"/>
  <c r="N132" i="1"/>
  <c r="X132" i="1" s="1"/>
  <c r="AA132" i="1" s="1"/>
  <c r="N133" i="1"/>
  <c r="X133" i="1" s="1"/>
  <c r="AA133" i="1" s="1"/>
  <c r="N134" i="1"/>
  <c r="X134" i="1" s="1"/>
  <c r="AA134" i="1" s="1"/>
  <c r="N135" i="1"/>
  <c r="X135" i="1" s="1"/>
  <c r="AA135" i="1" s="1"/>
  <c r="N136" i="1"/>
  <c r="X136" i="1" s="1"/>
  <c r="AA136" i="1" s="1"/>
  <c r="N137" i="1"/>
  <c r="X137" i="1" s="1"/>
  <c r="AA137" i="1" s="1"/>
  <c r="N138" i="1"/>
  <c r="X138" i="1" s="1"/>
  <c r="AA138" i="1" s="1"/>
  <c r="N139" i="1"/>
  <c r="X139" i="1" s="1"/>
  <c r="AA139" i="1" s="1"/>
  <c r="N140" i="1"/>
  <c r="X140" i="1" s="1"/>
  <c r="AA140" i="1" s="1"/>
  <c r="N141" i="1"/>
  <c r="X141" i="1" s="1"/>
  <c r="AA141" i="1" s="1"/>
  <c r="N142" i="1"/>
  <c r="X142" i="1" s="1"/>
  <c r="AA142" i="1" s="1"/>
  <c r="N143" i="1"/>
  <c r="X143" i="1" s="1"/>
  <c r="AA143" i="1" s="1"/>
  <c r="N144" i="1"/>
  <c r="X144" i="1" s="1"/>
  <c r="AA144" i="1" s="1"/>
  <c r="N145" i="1"/>
  <c r="X145" i="1" s="1"/>
  <c r="AA145" i="1" s="1"/>
  <c r="N146" i="1"/>
  <c r="X146" i="1" s="1"/>
  <c r="AA146" i="1" s="1"/>
  <c r="N147" i="1"/>
  <c r="X147" i="1" s="1"/>
  <c r="AA147" i="1" s="1"/>
  <c r="N148" i="1"/>
  <c r="X148" i="1" s="1"/>
  <c r="AA148" i="1" s="1"/>
  <c r="N149" i="1"/>
  <c r="X149" i="1" s="1"/>
  <c r="AA149" i="1" s="1"/>
  <c r="N150" i="1"/>
  <c r="X150" i="1" s="1"/>
  <c r="AA150" i="1" s="1"/>
  <c r="N151" i="1"/>
  <c r="X151" i="1" s="1"/>
  <c r="AA151" i="1" s="1"/>
  <c r="N152" i="1"/>
  <c r="X152" i="1" s="1"/>
  <c r="AA152" i="1" s="1"/>
  <c r="N153" i="1"/>
  <c r="X153" i="1" s="1"/>
  <c r="AA153" i="1" s="1"/>
  <c r="N154" i="1"/>
  <c r="X154" i="1" s="1"/>
  <c r="AA154" i="1" s="1"/>
  <c r="N155" i="1"/>
  <c r="X155" i="1" s="1"/>
  <c r="AA155" i="1" s="1"/>
  <c r="N156" i="1"/>
  <c r="X156" i="1" s="1"/>
  <c r="AA156" i="1" s="1"/>
  <c r="N157" i="1"/>
  <c r="X157" i="1" s="1"/>
  <c r="AA157" i="1" s="1"/>
  <c r="N158" i="1"/>
  <c r="X158" i="1" s="1"/>
  <c r="AA158" i="1" s="1"/>
  <c r="N159" i="1"/>
  <c r="X159" i="1" s="1"/>
  <c r="AA159" i="1" s="1"/>
  <c r="N160" i="1"/>
  <c r="X160" i="1" s="1"/>
  <c r="AA160" i="1" s="1"/>
  <c r="N161" i="1"/>
  <c r="X161" i="1" s="1"/>
  <c r="AA161" i="1" s="1"/>
  <c r="N162" i="1"/>
  <c r="X162" i="1" s="1"/>
  <c r="AA162" i="1" s="1"/>
  <c r="N163" i="1"/>
  <c r="X163" i="1" s="1"/>
  <c r="AA163" i="1" s="1"/>
  <c r="N164" i="1"/>
  <c r="X164" i="1" s="1"/>
  <c r="AA164" i="1" s="1"/>
  <c r="N165" i="1"/>
  <c r="X165" i="1" s="1"/>
  <c r="AA165" i="1" s="1"/>
  <c r="N166" i="1"/>
  <c r="X166" i="1" s="1"/>
  <c r="AA166" i="1" s="1"/>
  <c r="N167" i="1"/>
  <c r="X167" i="1" s="1"/>
  <c r="AA167" i="1" s="1"/>
  <c r="N168" i="1"/>
  <c r="X168" i="1" s="1"/>
  <c r="AA168" i="1" s="1"/>
  <c r="N169" i="1"/>
  <c r="X169" i="1" s="1"/>
  <c r="AA169" i="1" s="1"/>
  <c r="N170" i="1"/>
  <c r="X170" i="1" s="1"/>
  <c r="AA170" i="1" s="1"/>
  <c r="N171" i="1"/>
  <c r="X171" i="1" s="1"/>
  <c r="AA171" i="1" s="1"/>
  <c r="N172" i="1"/>
  <c r="X172" i="1" s="1"/>
  <c r="AA172" i="1" s="1"/>
  <c r="N173" i="1"/>
  <c r="X173" i="1" s="1"/>
  <c r="AA173" i="1" s="1"/>
  <c r="N174" i="1"/>
  <c r="X174" i="1" s="1"/>
  <c r="AA174" i="1" s="1"/>
  <c r="N175" i="1"/>
  <c r="X175" i="1" s="1"/>
  <c r="AA175" i="1" s="1"/>
  <c r="N176" i="1"/>
  <c r="X176" i="1" s="1"/>
  <c r="AA176" i="1" s="1"/>
  <c r="N177" i="1"/>
  <c r="X177" i="1" s="1"/>
  <c r="AA177" i="1" s="1"/>
  <c r="N178" i="1"/>
  <c r="X178" i="1" s="1"/>
  <c r="AA178" i="1" s="1"/>
  <c r="N179" i="1"/>
  <c r="X179" i="1" s="1"/>
  <c r="AA179" i="1" s="1"/>
  <c r="N180" i="1"/>
  <c r="X180" i="1" s="1"/>
  <c r="AA180" i="1" s="1"/>
  <c r="N181" i="1"/>
  <c r="X181" i="1" s="1"/>
  <c r="AA181" i="1" s="1"/>
  <c r="N182" i="1"/>
  <c r="X182" i="1" s="1"/>
  <c r="AA182" i="1" s="1"/>
  <c r="N183" i="1"/>
  <c r="X183" i="1" s="1"/>
  <c r="AA183" i="1" s="1"/>
  <c r="N184" i="1"/>
  <c r="X184" i="1" s="1"/>
  <c r="AA184" i="1" s="1"/>
  <c r="N185" i="1"/>
  <c r="X185" i="1" s="1"/>
  <c r="AA185" i="1" s="1"/>
  <c r="N186" i="1"/>
  <c r="X186" i="1" s="1"/>
  <c r="AA186" i="1" s="1"/>
  <c r="N187" i="1"/>
  <c r="X187" i="1" s="1"/>
  <c r="AA187" i="1" s="1"/>
  <c r="N188" i="1"/>
  <c r="X188" i="1" s="1"/>
  <c r="AA188" i="1" s="1"/>
  <c r="N189" i="1"/>
  <c r="X189" i="1" s="1"/>
  <c r="AA189" i="1" s="1"/>
  <c r="N190" i="1"/>
  <c r="X190" i="1" s="1"/>
  <c r="AA190" i="1" s="1"/>
  <c r="N191" i="1"/>
  <c r="X191" i="1" s="1"/>
  <c r="AA191" i="1" s="1"/>
  <c r="N192" i="1"/>
  <c r="X192" i="1" s="1"/>
  <c r="AA192" i="1" s="1"/>
  <c r="N193" i="1"/>
  <c r="X193" i="1" s="1"/>
  <c r="AA193" i="1" s="1"/>
  <c r="N194" i="1"/>
  <c r="X194" i="1" s="1"/>
  <c r="AA194" i="1" s="1"/>
  <c r="N195" i="1"/>
  <c r="X195" i="1" s="1"/>
  <c r="AA195" i="1" s="1"/>
  <c r="N196" i="1"/>
  <c r="X196" i="1" s="1"/>
  <c r="AA196" i="1" s="1"/>
  <c r="N197" i="1"/>
  <c r="X197" i="1" s="1"/>
  <c r="AA197" i="1" s="1"/>
  <c r="N198" i="1"/>
  <c r="X198" i="1" s="1"/>
  <c r="AA198" i="1" s="1"/>
  <c r="N199" i="1"/>
  <c r="X199" i="1" s="1"/>
  <c r="AA199" i="1" s="1"/>
  <c r="N200" i="1"/>
  <c r="X200" i="1" s="1"/>
  <c r="AA200" i="1" s="1"/>
  <c r="N201" i="1"/>
  <c r="X201" i="1" s="1"/>
  <c r="AA201" i="1" s="1"/>
  <c r="N202" i="1"/>
  <c r="X202" i="1" s="1"/>
  <c r="AA202" i="1" s="1"/>
  <c r="N203" i="1"/>
  <c r="X203" i="1" s="1"/>
  <c r="AA203" i="1" s="1"/>
  <c r="N204" i="1"/>
  <c r="X204" i="1" s="1"/>
  <c r="AA204" i="1" s="1"/>
  <c r="N205" i="1"/>
  <c r="X205" i="1" s="1"/>
  <c r="AA205" i="1" s="1"/>
  <c r="N206" i="1"/>
  <c r="X206" i="1" s="1"/>
  <c r="AA206" i="1" s="1"/>
  <c r="N207" i="1"/>
  <c r="X207" i="1" s="1"/>
  <c r="AA207" i="1" s="1"/>
  <c r="N208" i="1"/>
  <c r="X208" i="1" s="1"/>
  <c r="AA208" i="1" s="1"/>
  <c r="N209" i="1"/>
  <c r="X209" i="1" s="1"/>
  <c r="AA209" i="1" s="1"/>
  <c r="N210" i="1"/>
  <c r="X210" i="1" s="1"/>
  <c r="AA210" i="1" s="1"/>
  <c r="N211" i="1"/>
  <c r="X211" i="1" s="1"/>
  <c r="AA211" i="1" s="1"/>
  <c r="N212" i="1"/>
  <c r="X212" i="1" s="1"/>
  <c r="AA212" i="1" s="1"/>
  <c r="N213" i="1"/>
  <c r="X213" i="1" s="1"/>
  <c r="AA213" i="1" s="1"/>
  <c r="N214" i="1"/>
  <c r="X214" i="1" s="1"/>
  <c r="AA214" i="1" s="1"/>
  <c r="N215" i="1"/>
  <c r="X215" i="1" s="1"/>
  <c r="AA215" i="1" s="1"/>
  <c r="N216" i="1"/>
  <c r="X216" i="1" s="1"/>
  <c r="AA216" i="1" s="1"/>
  <c r="N217" i="1"/>
  <c r="X217" i="1" s="1"/>
  <c r="AA217" i="1" s="1"/>
  <c r="N218" i="1"/>
  <c r="X218" i="1" s="1"/>
  <c r="AA218" i="1" s="1"/>
  <c r="N219" i="1"/>
  <c r="X219" i="1" s="1"/>
  <c r="AA219" i="1" s="1"/>
  <c r="N220" i="1"/>
  <c r="X220" i="1" s="1"/>
  <c r="AA220" i="1" s="1"/>
  <c r="N221" i="1"/>
  <c r="X221" i="1" s="1"/>
  <c r="AA221" i="1" s="1"/>
  <c r="N222" i="1"/>
  <c r="X222" i="1" s="1"/>
  <c r="AA222" i="1" s="1"/>
  <c r="N223" i="1"/>
  <c r="X223" i="1" s="1"/>
  <c r="AA223" i="1" s="1"/>
  <c r="N224" i="1"/>
  <c r="X224" i="1" s="1"/>
  <c r="AA224" i="1" s="1"/>
  <c r="N225" i="1"/>
  <c r="X225" i="1" s="1"/>
  <c r="AA225" i="1" s="1"/>
  <c r="N226" i="1"/>
  <c r="X226" i="1" s="1"/>
  <c r="AA226" i="1" s="1"/>
  <c r="N227" i="1"/>
  <c r="X227" i="1" s="1"/>
  <c r="AA227" i="1" s="1"/>
  <c r="N228" i="1"/>
  <c r="X228" i="1" s="1"/>
  <c r="AA228" i="1" s="1"/>
  <c r="N229" i="1"/>
  <c r="X229" i="1" s="1"/>
  <c r="AA229" i="1" s="1"/>
  <c r="N230" i="1"/>
  <c r="X230" i="1" s="1"/>
  <c r="AA230" i="1" s="1"/>
  <c r="N231" i="1"/>
  <c r="X231" i="1" s="1"/>
  <c r="AA231" i="1" s="1"/>
  <c r="N232" i="1"/>
  <c r="X232" i="1" s="1"/>
  <c r="AA232" i="1" s="1"/>
  <c r="N233" i="1"/>
  <c r="X233" i="1" s="1"/>
  <c r="AA233" i="1" s="1"/>
  <c r="N234" i="1"/>
  <c r="X234" i="1" s="1"/>
  <c r="AA234" i="1" s="1"/>
  <c r="N235" i="1"/>
  <c r="X235" i="1" s="1"/>
  <c r="AA235" i="1" s="1"/>
  <c r="N236" i="1"/>
  <c r="X236" i="1" s="1"/>
  <c r="AA236" i="1" s="1"/>
  <c r="N237" i="1"/>
  <c r="X237" i="1" s="1"/>
  <c r="AA237" i="1" s="1"/>
  <c r="N238" i="1"/>
  <c r="X238" i="1" s="1"/>
  <c r="AA238" i="1" s="1"/>
  <c r="N239" i="1"/>
  <c r="X239" i="1" s="1"/>
  <c r="AA239" i="1" s="1"/>
  <c r="N240" i="1"/>
  <c r="X240" i="1" s="1"/>
  <c r="AA240" i="1" s="1"/>
  <c r="N241" i="1"/>
  <c r="X241" i="1" s="1"/>
  <c r="AA241" i="1" s="1"/>
  <c r="N242" i="1"/>
  <c r="X242" i="1" s="1"/>
  <c r="AA242" i="1" s="1"/>
  <c r="N243" i="1"/>
  <c r="X243" i="1" s="1"/>
  <c r="AA243" i="1" s="1"/>
  <c r="N244" i="1"/>
  <c r="X244" i="1" s="1"/>
  <c r="AA244" i="1" s="1"/>
  <c r="N245" i="1"/>
  <c r="X245" i="1" s="1"/>
  <c r="AA245" i="1" s="1"/>
  <c r="N246" i="1"/>
  <c r="X246" i="1" s="1"/>
  <c r="AA246" i="1" s="1"/>
  <c r="N247" i="1"/>
  <c r="X247" i="1" s="1"/>
  <c r="AA247" i="1" s="1"/>
  <c r="N248" i="1"/>
  <c r="X248" i="1" s="1"/>
  <c r="AA248" i="1" s="1"/>
  <c r="N249" i="1"/>
  <c r="X249" i="1" s="1"/>
  <c r="AA249" i="1" s="1"/>
  <c r="N250" i="1"/>
  <c r="X250" i="1" s="1"/>
  <c r="AA250" i="1" s="1"/>
  <c r="N251" i="1"/>
  <c r="X251" i="1" s="1"/>
  <c r="AA251" i="1" s="1"/>
  <c r="N252" i="1"/>
  <c r="X252" i="1" s="1"/>
  <c r="AA252" i="1" s="1"/>
  <c r="N253" i="1"/>
  <c r="X253" i="1" s="1"/>
  <c r="AA253" i="1" s="1"/>
  <c r="N254" i="1"/>
  <c r="X254" i="1" s="1"/>
  <c r="AA254" i="1" s="1"/>
  <c r="N255" i="1"/>
  <c r="X255" i="1" s="1"/>
  <c r="AA255" i="1" s="1"/>
  <c r="N256" i="1"/>
  <c r="X256" i="1" s="1"/>
  <c r="AA256" i="1" s="1"/>
  <c r="N257" i="1"/>
  <c r="X257" i="1" s="1"/>
  <c r="AA257" i="1" s="1"/>
  <c r="N258" i="1"/>
  <c r="X258" i="1" s="1"/>
  <c r="AA258" i="1" s="1"/>
  <c r="N259" i="1"/>
  <c r="X259" i="1" s="1"/>
  <c r="AA259" i="1" s="1"/>
  <c r="N260" i="1"/>
  <c r="X260" i="1" s="1"/>
  <c r="AA260" i="1" s="1"/>
  <c r="N261" i="1"/>
  <c r="X261" i="1" s="1"/>
  <c r="AA261" i="1" s="1"/>
  <c r="N262" i="1"/>
  <c r="X262" i="1" s="1"/>
  <c r="AA262" i="1" s="1"/>
  <c r="N263" i="1"/>
  <c r="X263" i="1" s="1"/>
  <c r="AA263" i="1" s="1"/>
  <c r="N264" i="1"/>
  <c r="X264" i="1" s="1"/>
  <c r="AA264" i="1" s="1"/>
  <c r="N265" i="1"/>
  <c r="X265" i="1" s="1"/>
  <c r="AA265" i="1" s="1"/>
  <c r="N266" i="1"/>
  <c r="X266" i="1" s="1"/>
  <c r="AA266" i="1" s="1"/>
  <c r="N267" i="1"/>
  <c r="X267" i="1" s="1"/>
  <c r="AA267" i="1" s="1"/>
  <c r="N268" i="1"/>
  <c r="X268" i="1" s="1"/>
  <c r="AA268" i="1" s="1"/>
  <c r="N269" i="1"/>
  <c r="X269" i="1" s="1"/>
  <c r="AA269" i="1" s="1"/>
  <c r="N270" i="1"/>
  <c r="X270" i="1" s="1"/>
  <c r="AA270" i="1" s="1"/>
  <c r="N271" i="1"/>
  <c r="X271" i="1" s="1"/>
  <c r="AA271" i="1" s="1"/>
  <c r="N272" i="1"/>
  <c r="X272" i="1" s="1"/>
  <c r="AA272" i="1" s="1"/>
  <c r="N273" i="1"/>
  <c r="X273" i="1" s="1"/>
  <c r="AA273" i="1" s="1"/>
  <c r="N274" i="1"/>
  <c r="X274" i="1" s="1"/>
  <c r="AA274" i="1" s="1"/>
  <c r="N275" i="1"/>
  <c r="X275" i="1" s="1"/>
  <c r="AA275" i="1" s="1"/>
  <c r="N276" i="1"/>
  <c r="X276" i="1" s="1"/>
  <c r="AA276" i="1" s="1"/>
  <c r="N277" i="1"/>
  <c r="X277" i="1" s="1"/>
  <c r="AA277" i="1" s="1"/>
  <c r="N278" i="1"/>
  <c r="X278" i="1" s="1"/>
  <c r="AA278" i="1" s="1"/>
  <c r="N279" i="1"/>
  <c r="X279" i="1" s="1"/>
  <c r="AA279" i="1" s="1"/>
  <c r="N280" i="1"/>
  <c r="X280" i="1" s="1"/>
  <c r="AA280" i="1" s="1"/>
  <c r="N281" i="1"/>
  <c r="X281" i="1" s="1"/>
  <c r="AA281" i="1" s="1"/>
  <c r="N282" i="1"/>
  <c r="X282" i="1" s="1"/>
  <c r="AA282" i="1" s="1"/>
  <c r="N283" i="1"/>
  <c r="X283" i="1" s="1"/>
  <c r="AA283" i="1" s="1"/>
  <c r="N284" i="1"/>
  <c r="X284" i="1" s="1"/>
  <c r="AA284" i="1" s="1"/>
  <c r="N285" i="1"/>
  <c r="X285" i="1" s="1"/>
  <c r="AA285" i="1" s="1"/>
  <c r="N286" i="1"/>
  <c r="X286" i="1" s="1"/>
  <c r="AA286" i="1" s="1"/>
  <c r="N287" i="1"/>
  <c r="X287" i="1" s="1"/>
  <c r="AA287" i="1" s="1"/>
  <c r="N288" i="1"/>
  <c r="X288" i="1" s="1"/>
  <c r="AA288" i="1" s="1"/>
  <c r="N289" i="1"/>
  <c r="X289" i="1" s="1"/>
  <c r="AA289" i="1" s="1"/>
  <c r="N290" i="1"/>
  <c r="X290" i="1" s="1"/>
  <c r="AA290" i="1" s="1"/>
  <c r="N291" i="1"/>
  <c r="X291" i="1" s="1"/>
  <c r="AA291" i="1" s="1"/>
  <c r="N292" i="1"/>
  <c r="X292" i="1" s="1"/>
  <c r="AA292" i="1" s="1"/>
  <c r="N293" i="1"/>
  <c r="X293" i="1" s="1"/>
  <c r="AA293" i="1" s="1"/>
  <c r="N294" i="1"/>
  <c r="X294" i="1" s="1"/>
  <c r="AA294" i="1" s="1"/>
  <c r="N295" i="1"/>
  <c r="X295" i="1" s="1"/>
  <c r="AA295" i="1" s="1"/>
  <c r="N296" i="1"/>
  <c r="X296" i="1" s="1"/>
  <c r="AA296" i="1" s="1"/>
  <c r="N297" i="1"/>
  <c r="X297" i="1" s="1"/>
  <c r="AA297" i="1" s="1"/>
  <c r="N298" i="1"/>
  <c r="X298" i="1" s="1"/>
  <c r="AA298" i="1" s="1"/>
  <c r="N299" i="1"/>
  <c r="X299" i="1" s="1"/>
  <c r="AA299" i="1" s="1"/>
  <c r="N300" i="1"/>
  <c r="X300" i="1" s="1"/>
  <c r="AA300" i="1" s="1"/>
  <c r="N301" i="1"/>
  <c r="X301" i="1" s="1"/>
  <c r="AA301" i="1" s="1"/>
  <c r="N302" i="1"/>
  <c r="X302" i="1" s="1"/>
  <c r="AA302" i="1" s="1"/>
  <c r="N303" i="1"/>
  <c r="X303" i="1" s="1"/>
  <c r="AA303" i="1" s="1"/>
  <c r="N304" i="1"/>
  <c r="X304" i="1" s="1"/>
  <c r="AA304" i="1" s="1"/>
  <c r="N305" i="1"/>
  <c r="X305" i="1" s="1"/>
  <c r="AA305" i="1" s="1"/>
  <c r="N306" i="1"/>
  <c r="X306" i="1" s="1"/>
  <c r="AA306" i="1" s="1"/>
  <c r="N307" i="1"/>
  <c r="X307" i="1" s="1"/>
  <c r="AA307" i="1" s="1"/>
  <c r="N308" i="1"/>
  <c r="X308" i="1" s="1"/>
  <c r="AA308" i="1" s="1"/>
  <c r="N309" i="1"/>
  <c r="X309" i="1" s="1"/>
  <c r="AA309" i="1" s="1"/>
  <c r="N310" i="1"/>
  <c r="X310" i="1" s="1"/>
  <c r="AA310" i="1" s="1"/>
  <c r="N311" i="1"/>
  <c r="X311" i="1" s="1"/>
  <c r="AA311" i="1" s="1"/>
  <c r="N312" i="1"/>
  <c r="X312" i="1" s="1"/>
  <c r="AA312" i="1" s="1"/>
  <c r="N313" i="1"/>
  <c r="X313" i="1" s="1"/>
  <c r="AA313" i="1" s="1"/>
  <c r="N314" i="1"/>
  <c r="X314" i="1" s="1"/>
  <c r="AA314" i="1" s="1"/>
  <c r="N315" i="1"/>
  <c r="X315" i="1" s="1"/>
  <c r="AA315" i="1" s="1"/>
  <c r="N316" i="1"/>
  <c r="X316" i="1" s="1"/>
  <c r="AA316" i="1" s="1"/>
  <c r="N317" i="1"/>
  <c r="X317" i="1" s="1"/>
  <c r="AA317" i="1" s="1"/>
  <c r="N318" i="1"/>
  <c r="X318" i="1" s="1"/>
  <c r="AA318" i="1" s="1"/>
  <c r="N319" i="1"/>
  <c r="X319" i="1" s="1"/>
  <c r="AA319" i="1" s="1"/>
  <c r="N320" i="1"/>
  <c r="X320" i="1" s="1"/>
  <c r="AA320" i="1" s="1"/>
  <c r="N321" i="1"/>
  <c r="X321" i="1" s="1"/>
  <c r="AA321" i="1" s="1"/>
  <c r="N322" i="1"/>
  <c r="X322" i="1" s="1"/>
  <c r="AA322" i="1" s="1"/>
  <c r="N323" i="1"/>
  <c r="X323" i="1" s="1"/>
  <c r="AA323" i="1" s="1"/>
  <c r="N324" i="1"/>
  <c r="X324" i="1" s="1"/>
  <c r="AA324" i="1" s="1"/>
  <c r="N325" i="1"/>
  <c r="X325" i="1" s="1"/>
  <c r="AA325" i="1" s="1"/>
  <c r="N326" i="1"/>
  <c r="X326" i="1" s="1"/>
  <c r="AA326" i="1" s="1"/>
  <c r="N327" i="1"/>
  <c r="X327" i="1" s="1"/>
  <c r="AA327" i="1" s="1"/>
  <c r="N328" i="1"/>
  <c r="X328" i="1" s="1"/>
  <c r="AA328" i="1" s="1"/>
  <c r="N329" i="1"/>
  <c r="X329" i="1" s="1"/>
  <c r="AA329" i="1" s="1"/>
  <c r="N330" i="1"/>
  <c r="X330" i="1" s="1"/>
  <c r="AA330" i="1" s="1"/>
  <c r="N331" i="1"/>
  <c r="X331" i="1" s="1"/>
  <c r="AA331" i="1" s="1"/>
  <c r="N332" i="1"/>
  <c r="X332" i="1" s="1"/>
  <c r="AA332" i="1" s="1"/>
  <c r="N333" i="1"/>
  <c r="X333" i="1" s="1"/>
  <c r="AA333" i="1" s="1"/>
  <c r="N334" i="1"/>
  <c r="X334" i="1" s="1"/>
  <c r="AA334" i="1" s="1"/>
  <c r="N335" i="1"/>
  <c r="X335" i="1" s="1"/>
  <c r="AA335" i="1" s="1"/>
  <c r="N336" i="1"/>
  <c r="X336" i="1" s="1"/>
  <c r="AA336" i="1" s="1"/>
  <c r="N337" i="1"/>
  <c r="X337" i="1" s="1"/>
  <c r="AA337" i="1" s="1"/>
  <c r="N338" i="1"/>
  <c r="X338" i="1" s="1"/>
  <c r="AA338" i="1" s="1"/>
  <c r="N339" i="1"/>
  <c r="X339" i="1" s="1"/>
  <c r="AA339" i="1" s="1"/>
  <c r="N340" i="1"/>
  <c r="X340" i="1" s="1"/>
  <c r="AA340" i="1" s="1"/>
  <c r="N341" i="1"/>
  <c r="X341" i="1" s="1"/>
  <c r="AA341" i="1" s="1"/>
  <c r="N342" i="1"/>
  <c r="X342" i="1" s="1"/>
  <c r="AA342" i="1" s="1"/>
  <c r="N343" i="1"/>
  <c r="X343" i="1" s="1"/>
  <c r="AA343" i="1" s="1"/>
  <c r="N344" i="1"/>
  <c r="X344" i="1" s="1"/>
  <c r="AA344" i="1" s="1"/>
  <c r="N345" i="1"/>
  <c r="X345" i="1" s="1"/>
  <c r="AA345" i="1" s="1"/>
  <c r="N346" i="1"/>
  <c r="X346" i="1" s="1"/>
  <c r="AA346" i="1" s="1"/>
  <c r="N347" i="1"/>
  <c r="X347" i="1" s="1"/>
  <c r="AA347" i="1" s="1"/>
  <c r="N348" i="1"/>
  <c r="X348" i="1" s="1"/>
  <c r="AA348" i="1" s="1"/>
  <c r="N349" i="1"/>
  <c r="X349" i="1" s="1"/>
  <c r="AA349" i="1" s="1"/>
  <c r="N350" i="1"/>
  <c r="X350" i="1" s="1"/>
  <c r="AA350" i="1" s="1"/>
  <c r="N351" i="1"/>
  <c r="X351" i="1" s="1"/>
  <c r="AA351" i="1" s="1"/>
  <c r="N352" i="1"/>
  <c r="X352" i="1" s="1"/>
  <c r="AA352" i="1" s="1"/>
  <c r="N353" i="1"/>
  <c r="X353" i="1" s="1"/>
  <c r="AA353" i="1" s="1"/>
  <c r="N354" i="1"/>
  <c r="X354" i="1" s="1"/>
  <c r="AA354" i="1" s="1"/>
  <c r="N355" i="1"/>
  <c r="X355" i="1" s="1"/>
  <c r="AA355" i="1" s="1"/>
  <c r="N356" i="1"/>
  <c r="X356" i="1" s="1"/>
  <c r="AA356" i="1" s="1"/>
  <c r="N357" i="1"/>
  <c r="X357" i="1" s="1"/>
  <c r="AA357" i="1" s="1"/>
  <c r="N358" i="1"/>
  <c r="X358" i="1" s="1"/>
  <c r="AA358" i="1" s="1"/>
  <c r="N359" i="1"/>
  <c r="X359" i="1" s="1"/>
  <c r="AA359" i="1" s="1"/>
  <c r="N360" i="1"/>
  <c r="X360" i="1" s="1"/>
  <c r="AA360" i="1" s="1"/>
  <c r="N361" i="1"/>
  <c r="X361" i="1" s="1"/>
  <c r="AA361" i="1" s="1"/>
  <c r="N362" i="1"/>
  <c r="X362" i="1" s="1"/>
  <c r="AA362" i="1" s="1"/>
  <c r="N363" i="1"/>
  <c r="X363" i="1" s="1"/>
  <c r="AA363" i="1" s="1"/>
  <c r="N364" i="1"/>
  <c r="X364" i="1" s="1"/>
  <c r="AA364" i="1" s="1"/>
  <c r="N365" i="1"/>
  <c r="X365" i="1" s="1"/>
  <c r="AA365" i="1" s="1"/>
  <c r="N366" i="1"/>
  <c r="X366" i="1" s="1"/>
  <c r="AA366" i="1" s="1"/>
  <c r="N367" i="1"/>
  <c r="X367" i="1" s="1"/>
  <c r="AA367" i="1" s="1"/>
  <c r="N368" i="1"/>
  <c r="X368" i="1" s="1"/>
  <c r="AA368" i="1" s="1"/>
  <c r="N369" i="1"/>
  <c r="X369" i="1" s="1"/>
  <c r="AA369" i="1" s="1"/>
  <c r="N370" i="1"/>
  <c r="X370" i="1" s="1"/>
  <c r="AA370" i="1" s="1"/>
  <c r="N371" i="1"/>
  <c r="X371" i="1" s="1"/>
  <c r="AA371" i="1" s="1"/>
  <c r="N372" i="1"/>
  <c r="X372" i="1" s="1"/>
  <c r="AA372" i="1" s="1"/>
  <c r="N373" i="1"/>
  <c r="X373" i="1" s="1"/>
  <c r="AA373" i="1" s="1"/>
  <c r="N374" i="1"/>
  <c r="X374" i="1" s="1"/>
  <c r="AA374" i="1" s="1"/>
  <c r="N375" i="1"/>
  <c r="X375" i="1" s="1"/>
  <c r="AA375" i="1" s="1"/>
  <c r="N376" i="1"/>
  <c r="X376" i="1" s="1"/>
  <c r="AA376" i="1" s="1"/>
  <c r="N377" i="1"/>
  <c r="X377" i="1" s="1"/>
  <c r="AA377" i="1" s="1"/>
  <c r="N378" i="1"/>
  <c r="X378" i="1" s="1"/>
  <c r="AA378" i="1" s="1"/>
  <c r="N379" i="1"/>
  <c r="X379" i="1" s="1"/>
  <c r="AA379" i="1" s="1"/>
  <c r="N380" i="1"/>
  <c r="X380" i="1" s="1"/>
  <c r="AA380" i="1" s="1"/>
  <c r="N381" i="1"/>
  <c r="X381" i="1" s="1"/>
  <c r="AA381" i="1" s="1"/>
  <c r="N382" i="1"/>
  <c r="X382" i="1" s="1"/>
  <c r="AA382" i="1" s="1"/>
  <c r="N383" i="1"/>
  <c r="X383" i="1" s="1"/>
  <c r="AA383" i="1" s="1"/>
  <c r="N384" i="1"/>
  <c r="X384" i="1" s="1"/>
  <c r="AA384" i="1" s="1"/>
  <c r="N385" i="1"/>
  <c r="X385" i="1" s="1"/>
  <c r="AA385" i="1" s="1"/>
  <c r="N386" i="1"/>
  <c r="X386" i="1" s="1"/>
  <c r="AA386" i="1" s="1"/>
  <c r="N387" i="1"/>
  <c r="X387" i="1" s="1"/>
  <c r="AA387" i="1" s="1"/>
  <c r="N388" i="1"/>
  <c r="X388" i="1" s="1"/>
  <c r="AA388" i="1" s="1"/>
  <c r="N389" i="1"/>
  <c r="X389" i="1" s="1"/>
  <c r="AA389" i="1" s="1"/>
  <c r="N390" i="1"/>
  <c r="X390" i="1" s="1"/>
  <c r="AA390" i="1" s="1"/>
  <c r="N391" i="1"/>
  <c r="X391" i="1" s="1"/>
  <c r="AA391" i="1" s="1"/>
  <c r="N392" i="1"/>
  <c r="X392" i="1" s="1"/>
  <c r="AA392" i="1" s="1"/>
  <c r="N393" i="1"/>
  <c r="X393" i="1" s="1"/>
  <c r="AA393" i="1" s="1"/>
  <c r="N394" i="1"/>
  <c r="X394" i="1" s="1"/>
  <c r="AA394" i="1" s="1"/>
  <c r="N395" i="1"/>
  <c r="X395" i="1" s="1"/>
  <c r="AA395" i="1" s="1"/>
  <c r="N396" i="1"/>
  <c r="X396" i="1" s="1"/>
  <c r="AA396" i="1" s="1"/>
  <c r="N397" i="1"/>
  <c r="X397" i="1" s="1"/>
  <c r="AA397" i="1" s="1"/>
  <c r="N398" i="1"/>
  <c r="X398" i="1" s="1"/>
  <c r="AA398" i="1" s="1"/>
  <c r="N399" i="1"/>
  <c r="X399" i="1" s="1"/>
  <c r="AA399" i="1" s="1"/>
  <c r="N400" i="1"/>
  <c r="X400" i="1" s="1"/>
  <c r="AA400" i="1" s="1"/>
  <c r="N401" i="1"/>
  <c r="X401" i="1" s="1"/>
  <c r="AA401" i="1" s="1"/>
  <c r="N402" i="1"/>
  <c r="X402" i="1" s="1"/>
  <c r="AA402" i="1" s="1"/>
  <c r="N403" i="1"/>
  <c r="X403" i="1" s="1"/>
  <c r="AA403" i="1" s="1"/>
  <c r="N404" i="1"/>
  <c r="X404" i="1" s="1"/>
  <c r="AA404" i="1" s="1"/>
  <c r="N405" i="1"/>
  <c r="X405" i="1" s="1"/>
  <c r="AA405" i="1" s="1"/>
  <c r="N406" i="1"/>
  <c r="X406" i="1" s="1"/>
  <c r="AA406" i="1" s="1"/>
  <c r="N407" i="1"/>
  <c r="X407" i="1" s="1"/>
  <c r="AA407" i="1" s="1"/>
  <c r="N408" i="1"/>
  <c r="X408" i="1" s="1"/>
  <c r="AA408" i="1" s="1"/>
  <c r="N409" i="1"/>
  <c r="X409" i="1" s="1"/>
  <c r="AA409" i="1" s="1"/>
  <c r="N410" i="1"/>
  <c r="X410" i="1" s="1"/>
  <c r="AA410" i="1" s="1"/>
  <c r="N411" i="1"/>
  <c r="X411" i="1" s="1"/>
  <c r="AA411" i="1" s="1"/>
  <c r="N412" i="1"/>
  <c r="X412" i="1" s="1"/>
  <c r="AA412" i="1" s="1"/>
  <c r="N413" i="1"/>
  <c r="X413" i="1" s="1"/>
  <c r="AA413" i="1" s="1"/>
  <c r="N414" i="1"/>
  <c r="X414" i="1" s="1"/>
  <c r="AA414" i="1" s="1"/>
  <c r="N415" i="1"/>
  <c r="X415" i="1" s="1"/>
  <c r="AA415" i="1" s="1"/>
  <c r="N416" i="1"/>
  <c r="X416" i="1" s="1"/>
  <c r="AA416" i="1" s="1"/>
  <c r="N417" i="1"/>
  <c r="X417" i="1" s="1"/>
  <c r="AA417" i="1" s="1"/>
  <c r="N418" i="1"/>
  <c r="X418" i="1" s="1"/>
  <c r="AA418" i="1" s="1"/>
  <c r="N419" i="1"/>
  <c r="X419" i="1" s="1"/>
  <c r="AA419" i="1" s="1"/>
  <c r="N420" i="1"/>
  <c r="X420" i="1" s="1"/>
  <c r="AA420" i="1" s="1"/>
  <c r="N421" i="1"/>
  <c r="X421" i="1" s="1"/>
  <c r="AA421" i="1" s="1"/>
  <c r="N422" i="1"/>
  <c r="X422" i="1" s="1"/>
  <c r="AA422" i="1" s="1"/>
  <c r="N423" i="1"/>
  <c r="X423" i="1" s="1"/>
  <c r="AA423" i="1" s="1"/>
  <c r="N424" i="1"/>
  <c r="X424" i="1" s="1"/>
  <c r="AA424" i="1" s="1"/>
  <c r="N425" i="1"/>
  <c r="X425" i="1" s="1"/>
  <c r="AA425" i="1" s="1"/>
  <c r="N426" i="1"/>
  <c r="X426" i="1" s="1"/>
  <c r="AA426" i="1" s="1"/>
  <c r="N427" i="1"/>
  <c r="X427" i="1" s="1"/>
  <c r="AA427" i="1" s="1"/>
  <c r="N428" i="1"/>
  <c r="X428" i="1" s="1"/>
  <c r="AA428" i="1" s="1"/>
  <c r="N429" i="1"/>
  <c r="X429" i="1" s="1"/>
  <c r="AA429" i="1" s="1"/>
  <c r="N430" i="1"/>
  <c r="X430" i="1" s="1"/>
  <c r="AA430" i="1" s="1"/>
  <c r="N431" i="1"/>
  <c r="X431" i="1" s="1"/>
  <c r="AA431" i="1" s="1"/>
  <c r="N432" i="1"/>
  <c r="X432" i="1" s="1"/>
  <c r="AA432" i="1" s="1"/>
  <c r="N433" i="1"/>
  <c r="X433" i="1" s="1"/>
  <c r="AA433" i="1" s="1"/>
  <c r="N434" i="1"/>
  <c r="X434" i="1" s="1"/>
  <c r="AA434" i="1" s="1"/>
  <c r="N435" i="1"/>
  <c r="X435" i="1" s="1"/>
  <c r="AA435" i="1" s="1"/>
  <c r="N436" i="1"/>
  <c r="X436" i="1" s="1"/>
  <c r="AA436" i="1" s="1"/>
  <c r="N437" i="1"/>
  <c r="X437" i="1" s="1"/>
  <c r="AA437" i="1" s="1"/>
  <c r="N438" i="1"/>
  <c r="X438" i="1" s="1"/>
  <c r="AA438" i="1" s="1"/>
  <c r="N439" i="1"/>
  <c r="X439" i="1" s="1"/>
  <c r="AA439" i="1" s="1"/>
  <c r="N440" i="1"/>
  <c r="X440" i="1" s="1"/>
  <c r="AA440" i="1" s="1"/>
  <c r="N441" i="1"/>
  <c r="X441" i="1" s="1"/>
  <c r="AA441" i="1" s="1"/>
  <c r="N442" i="1"/>
  <c r="X442" i="1" s="1"/>
  <c r="AA442" i="1" s="1"/>
  <c r="N443" i="1"/>
  <c r="X443" i="1" s="1"/>
  <c r="AA443" i="1" s="1"/>
  <c r="N444" i="1"/>
  <c r="X444" i="1" s="1"/>
  <c r="AA444" i="1" s="1"/>
  <c r="N445" i="1"/>
  <c r="X445" i="1" s="1"/>
  <c r="AA445" i="1" s="1"/>
  <c r="N446" i="1"/>
  <c r="X446" i="1" s="1"/>
  <c r="AA446" i="1" s="1"/>
  <c r="N447" i="1"/>
  <c r="X447" i="1" s="1"/>
  <c r="AA447" i="1" s="1"/>
  <c r="N448" i="1"/>
  <c r="X448" i="1" s="1"/>
  <c r="AA448" i="1" s="1"/>
  <c r="N449" i="1"/>
  <c r="X449" i="1" s="1"/>
  <c r="AA449" i="1" s="1"/>
  <c r="N450" i="1"/>
  <c r="X450" i="1" s="1"/>
  <c r="AA450" i="1" s="1"/>
  <c r="N451" i="1"/>
  <c r="X451" i="1" s="1"/>
  <c r="AA451" i="1" s="1"/>
  <c r="N452" i="1"/>
  <c r="X452" i="1" s="1"/>
  <c r="AA452" i="1" s="1"/>
  <c r="N453" i="1"/>
  <c r="X453" i="1" s="1"/>
  <c r="AA453" i="1" s="1"/>
  <c r="N454" i="1"/>
  <c r="X454" i="1" s="1"/>
  <c r="AA454" i="1" s="1"/>
  <c r="N455" i="1"/>
  <c r="X455" i="1" s="1"/>
  <c r="AA455" i="1" s="1"/>
  <c r="N456" i="1"/>
  <c r="X456" i="1" s="1"/>
  <c r="AA456" i="1" s="1"/>
  <c r="N457" i="1"/>
  <c r="X457" i="1" s="1"/>
  <c r="AA457" i="1" s="1"/>
  <c r="N458" i="1"/>
  <c r="X458" i="1" s="1"/>
  <c r="AA458" i="1" s="1"/>
  <c r="N459" i="1"/>
  <c r="X459" i="1" s="1"/>
  <c r="AA459" i="1" s="1"/>
  <c r="N460" i="1"/>
  <c r="X460" i="1" s="1"/>
  <c r="AA460" i="1" s="1"/>
  <c r="N461" i="1"/>
  <c r="X461" i="1" s="1"/>
  <c r="AA461" i="1" s="1"/>
  <c r="N462" i="1"/>
  <c r="X462" i="1" s="1"/>
  <c r="AA462" i="1" s="1"/>
  <c r="N463" i="1"/>
  <c r="X463" i="1" s="1"/>
  <c r="AA463" i="1" s="1"/>
  <c r="N464" i="1"/>
  <c r="X464" i="1" s="1"/>
  <c r="AA464" i="1" s="1"/>
  <c r="N465" i="1"/>
  <c r="X465" i="1" s="1"/>
  <c r="AA465" i="1" s="1"/>
  <c r="N466" i="1"/>
  <c r="X466" i="1" s="1"/>
  <c r="AA466" i="1" s="1"/>
  <c r="N467" i="1"/>
  <c r="X467" i="1" s="1"/>
  <c r="AA467" i="1" s="1"/>
  <c r="N468" i="1"/>
  <c r="X468" i="1" s="1"/>
  <c r="AA468" i="1" s="1"/>
  <c r="N469" i="1"/>
  <c r="X469" i="1" s="1"/>
  <c r="AA469" i="1" s="1"/>
  <c r="N470" i="1"/>
  <c r="X470" i="1" s="1"/>
  <c r="AA470" i="1" s="1"/>
  <c r="N471" i="1"/>
  <c r="X471" i="1" s="1"/>
  <c r="AA471" i="1" s="1"/>
  <c r="N472" i="1"/>
  <c r="X472" i="1" s="1"/>
  <c r="AA472" i="1" s="1"/>
  <c r="N473" i="1"/>
  <c r="X473" i="1" s="1"/>
  <c r="AA473" i="1" s="1"/>
  <c r="N474" i="1"/>
  <c r="X474" i="1" s="1"/>
  <c r="AA474" i="1" s="1"/>
  <c r="N475" i="1"/>
  <c r="X475" i="1" s="1"/>
  <c r="AA475" i="1" s="1"/>
  <c r="N476" i="1"/>
  <c r="X476" i="1" s="1"/>
  <c r="AA476" i="1" s="1"/>
  <c r="N477" i="1"/>
  <c r="X477" i="1" s="1"/>
  <c r="AA477" i="1" s="1"/>
  <c r="N478" i="1"/>
  <c r="X478" i="1" s="1"/>
  <c r="AA478" i="1" s="1"/>
  <c r="N479" i="1"/>
  <c r="X479" i="1" s="1"/>
  <c r="AA479" i="1" s="1"/>
  <c r="N480" i="1"/>
  <c r="X480" i="1" s="1"/>
  <c r="AA480" i="1" s="1"/>
  <c r="N481" i="1"/>
  <c r="X481" i="1" s="1"/>
  <c r="AA481" i="1" s="1"/>
  <c r="N482" i="1"/>
  <c r="X482" i="1" s="1"/>
  <c r="AA482" i="1" s="1"/>
  <c r="N483" i="1"/>
  <c r="X483" i="1" s="1"/>
  <c r="AA483" i="1" s="1"/>
  <c r="N484" i="1"/>
  <c r="X484" i="1" s="1"/>
  <c r="AA484" i="1" s="1"/>
  <c r="N485" i="1"/>
  <c r="X485" i="1" s="1"/>
  <c r="AA485" i="1" s="1"/>
  <c r="N486" i="1"/>
  <c r="X486" i="1" s="1"/>
  <c r="AA486" i="1" s="1"/>
  <c r="N487" i="1"/>
  <c r="X487" i="1" s="1"/>
  <c r="AA487" i="1" s="1"/>
  <c r="N488" i="1"/>
  <c r="X488" i="1" s="1"/>
  <c r="AA488" i="1" s="1"/>
  <c r="N489" i="1"/>
  <c r="X489" i="1" s="1"/>
  <c r="AA489" i="1" s="1"/>
  <c r="N490" i="1"/>
  <c r="X490" i="1" s="1"/>
  <c r="AA490" i="1" s="1"/>
  <c r="N491" i="1"/>
  <c r="X491" i="1" s="1"/>
  <c r="AA491" i="1" s="1"/>
  <c r="N492" i="1"/>
  <c r="X492" i="1" s="1"/>
  <c r="AA492" i="1" s="1"/>
  <c r="N493" i="1"/>
  <c r="X493" i="1" s="1"/>
  <c r="AA493" i="1" s="1"/>
  <c r="N494" i="1"/>
  <c r="X494" i="1" s="1"/>
  <c r="AA494" i="1" s="1"/>
  <c r="N495" i="1"/>
  <c r="X495" i="1" s="1"/>
  <c r="AA495" i="1" s="1"/>
  <c r="N496" i="1"/>
  <c r="X496" i="1" s="1"/>
  <c r="AA496" i="1" s="1"/>
  <c r="N497" i="1"/>
  <c r="X497" i="1" s="1"/>
  <c r="AA497" i="1" s="1"/>
  <c r="N498" i="1"/>
  <c r="X498" i="1" s="1"/>
  <c r="AA498" i="1" s="1"/>
  <c r="N499" i="1"/>
  <c r="X499" i="1" s="1"/>
  <c r="AA499" i="1" s="1"/>
  <c r="N500" i="1"/>
  <c r="X500" i="1" s="1"/>
  <c r="AA500" i="1" s="1"/>
  <c r="N501" i="1"/>
  <c r="X501" i="1" s="1"/>
  <c r="AA501" i="1" s="1"/>
  <c r="N502" i="1"/>
  <c r="X502" i="1" s="1"/>
  <c r="AA502" i="1" s="1"/>
  <c r="N503" i="1"/>
  <c r="X503" i="1" s="1"/>
  <c r="AA503" i="1" s="1"/>
  <c r="N504" i="1"/>
  <c r="X504" i="1" s="1"/>
  <c r="AA504" i="1" s="1"/>
  <c r="N505" i="1"/>
  <c r="X505" i="1" s="1"/>
  <c r="AA505" i="1" s="1"/>
  <c r="N506" i="1"/>
  <c r="X506" i="1" s="1"/>
  <c r="AA506" i="1" s="1"/>
  <c r="N507" i="1"/>
  <c r="X507" i="1" s="1"/>
  <c r="AA507" i="1" s="1"/>
  <c r="N508" i="1"/>
  <c r="X508" i="1" s="1"/>
  <c r="AA508" i="1" s="1"/>
  <c r="N509" i="1"/>
  <c r="X509" i="1" s="1"/>
  <c r="AA509" i="1" s="1"/>
  <c r="N510" i="1"/>
  <c r="X510" i="1" s="1"/>
  <c r="AA510" i="1" s="1"/>
  <c r="N511" i="1"/>
  <c r="X511" i="1" s="1"/>
  <c r="AA511" i="1" s="1"/>
  <c r="N512" i="1"/>
  <c r="X512" i="1" s="1"/>
  <c r="AA512" i="1" s="1"/>
  <c r="N513" i="1"/>
  <c r="X513" i="1" s="1"/>
  <c r="AA513" i="1" s="1"/>
  <c r="N514" i="1"/>
  <c r="X514" i="1" s="1"/>
  <c r="AA514" i="1" s="1"/>
  <c r="N515" i="1"/>
  <c r="X515" i="1" s="1"/>
  <c r="AA515" i="1" s="1"/>
  <c r="N516" i="1"/>
  <c r="X516" i="1" s="1"/>
  <c r="AA516" i="1" s="1"/>
  <c r="N517" i="1"/>
  <c r="X517" i="1" s="1"/>
  <c r="AA517" i="1" s="1"/>
  <c r="N518" i="1"/>
  <c r="X518" i="1" s="1"/>
  <c r="AA518" i="1" s="1"/>
  <c r="N519" i="1"/>
  <c r="X519" i="1" s="1"/>
  <c r="AA519" i="1" s="1"/>
  <c r="N520" i="1"/>
  <c r="X520" i="1" s="1"/>
  <c r="AA520" i="1" s="1"/>
  <c r="N521" i="1"/>
  <c r="X521" i="1" s="1"/>
  <c r="AA521" i="1" s="1"/>
  <c r="N522" i="1"/>
  <c r="X522" i="1" s="1"/>
  <c r="AA522" i="1" s="1"/>
  <c r="N523" i="1"/>
  <c r="X523" i="1" s="1"/>
  <c r="AA523" i="1" s="1"/>
  <c r="N524" i="1"/>
  <c r="X524" i="1" s="1"/>
  <c r="AA524" i="1" s="1"/>
  <c r="N525" i="1"/>
  <c r="X525" i="1" s="1"/>
  <c r="AA525" i="1" s="1"/>
  <c r="N526" i="1"/>
  <c r="X526" i="1" s="1"/>
  <c r="AA526" i="1" s="1"/>
  <c r="N527" i="1"/>
  <c r="X527" i="1" s="1"/>
  <c r="AA527" i="1" s="1"/>
  <c r="N528" i="1"/>
  <c r="X528" i="1" s="1"/>
  <c r="AA528" i="1" s="1"/>
  <c r="N529" i="1"/>
  <c r="X529" i="1" s="1"/>
  <c r="AA529" i="1" s="1"/>
  <c r="N530" i="1"/>
  <c r="X530" i="1" s="1"/>
  <c r="AA530" i="1" s="1"/>
  <c r="N531" i="1"/>
  <c r="X531" i="1" s="1"/>
  <c r="AA531" i="1" s="1"/>
  <c r="N532" i="1"/>
  <c r="X532" i="1" s="1"/>
  <c r="AA532" i="1" s="1"/>
  <c r="N533" i="1"/>
  <c r="X533" i="1" s="1"/>
  <c r="AA533" i="1" s="1"/>
  <c r="N534" i="1"/>
  <c r="X534" i="1" s="1"/>
  <c r="AA534" i="1" s="1"/>
  <c r="N535" i="1"/>
  <c r="X535" i="1" s="1"/>
  <c r="AA535" i="1" s="1"/>
  <c r="N536" i="1"/>
  <c r="X536" i="1" s="1"/>
  <c r="AA536" i="1" s="1"/>
  <c r="N537" i="1"/>
  <c r="X537" i="1" s="1"/>
  <c r="AA537" i="1" s="1"/>
  <c r="N538" i="1"/>
  <c r="X538" i="1" s="1"/>
  <c r="AA538" i="1" s="1"/>
  <c r="N539" i="1"/>
  <c r="X539" i="1" s="1"/>
  <c r="AA539" i="1" s="1"/>
  <c r="N540" i="1"/>
  <c r="X540" i="1" s="1"/>
  <c r="AA540" i="1" s="1"/>
  <c r="N541" i="1"/>
  <c r="X541" i="1" s="1"/>
  <c r="AA541" i="1" s="1"/>
  <c r="N542" i="1"/>
  <c r="X542" i="1" s="1"/>
  <c r="AA542" i="1" s="1"/>
  <c r="N543" i="1"/>
  <c r="X543" i="1" s="1"/>
  <c r="AA543" i="1" s="1"/>
  <c r="N544" i="1"/>
  <c r="X544" i="1" s="1"/>
  <c r="AA544" i="1" s="1"/>
  <c r="N545" i="1"/>
  <c r="X545" i="1" s="1"/>
  <c r="AA545" i="1" s="1"/>
  <c r="N546" i="1"/>
  <c r="X546" i="1" s="1"/>
  <c r="AA546" i="1" s="1"/>
  <c r="N547" i="1"/>
  <c r="X547" i="1" s="1"/>
  <c r="AA547" i="1" s="1"/>
  <c r="N548" i="1"/>
  <c r="X548" i="1" s="1"/>
  <c r="AA548" i="1" s="1"/>
  <c r="N549" i="1"/>
  <c r="X549" i="1" s="1"/>
  <c r="AA549" i="1" s="1"/>
  <c r="N550" i="1"/>
  <c r="X550" i="1" s="1"/>
  <c r="AA550" i="1" s="1"/>
  <c r="N551" i="1"/>
  <c r="X551" i="1" s="1"/>
  <c r="AA551" i="1" s="1"/>
  <c r="N552" i="1"/>
  <c r="X552" i="1" s="1"/>
  <c r="AA552" i="1" s="1"/>
  <c r="N553" i="1"/>
  <c r="X553" i="1" s="1"/>
  <c r="AA553" i="1" s="1"/>
  <c r="N554" i="1"/>
  <c r="X554" i="1" s="1"/>
  <c r="AA554" i="1" s="1"/>
  <c r="N555" i="1"/>
  <c r="X555" i="1" s="1"/>
  <c r="AA555" i="1" s="1"/>
  <c r="N556" i="1"/>
  <c r="X556" i="1" s="1"/>
  <c r="AA556" i="1" s="1"/>
  <c r="N557" i="1"/>
  <c r="X557" i="1" s="1"/>
  <c r="AA557" i="1" s="1"/>
  <c r="N558" i="1"/>
  <c r="X558" i="1" s="1"/>
  <c r="AA558" i="1" s="1"/>
  <c r="N559" i="1"/>
  <c r="X559" i="1" s="1"/>
  <c r="AA559" i="1" s="1"/>
  <c r="N560" i="1"/>
  <c r="X560" i="1" s="1"/>
  <c r="AA560" i="1" s="1"/>
  <c r="N561" i="1"/>
  <c r="X561" i="1" s="1"/>
  <c r="AA561" i="1" s="1"/>
  <c r="N562" i="1"/>
  <c r="X562" i="1" s="1"/>
  <c r="AA562" i="1" s="1"/>
  <c r="N563" i="1"/>
  <c r="X563" i="1" s="1"/>
  <c r="AA563" i="1" s="1"/>
  <c r="N564" i="1"/>
  <c r="X564" i="1" s="1"/>
  <c r="AA564" i="1" s="1"/>
  <c r="N565" i="1"/>
  <c r="X565" i="1" s="1"/>
  <c r="AA565" i="1" s="1"/>
  <c r="N566" i="1"/>
  <c r="X566" i="1" s="1"/>
  <c r="AA566" i="1" s="1"/>
  <c r="N567" i="1"/>
  <c r="X567" i="1" s="1"/>
  <c r="AA567" i="1" s="1"/>
  <c r="N568" i="1"/>
  <c r="X568" i="1" s="1"/>
  <c r="AA568" i="1" s="1"/>
  <c r="N569" i="1"/>
  <c r="X569" i="1" s="1"/>
  <c r="AA569" i="1" s="1"/>
  <c r="N570" i="1"/>
  <c r="X570" i="1" s="1"/>
  <c r="AA570" i="1" s="1"/>
  <c r="N571" i="1"/>
  <c r="X571" i="1" s="1"/>
  <c r="AA571" i="1" s="1"/>
  <c r="N572" i="1"/>
  <c r="X572" i="1" s="1"/>
  <c r="AA572" i="1" s="1"/>
  <c r="N573" i="1"/>
  <c r="X573" i="1" s="1"/>
  <c r="AA573" i="1" s="1"/>
  <c r="N574" i="1"/>
  <c r="X574" i="1" s="1"/>
  <c r="AA574" i="1" s="1"/>
  <c r="N575" i="1"/>
  <c r="X575" i="1" s="1"/>
  <c r="AA575" i="1" s="1"/>
  <c r="N576" i="1"/>
  <c r="X576" i="1" s="1"/>
  <c r="AA576" i="1" s="1"/>
  <c r="N577" i="1"/>
  <c r="X577" i="1" s="1"/>
  <c r="AA577" i="1" s="1"/>
  <c r="N578" i="1"/>
  <c r="X578" i="1" s="1"/>
  <c r="AA578" i="1" s="1"/>
  <c r="N579" i="1"/>
  <c r="X579" i="1" s="1"/>
  <c r="AA579" i="1" s="1"/>
  <c r="N580" i="1"/>
  <c r="X580" i="1" s="1"/>
  <c r="AA580" i="1" s="1"/>
  <c r="N581" i="1"/>
  <c r="X581" i="1" s="1"/>
  <c r="AA581" i="1" s="1"/>
  <c r="N582" i="1"/>
  <c r="X582" i="1" s="1"/>
  <c r="AA582" i="1" s="1"/>
  <c r="N583" i="1"/>
  <c r="X583" i="1" s="1"/>
  <c r="AA583" i="1" s="1"/>
  <c r="N584" i="1"/>
  <c r="X584" i="1" s="1"/>
  <c r="AA584" i="1" s="1"/>
  <c r="N585" i="1"/>
  <c r="X585" i="1" s="1"/>
  <c r="AA585" i="1" s="1"/>
  <c r="N586" i="1"/>
  <c r="X586" i="1" s="1"/>
  <c r="AA586" i="1" s="1"/>
  <c r="N587" i="1"/>
  <c r="X587" i="1" s="1"/>
  <c r="AA587" i="1" s="1"/>
  <c r="N588" i="1"/>
  <c r="X588" i="1" s="1"/>
  <c r="AA588" i="1" s="1"/>
  <c r="N589" i="1"/>
  <c r="X589" i="1" s="1"/>
  <c r="AA589" i="1" s="1"/>
  <c r="N590" i="1"/>
  <c r="X590" i="1" s="1"/>
  <c r="AA590" i="1" s="1"/>
  <c r="N591" i="1"/>
  <c r="X591" i="1" s="1"/>
  <c r="AA591" i="1" s="1"/>
  <c r="N592" i="1"/>
  <c r="X592" i="1" s="1"/>
  <c r="AA592" i="1" s="1"/>
  <c r="N593" i="1"/>
  <c r="X593" i="1" s="1"/>
  <c r="AA593" i="1" s="1"/>
  <c r="N594" i="1"/>
  <c r="X594" i="1" s="1"/>
  <c r="AA594" i="1" s="1"/>
  <c r="N595" i="1"/>
  <c r="X595" i="1" s="1"/>
  <c r="AA595" i="1" s="1"/>
  <c r="N596" i="1"/>
  <c r="X596" i="1" s="1"/>
  <c r="AA596" i="1" s="1"/>
  <c r="N597" i="1"/>
  <c r="X597" i="1" s="1"/>
  <c r="AA597" i="1" s="1"/>
  <c r="N598" i="1"/>
  <c r="X598" i="1" s="1"/>
  <c r="AA598" i="1" s="1"/>
  <c r="N599" i="1"/>
  <c r="X599" i="1" s="1"/>
  <c r="AA599" i="1" s="1"/>
  <c r="N600" i="1"/>
  <c r="X600" i="1" s="1"/>
  <c r="AA600" i="1" s="1"/>
  <c r="N601" i="1"/>
  <c r="X601" i="1" s="1"/>
  <c r="AA601" i="1" s="1"/>
  <c r="N602" i="1"/>
  <c r="X602" i="1" s="1"/>
  <c r="AA602" i="1" s="1"/>
  <c r="N603" i="1"/>
  <c r="X603" i="1" s="1"/>
  <c r="AA603" i="1" s="1"/>
  <c r="N604" i="1"/>
  <c r="X604" i="1" s="1"/>
  <c r="AA604" i="1" s="1"/>
  <c r="N605" i="1"/>
  <c r="X605" i="1" s="1"/>
  <c r="AA605" i="1" s="1"/>
  <c r="N606" i="1"/>
  <c r="X606" i="1" s="1"/>
  <c r="AA606" i="1" s="1"/>
  <c r="N607" i="1"/>
  <c r="X607" i="1" s="1"/>
  <c r="AA607" i="1" s="1"/>
  <c r="N608" i="1"/>
  <c r="X608" i="1" s="1"/>
  <c r="AA608" i="1" s="1"/>
  <c r="N609" i="1"/>
  <c r="X609" i="1" s="1"/>
  <c r="AA609" i="1" s="1"/>
  <c r="N610" i="1"/>
  <c r="X610" i="1" s="1"/>
  <c r="AA610" i="1" s="1"/>
  <c r="N611" i="1"/>
  <c r="X611" i="1" s="1"/>
  <c r="AA611" i="1" s="1"/>
  <c r="N612" i="1"/>
  <c r="X612" i="1" s="1"/>
  <c r="AA612" i="1" s="1"/>
  <c r="N613" i="1"/>
  <c r="X613" i="1" s="1"/>
  <c r="AA613" i="1" s="1"/>
  <c r="N614" i="1"/>
  <c r="X614" i="1" s="1"/>
  <c r="AA614" i="1" s="1"/>
  <c r="N615" i="1"/>
  <c r="X615" i="1" s="1"/>
  <c r="AA615" i="1" s="1"/>
  <c r="N616" i="1"/>
  <c r="X616" i="1" s="1"/>
  <c r="AA616" i="1" s="1"/>
  <c r="N617" i="1"/>
  <c r="X617" i="1" s="1"/>
  <c r="AA617" i="1" s="1"/>
  <c r="N618" i="1"/>
  <c r="X618" i="1" s="1"/>
  <c r="AA618" i="1" s="1"/>
  <c r="N619" i="1"/>
  <c r="X619" i="1" s="1"/>
  <c r="AA619" i="1" s="1"/>
  <c r="N620" i="1"/>
  <c r="X620" i="1" s="1"/>
  <c r="AA620" i="1" s="1"/>
  <c r="N621" i="1"/>
  <c r="X621" i="1" s="1"/>
  <c r="AA621" i="1" s="1"/>
  <c r="N622" i="1"/>
  <c r="X622" i="1" s="1"/>
  <c r="AA622" i="1" s="1"/>
  <c r="N623" i="1"/>
  <c r="X623" i="1" s="1"/>
  <c r="AA623" i="1" s="1"/>
  <c r="N624" i="1"/>
  <c r="X624" i="1" s="1"/>
  <c r="AA624" i="1" s="1"/>
  <c r="N625" i="1"/>
  <c r="X625" i="1" s="1"/>
  <c r="AA625" i="1" s="1"/>
  <c r="N626" i="1"/>
  <c r="X626" i="1" s="1"/>
  <c r="AA626" i="1" s="1"/>
  <c r="N627" i="1"/>
  <c r="X627" i="1" s="1"/>
  <c r="AA627" i="1" s="1"/>
  <c r="N628" i="1"/>
  <c r="X628" i="1" s="1"/>
  <c r="AA628" i="1" s="1"/>
  <c r="N629" i="1"/>
  <c r="X629" i="1" s="1"/>
  <c r="AA629" i="1" s="1"/>
  <c r="N630" i="1"/>
  <c r="X630" i="1" s="1"/>
  <c r="AA630" i="1" s="1"/>
  <c r="N631" i="1"/>
  <c r="X631" i="1" s="1"/>
  <c r="AA631" i="1" s="1"/>
  <c r="N632" i="1"/>
  <c r="X632" i="1" s="1"/>
  <c r="AA632" i="1" s="1"/>
  <c r="N633" i="1"/>
  <c r="X633" i="1" s="1"/>
  <c r="AA633" i="1" s="1"/>
  <c r="N634" i="1"/>
  <c r="X634" i="1" s="1"/>
  <c r="AA634" i="1" s="1"/>
  <c r="N635" i="1"/>
  <c r="X635" i="1" s="1"/>
  <c r="AA635" i="1" s="1"/>
  <c r="N636" i="1"/>
  <c r="X636" i="1" s="1"/>
  <c r="AA636" i="1" s="1"/>
  <c r="N637" i="1"/>
  <c r="X637" i="1" s="1"/>
  <c r="AA637" i="1" s="1"/>
  <c r="N638" i="1"/>
  <c r="X638" i="1" s="1"/>
  <c r="AA638" i="1" s="1"/>
  <c r="N639" i="1"/>
  <c r="X639" i="1" s="1"/>
  <c r="AA639" i="1" s="1"/>
  <c r="N640" i="1"/>
  <c r="X640" i="1" s="1"/>
  <c r="AA640" i="1" s="1"/>
  <c r="N641" i="1"/>
  <c r="X641" i="1" s="1"/>
  <c r="AA641" i="1" s="1"/>
  <c r="N642" i="1"/>
  <c r="X642" i="1" s="1"/>
  <c r="AA642" i="1" s="1"/>
  <c r="N643" i="1"/>
  <c r="X643" i="1" s="1"/>
  <c r="AA643" i="1" s="1"/>
  <c r="N644" i="1"/>
  <c r="X644" i="1" s="1"/>
  <c r="AA644" i="1" s="1"/>
  <c r="N645" i="1"/>
  <c r="X645" i="1" s="1"/>
  <c r="AA645" i="1" s="1"/>
  <c r="N646" i="1"/>
  <c r="X646" i="1" s="1"/>
  <c r="AA646" i="1" s="1"/>
  <c r="N647" i="1"/>
  <c r="X647" i="1" s="1"/>
  <c r="AA647" i="1" s="1"/>
  <c r="N648" i="1"/>
  <c r="X648" i="1" s="1"/>
  <c r="AA648" i="1" s="1"/>
  <c r="N649" i="1"/>
  <c r="X649" i="1" s="1"/>
  <c r="AA649" i="1" s="1"/>
  <c r="N650" i="1"/>
  <c r="X650" i="1" s="1"/>
  <c r="AA650" i="1" s="1"/>
  <c r="N651" i="1"/>
  <c r="X651" i="1" s="1"/>
  <c r="AA651" i="1" s="1"/>
  <c r="N652" i="1"/>
  <c r="X652" i="1" s="1"/>
  <c r="AA652" i="1" s="1"/>
  <c r="N653" i="1"/>
  <c r="X653" i="1" s="1"/>
  <c r="AA653" i="1" s="1"/>
  <c r="N654" i="1"/>
  <c r="X654" i="1" s="1"/>
  <c r="AA654" i="1" s="1"/>
  <c r="N655" i="1"/>
  <c r="X655" i="1" s="1"/>
  <c r="AA655" i="1" s="1"/>
  <c r="N656" i="1"/>
  <c r="X656" i="1" s="1"/>
  <c r="AA656" i="1" s="1"/>
  <c r="N657" i="1"/>
  <c r="X657" i="1" s="1"/>
  <c r="AA657" i="1" s="1"/>
  <c r="N658" i="1"/>
  <c r="X658" i="1" s="1"/>
  <c r="AA658" i="1" s="1"/>
  <c r="N659" i="1"/>
  <c r="X659" i="1" s="1"/>
  <c r="AA659" i="1" s="1"/>
  <c r="N660" i="1"/>
  <c r="X660" i="1" s="1"/>
  <c r="AA660" i="1" s="1"/>
  <c r="N661" i="1"/>
  <c r="X661" i="1" s="1"/>
  <c r="AA661" i="1" s="1"/>
  <c r="N662" i="1"/>
  <c r="X662" i="1" s="1"/>
  <c r="AA662" i="1" s="1"/>
  <c r="N663" i="1"/>
  <c r="X663" i="1" s="1"/>
  <c r="AA663" i="1" s="1"/>
  <c r="N664" i="1"/>
  <c r="X664" i="1" s="1"/>
  <c r="AA664" i="1" s="1"/>
  <c r="N665" i="1"/>
  <c r="X665" i="1" s="1"/>
  <c r="AA665" i="1" s="1"/>
  <c r="N666" i="1"/>
  <c r="X666" i="1" s="1"/>
  <c r="AA666" i="1" s="1"/>
  <c r="N667" i="1"/>
  <c r="X667" i="1" s="1"/>
  <c r="AA667" i="1" s="1"/>
  <c r="N668" i="1"/>
  <c r="X668" i="1" s="1"/>
  <c r="AA668" i="1" s="1"/>
  <c r="N669" i="1"/>
  <c r="X669" i="1" s="1"/>
  <c r="AA669" i="1" s="1"/>
  <c r="N670" i="1"/>
  <c r="X670" i="1" s="1"/>
  <c r="AA670" i="1" s="1"/>
  <c r="N671" i="1"/>
  <c r="X671" i="1" s="1"/>
  <c r="AA671" i="1" s="1"/>
  <c r="N672" i="1"/>
  <c r="X672" i="1" s="1"/>
  <c r="AA672" i="1" s="1"/>
  <c r="N673" i="1"/>
  <c r="X673" i="1" s="1"/>
  <c r="AA673" i="1" s="1"/>
  <c r="N674" i="1"/>
  <c r="X674" i="1" s="1"/>
  <c r="AA674" i="1" s="1"/>
  <c r="N675" i="1"/>
  <c r="X675" i="1" s="1"/>
  <c r="AA675" i="1" s="1"/>
  <c r="N676" i="1"/>
  <c r="X676" i="1" s="1"/>
  <c r="AA676" i="1" s="1"/>
  <c r="N677" i="1"/>
  <c r="X677" i="1" s="1"/>
  <c r="AA677" i="1" s="1"/>
  <c r="N678" i="1"/>
  <c r="X678" i="1" s="1"/>
  <c r="AA678" i="1" s="1"/>
  <c r="N679" i="1"/>
  <c r="X679" i="1" s="1"/>
  <c r="AA679" i="1" s="1"/>
  <c r="N680" i="1"/>
  <c r="X680" i="1" s="1"/>
  <c r="AA680" i="1" s="1"/>
  <c r="N681" i="1"/>
  <c r="X681" i="1" s="1"/>
  <c r="AA681" i="1" s="1"/>
  <c r="N682" i="1"/>
  <c r="X682" i="1" s="1"/>
  <c r="AA682" i="1" s="1"/>
  <c r="N683" i="1"/>
  <c r="X683" i="1" s="1"/>
  <c r="AA683" i="1" s="1"/>
  <c r="N684" i="1"/>
  <c r="X684" i="1" s="1"/>
  <c r="AA684" i="1" s="1"/>
  <c r="N685" i="1"/>
  <c r="X685" i="1" s="1"/>
  <c r="AA685" i="1" s="1"/>
  <c r="N686" i="1"/>
  <c r="X686" i="1" s="1"/>
  <c r="AA686" i="1" s="1"/>
  <c r="N687" i="1"/>
  <c r="X687" i="1" s="1"/>
  <c r="AA687" i="1" s="1"/>
  <c r="N688" i="1"/>
  <c r="X688" i="1" s="1"/>
  <c r="AA688" i="1" s="1"/>
  <c r="N689" i="1"/>
  <c r="X689" i="1" s="1"/>
  <c r="AA689" i="1" s="1"/>
  <c r="N690" i="1"/>
  <c r="X690" i="1" s="1"/>
  <c r="AA690" i="1" s="1"/>
  <c r="N691" i="1"/>
  <c r="X691" i="1" s="1"/>
  <c r="AA691" i="1" s="1"/>
  <c r="N692" i="1"/>
  <c r="X692" i="1" s="1"/>
  <c r="AA692" i="1" s="1"/>
  <c r="N693" i="1"/>
  <c r="X693" i="1" s="1"/>
  <c r="AA693" i="1" s="1"/>
  <c r="N694" i="1"/>
  <c r="X694" i="1" s="1"/>
  <c r="AA694" i="1" s="1"/>
  <c r="N695" i="1"/>
  <c r="X695" i="1" s="1"/>
  <c r="AA695" i="1" s="1"/>
  <c r="N696" i="1"/>
  <c r="X696" i="1" s="1"/>
  <c r="AA696" i="1" s="1"/>
  <c r="N697" i="1"/>
  <c r="X697" i="1" s="1"/>
  <c r="AA697" i="1" s="1"/>
  <c r="N698" i="1"/>
  <c r="X698" i="1" s="1"/>
  <c r="AA698" i="1" s="1"/>
  <c r="N699" i="1"/>
  <c r="X699" i="1" s="1"/>
  <c r="AA699" i="1" s="1"/>
  <c r="N700" i="1"/>
  <c r="X700" i="1" s="1"/>
  <c r="AA700" i="1" s="1"/>
  <c r="N701" i="1"/>
  <c r="X701" i="1" s="1"/>
  <c r="AA701" i="1" s="1"/>
  <c r="N702" i="1"/>
  <c r="X702" i="1" s="1"/>
  <c r="AA702" i="1" s="1"/>
  <c r="N703" i="1"/>
  <c r="X703" i="1" s="1"/>
  <c r="AA703" i="1" s="1"/>
  <c r="N704" i="1"/>
  <c r="X704" i="1" s="1"/>
  <c r="AA704" i="1" s="1"/>
  <c r="N705" i="1"/>
  <c r="X705" i="1" s="1"/>
  <c r="AA705" i="1" s="1"/>
  <c r="N706" i="1"/>
  <c r="X706" i="1" s="1"/>
  <c r="AA706" i="1" s="1"/>
  <c r="N707" i="1"/>
  <c r="X707" i="1" s="1"/>
  <c r="AA707" i="1" s="1"/>
  <c r="N708" i="1"/>
  <c r="X708" i="1" s="1"/>
  <c r="AA708" i="1" s="1"/>
  <c r="N709" i="1"/>
  <c r="X709" i="1" s="1"/>
  <c r="AA709" i="1" s="1"/>
  <c r="N710" i="1"/>
  <c r="X710" i="1" s="1"/>
  <c r="AA710" i="1" s="1"/>
  <c r="N711" i="1"/>
  <c r="X711" i="1" s="1"/>
  <c r="AA711" i="1" s="1"/>
  <c r="N712" i="1"/>
  <c r="X712" i="1" s="1"/>
  <c r="AA712" i="1" s="1"/>
  <c r="N713" i="1"/>
  <c r="X713" i="1" s="1"/>
  <c r="AA713" i="1" s="1"/>
  <c r="N714" i="1"/>
  <c r="X714" i="1" s="1"/>
  <c r="AA714" i="1" s="1"/>
  <c r="N715" i="1"/>
  <c r="X715" i="1" s="1"/>
  <c r="AA715" i="1" s="1"/>
  <c r="N716" i="1"/>
  <c r="X716" i="1" s="1"/>
  <c r="AA716" i="1" s="1"/>
  <c r="N717" i="1"/>
  <c r="X717" i="1" s="1"/>
  <c r="AA717" i="1" s="1"/>
  <c r="N718" i="1"/>
  <c r="X718" i="1" s="1"/>
  <c r="AA718" i="1" s="1"/>
  <c r="N719" i="1"/>
  <c r="X719" i="1" s="1"/>
  <c r="AA719" i="1" s="1"/>
  <c r="N720" i="1"/>
  <c r="X720" i="1" s="1"/>
  <c r="AA720" i="1" s="1"/>
  <c r="N721" i="1"/>
  <c r="X721" i="1" s="1"/>
  <c r="AA721" i="1" s="1"/>
  <c r="N722" i="1"/>
  <c r="X722" i="1" s="1"/>
  <c r="AA722" i="1" s="1"/>
  <c r="N723" i="1"/>
  <c r="X723" i="1" s="1"/>
  <c r="AA723" i="1" s="1"/>
  <c r="N724" i="1"/>
  <c r="X724" i="1" s="1"/>
  <c r="AA724" i="1" s="1"/>
  <c r="N725" i="1"/>
  <c r="X725" i="1" s="1"/>
  <c r="AA725" i="1" s="1"/>
  <c r="N726" i="1"/>
  <c r="X726" i="1" s="1"/>
  <c r="AA726" i="1" s="1"/>
  <c r="N727" i="1"/>
  <c r="X727" i="1" s="1"/>
  <c r="AA727" i="1" s="1"/>
  <c r="N728" i="1"/>
  <c r="X728" i="1" s="1"/>
  <c r="AA728" i="1" s="1"/>
  <c r="N729" i="1"/>
  <c r="X729" i="1" s="1"/>
  <c r="AA729" i="1" s="1"/>
  <c r="N730" i="1"/>
  <c r="X730" i="1" s="1"/>
  <c r="AA730" i="1" s="1"/>
  <c r="N731" i="1"/>
  <c r="X731" i="1" s="1"/>
  <c r="AA731" i="1" s="1"/>
  <c r="N732" i="1"/>
  <c r="X732" i="1" s="1"/>
  <c r="AA732" i="1" s="1"/>
  <c r="N733" i="1"/>
  <c r="X733" i="1" s="1"/>
  <c r="AA733" i="1" s="1"/>
  <c r="N734" i="1"/>
  <c r="X734" i="1" s="1"/>
  <c r="AA734" i="1" s="1"/>
  <c r="N735" i="1"/>
  <c r="X735" i="1" s="1"/>
  <c r="AA735" i="1" s="1"/>
  <c r="N736" i="1"/>
  <c r="X736" i="1" s="1"/>
  <c r="AA736" i="1" s="1"/>
  <c r="N737" i="1"/>
  <c r="X737" i="1" s="1"/>
  <c r="AA737" i="1" s="1"/>
  <c r="N738" i="1"/>
  <c r="X738" i="1" s="1"/>
  <c r="AA738" i="1" s="1"/>
  <c r="N739" i="1"/>
  <c r="X739" i="1" s="1"/>
  <c r="AA739" i="1" s="1"/>
  <c r="N740" i="1"/>
  <c r="X740" i="1" s="1"/>
  <c r="AA740" i="1" s="1"/>
  <c r="N741" i="1"/>
  <c r="X741" i="1" s="1"/>
  <c r="AA741" i="1" s="1"/>
  <c r="N742" i="1"/>
  <c r="X742" i="1" s="1"/>
  <c r="AA742" i="1" s="1"/>
  <c r="N743" i="1"/>
  <c r="X743" i="1" s="1"/>
  <c r="AA743" i="1" s="1"/>
  <c r="N744" i="1"/>
  <c r="X744" i="1" s="1"/>
  <c r="AA744" i="1" s="1"/>
  <c r="N745" i="1"/>
  <c r="X745" i="1" s="1"/>
  <c r="AA745" i="1" s="1"/>
  <c r="N746" i="1"/>
  <c r="X746" i="1" s="1"/>
  <c r="AA746" i="1" s="1"/>
  <c r="N747" i="1"/>
  <c r="X747" i="1" s="1"/>
  <c r="AA747" i="1" s="1"/>
  <c r="N748" i="1"/>
  <c r="X748" i="1" s="1"/>
  <c r="AA748" i="1" s="1"/>
  <c r="N749" i="1"/>
  <c r="X749" i="1" s="1"/>
  <c r="AA749" i="1" s="1"/>
  <c r="N750" i="1"/>
  <c r="X750" i="1" s="1"/>
  <c r="AA750" i="1" s="1"/>
  <c r="N751" i="1"/>
  <c r="X751" i="1" s="1"/>
  <c r="AA751" i="1" s="1"/>
  <c r="N752" i="1"/>
  <c r="X752" i="1" s="1"/>
  <c r="AA752" i="1" s="1"/>
  <c r="N753" i="1"/>
  <c r="X753" i="1" s="1"/>
  <c r="AA753" i="1" s="1"/>
  <c r="N754" i="1"/>
  <c r="X754" i="1" s="1"/>
  <c r="AA754" i="1" s="1"/>
  <c r="N755" i="1"/>
  <c r="X755" i="1" s="1"/>
  <c r="AA755" i="1" s="1"/>
  <c r="N756" i="1"/>
  <c r="X756" i="1" s="1"/>
  <c r="AA756" i="1" s="1"/>
  <c r="N757" i="1"/>
  <c r="X757" i="1" s="1"/>
  <c r="AA757" i="1" s="1"/>
  <c r="N758" i="1"/>
  <c r="X758" i="1" s="1"/>
  <c r="AA758" i="1" s="1"/>
  <c r="N759" i="1"/>
  <c r="X759" i="1" s="1"/>
  <c r="AA759" i="1" s="1"/>
  <c r="N760" i="1"/>
  <c r="X760" i="1" s="1"/>
  <c r="AA760" i="1" s="1"/>
  <c r="N761" i="1"/>
  <c r="X761" i="1" s="1"/>
  <c r="AA761" i="1" s="1"/>
  <c r="N762" i="1"/>
  <c r="X762" i="1" s="1"/>
  <c r="AA762" i="1" s="1"/>
  <c r="N763" i="1"/>
  <c r="X763" i="1" s="1"/>
  <c r="AA763" i="1" s="1"/>
  <c r="N764" i="1"/>
  <c r="X764" i="1" s="1"/>
  <c r="AA764" i="1" s="1"/>
  <c r="N765" i="1"/>
  <c r="X765" i="1" s="1"/>
  <c r="AA765" i="1" s="1"/>
  <c r="N766" i="1"/>
  <c r="X766" i="1" s="1"/>
  <c r="AA766" i="1" s="1"/>
  <c r="N767" i="1"/>
  <c r="X767" i="1" s="1"/>
  <c r="AA767" i="1" s="1"/>
  <c r="N768" i="1"/>
  <c r="X768" i="1" s="1"/>
  <c r="AA768" i="1" s="1"/>
  <c r="N769" i="1"/>
  <c r="X769" i="1" s="1"/>
  <c r="AA769" i="1" s="1"/>
  <c r="N770" i="1"/>
  <c r="X770" i="1" s="1"/>
  <c r="AA770" i="1" s="1"/>
  <c r="N771" i="1"/>
  <c r="X771" i="1" s="1"/>
  <c r="AA771" i="1" s="1"/>
  <c r="N772" i="1"/>
  <c r="X772" i="1" s="1"/>
  <c r="AA772" i="1" s="1"/>
  <c r="N773" i="1"/>
  <c r="X773" i="1" s="1"/>
  <c r="AA773" i="1" s="1"/>
  <c r="N774" i="1"/>
  <c r="X774" i="1" s="1"/>
  <c r="AA774" i="1" s="1"/>
  <c r="N775" i="1"/>
  <c r="X775" i="1" s="1"/>
  <c r="AA775" i="1" s="1"/>
  <c r="N776" i="1"/>
  <c r="X776" i="1" s="1"/>
  <c r="AA776" i="1" s="1"/>
  <c r="N777" i="1"/>
  <c r="X777" i="1" s="1"/>
  <c r="AA777" i="1" s="1"/>
  <c r="N778" i="1"/>
  <c r="X778" i="1" s="1"/>
  <c r="AA778" i="1" s="1"/>
  <c r="N779" i="1"/>
  <c r="X779" i="1" s="1"/>
  <c r="AA779" i="1" s="1"/>
  <c r="N780" i="1"/>
  <c r="X780" i="1" s="1"/>
  <c r="AA780" i="1" s="1"/>
  <c r="N781" i="1"/>
  <c r="X781" i="1" s="1"/>
  <c r="AA781" i="1" s="1"/>
  <c r="N782" i="1"/>
  <c r="X782" i="1" s="1"/>
  <c r="AA782" i="1" s="1"/>
  <c r="N783" i="1"/>
  <c r="X783" i="1" s="1"/>
  <c r="AA783" i="1" s="1"/>
  <c r="N784" i="1"/>
  <c r="X784" i="1" s="1"/>
  <c r="AA784" i="1" s="1"/>
  <c r="N785" i="1"/>
  <c r="X785" i="1" s="1"/>
  <c r="AA785" i="1" s="1"/>
  <c r="N786" i="1"/>
  <c r="X786" i="1" s="1"/>
  <c r="AA786" i="1" s="1"/>
  <c r="N787" i="1"/>
  <c r="X787" i="1" s="1"/>
  <c r="AA787" i="1" s="1"/>
  <c r="N788" i="1"/>
  <c r="X788" i="1" s="1"/>
  <c r="AA788" i="1" s="1"/>
  <c r="N789" i="1"/>
  <c r="X789" i="1" s="1"/>
  <c r="AA789" i="1" s="1"/>
  <c r="N790" i="1"/>
  <c r="X790" i="1" s="1"/>
  <c r="AA790" i="1" s="1"/>
  <c r="N791" i="1"/>
  <c r="X791" i="1" s="1"/>
  <c r="AA791" i="1" s="1"/>
  <c r="N792" i="1"/>
  <c r="X792" i="1" s="1"/>
  <c r="AA792" i="1" s="1"/>
  <c r="N793" i="1"/>
  <c r="X793" i="1" s="1"/>
  <c r="AA793" i="1" s="1"/>
  <c r="N794" i="1"/>
  <c r="X794" i="1" s="1"/>
  <c r="AA794" i="1" s="1"/>
  <c r="N795" i="1"/>
  <c r="X795" i="1" s="1"/>
  <c r="AA795" i="1" s="1"/>
  <c r="N796" i="1"/>
  <c r="X796" i="1" s="1"/>
  <c r="AA796" i="1" s="1"/>
  <c r="N797" i="1"/>
  <c r="X797" i="1" s="1"/>
  <c r="AA797" i="1" s="1"/>
  <c r="N798" i="1"/>
  <c r="X798" i="1" s="1"/>
  <c r="AA798" i="1" s="1"/>
  <c r="N799" i="1"/>
  <c r="X799" i="1" s="1"/>
  <c r="AA799" i="1" s="1"/>
  <c r="N800" i="1"/>
  <c r="X800" i="1" s="1"/>
  <c r="AA800" i="1" s="1"/>
  <c r="N801" i="1"/>
  <c r="X801" i="1" s="1"/>
  <c r="AA801" i="1" s="1"/>
  <c r="N802" i="1"/>
  <c r="X802" i="1" s="1"/>
  <c r="AA802" i="1" s="1"/>
  <c r="N803" i="1"/>
  <c r="X803" i="1" s="1"/>
  <c r="AA803" i="1" s="1"/>
  <c r="N804" i="1"/>
  <c r="X804" i="1" s="1"/>
  <c r="AA804" i="1" s="1"/>
  <c r="N805" i="1"/>
  <c r="X805" i="1" s="1"/>
  <c r="AA805" i="1" s="1"/>
  <c r="N806" i="1"/>
  <c r="X806" i="1" s="1"/>
  <c r="AA806" i="1" s="1"/>
  <c r="N807" i="1"/>
  <c r="X807" i="1" s="1"/>
  <c r="AA807" i="1" s="1"/>
  <c r="N808" i="1"/>
  <c r="X808" i="1" s="1"/>
  <c r="AA808" i="1" s="1"/>
  <c r="N809" i="1"/>
  <c r="X809" i="1" s="1"/>
  <c r="AA809" i="1" s="1"/>
  <c r="N810" i="1"/>
  <c r="X810" i="1" s="1"/>
  <c r="AA810" i="1" s="1"/>
  <c r="N811" i="1"/>
  <c r="X811" i="1" s="1"/>
  <c r="AA811" i="1" s="1"/>
  <c r="N812" i="1"/>
  <c r="X812" i="1" s="1"/>
  <c r="AA812" i="1" s="1"/>
  <c r="N813" i="1"/>
  <c r="X813" i="1" s="1"/>
  <c r="AA813" i="1" s="1"/>
  <c r="N814" i="1"/>
  <c r="X814" i="1" s="1"/>
  <c r="AA814" i="1" s="1"/>
  <c r="N815" i="1"/>
  <c r="X815" i="1" s="1"/>
  <c r="AA815" i="1" s="1"/>
  <c r="N816" i="1"/>
  <c r="X816" i="1" s="1"/>
  <c r="AA816" i="1" s="1"/>
  <c r="N817" i="1"/>
  <c r="X817" i="1" s="1"/>
  <c r="AA817" i="1" s="1"/>
  <c r="N818" i="1"/>
  <c r="X818" i="1" s="1"/>
  <c r="AA818" i="1" s="1"/>
  <c r="N819" i="1"/>
  <c r="X819" i="1" s="1"/>
  <c r="AA819" i="1" s="1"/>
  <c r="N820" i="1"/>
  <c r="X820" i="1" s="1"/>
  <c r="AA820" i="1" s="1"/>
  <c r="N821" i="1"/>
  <c r="X821" i="1" s="1"/>
  <c r="AA821" i="1" s="1"/>
  <c r="N822" i="1"/>
  <c r="X822" i="1" s="1"/>
  <c r="AA822" i="1" s="1"/>
  <c r="N823" i="1"/>
  <c r="X823" i="1" s="1"/>
  <c r="AA823" i="1" s="1"/>
  <c r="N824" i="1"/>
  <c r="X824" i="1" s="1"/>
  <c r="AA824" i="1" s="1"/>
  <c r="N825" i="1"/>
  <c r="X825" i="1" s="1"/>
  <c r="AA825" i="1" s="1"/>
  <c r="N826" i="1"/>
  <c r="X826" i="1" s="1"/>
  <c r="AA826" i="1" s="1"/>
  <c r="N827" i="1"/>
  <c r="X827" i="1" s="1"/>
  <c r="AA827" i="1" s="1"/>
  <c r="N828" i="1"/>
  <c r="X828" i="1" s="1"/>
  <c r="AA828" i="1" s="1"/>
  <c r="N829" i="1"/>
  <c r="X829" i="1" s="1"/>
  <c r="AA829" i="1" s="1"/>
  <c r="N830" i="1"/>
  <c r="X830" i="1" s="1"/>
  <c r="AA830" i="1" s="1"/>
  <c r="N831" i="1"/>
  <c r="X831" i="1" s="1"/>
  <c r="AA831" i="1" s="1"/>
  <c r="N832" i="1"/>
  <c r="X832" i="1" s="1"/>
  <c r="AA832" i="1" s="1"/>
  <c r="N833" i="1"/>
  <c r="X833" i="1" s="1"/>
  <c r="AA833" i="1" s="1"/>
  <c r="N834" i="1"/>
  <c r="X834" i="1" s="1"/>
  <c r="AA834" i="1" s="1"/>
  <c r="N835" i="1"/>
  <c r="X835" i="1" s="1"/>
  <c r="AA835" i="1" s="1"/>
  <c r="N836" i="1"/>
  <c r="X836" i="1" s="1"/>
  <c r="AA836" i="1" s="1"/>
  <c r="N837" i="1"/>
  <c r="X837" i="1" s="1"/>
  <c r="AA837" i="1" s="1"/>
  <c r="N838" i="1"/>
  <c r="X838" i="1" s="1"/>
  <c r="AA838" i="1" s="1"/>
  <c r="N839" i="1"/>
  <c r="X839" i="1" s="1"/>
  <c r="AA839" i="1" s="1"/>
  <c r="N840" i="1"/>
  <c r="X840" i="1" s="1"/>
  <c r="AA840" i="1" s="1"/>
  <c r="N841" i="1"/>
  <c r="X841" i="1" s="1"/>
  <c r="AA841" i="1" s="1"/>
  <c r="N842" i="1"/>
  <c r="X842" i="1" s="1"/>
  <c r="AA842" i="1" s="1"/>
  <c r="N843" i="1"/>
  <c r="X843" i="1" s="1"/>
  <c r="AA843" i="1" s="1"/>
  <c r="N844" i="1"/>
  <c r="X844" i="1" s="1"/>
  <c r="AA844" i="1" s="1"/>
  <c r="N845" i="1"/>
  <c r="X845" i="1" s="1"/>
  <c r="AA845" i="1" s="1"/>
  <c r="N846" i="1"/>
  <c r="X846" i="1" s="1"/>
  <c r="AA846" i="1" s="1"/>
  <c r="N847" i="1"/>
  <c r="X847" i="1" s="1"/>
  <c r="AA847" i="1" s="1"/>
  <c r="N848" i="1"/>
  <c r="X848" i="1" s="1"/>
  <c r="AA848" i="1" s="1"/>
  <c r="N849" i="1"/>
  <c r="X849" i="1" s="1"/>
  <c r="AA849" i="1" s="1"/>
  <c r="N850" i="1"/>
  <c r="X850" i="1" s="1"/>
  <c r="AA850" i="1" s="1"/>
  <c r="N851" i="1"/>
  <c r="X851" i="1" s="1"/>
  <c r="AA851" i="1" s="1"/>
  <c r="N852" i="1"/>
  <c r="X852" i="1" s="1"/>
  <c r="AA852" i="1" s="1"/>
  <c r="N853" i="1"/>
  <c r="X853" i="1" s="1"/>
  <c r="AA853" i="1" s="1"/>
  <c r="N854" i="1"/>
  <c r="X854" i="1" s="1"/>
  <c r="AA854" i="1" s="1"/>
  <c r="N855" i="1"/>
  <c r="X855" i="1" s="1"/>
  <c r="AA855" i="1" s="1"/>
  <c r="N856" i="1"/>
  <c r="X856" i="1" s="1"/>
  <c r="AA856" i="1" s="1"/>
  <c r="N857" i="1"/>
  <c r="X857" i="1" s="1"/>
  <c r="AA857" i="1" s="1"/>
  <c r="N858" i="1"/>
  <c r="X858" i="1" s="1"/>
  <c r="AA858" i="1" s="1"/>
  <c r="N859" i="1"/>
  <c r="X859" i="1" s="1"/>
  <c r="AA859" i="1" s="1"/>
  <c r="N860" i="1"/>
  <c r="X860" i="1" s="1"/>
  <c r="AA860" i="1" s="1"/>
  <c r="N861" i="1"/>
  <c r="X861" i="1" s="1"/>
  <c r="AA861" i="1" s="1"/>
  <c r="N862" i="1"/>
  <c r="X862" i="1" s="1"/>
  <c r="AA862" i="1" s="1"/>
  <c r="N863" i="1"/>
  <c r="X863" i="1" s="1"/>
  <c r="AA863" i="1" s="1"/>
  <c r="N864" i="1"/>
  <c r="X864" i="1" s="1"/>
  <c r="AA864" i="1" s="1"/>
  <c r="N865" i="1"/>
  <c r="X865" i="1" s="1"/>
  <c r="AA865" i="1" s="1"/>
  <c r="N866" i="1"/>
  <c r="X866" i="1" s="1"/>
  <c r="AA866" i="1" s="1"/>
  <c r="N867" i="1"/>
  <c r="X867" i="1" s="1"/>
  <c r="AA867" i="1" s="1"/>
  <c r="N868" i="1"/>
  <c r="X868" i="1" s="1"/>
  <c r="AA868" i="1" s="1"/>
  <c r="N869" i="1"/>
  <c r="X869" i="1" s="1"/>
  <c r="AA869" i="1" s="1"/>
  <c r="N870" i="1"/>
  <c r="X870" i="1" s="1"/>
  <c r="AA870" i="1" s="1"/>
  <c r="N871" i="1"/>
  <c r="X871" i="1" s="1"/>
  <c r="AA871" i="1" s="1"/>
  <c r="N872" i="1"/>
  <c r="X872" i="1" s="1"/>
  <c r="AA872" i="1" s="1"/>
  <c r="N873" i="1"/>
  <c r="X873" i="1" s="1"/>
  <c r="AA873" i="1" s="1"/>
  <c r="N874" i="1"/>
  <c r="X874" i="1" s="1"/>
  <c r="AA874" i="1" s="1"/>
  <c r="N875" i="1"/>
  <c r="X875" i="1" s="1"/>
  <c r="AA875" i="1" s="1"/>
  <c r="N876" i="1"/>
  <c r="X876" i="1" s="1"/>
  <c r="AA876" i="1" s="1"/>
  <c r="N877" i="1"/>
  <c r="X877" i="1" s="1"/>
  <c r="AA877" i="1" s="1"/>
  <c r="N878" i="1"/>
  <c r="X878" i="1" s="1"/>
  <c r="AA878" i="1" s="1"/>
  <c r="N879" i="1"/>
  <c r="X879" i="1" s="1"/>
  <c r="AA879" i="1" s="1"/>
  <c r="N880" i="1"/>
  <c r="X880" i="1" s="1"/>
  <c r="AA880" i="1" s="1"/>
  <c r="N881" i="1"/>
  <c r="X881" i="1" s="1"/>
  <c r="AA881" i="1" s="1"/>
  <c r="N882" i="1"/>
  <c r="X882" i="1" s="1"/>
  <c r="AA882" i="1" s="1"/>
  <c r="N883" i="1"/>
  <c r="X883" i="1" s="1"/>
  <c r="AA883" i="1" s="1"/>
  <c r="N884" i="1"/>
  <c r="X884" i="1" s="1"/>
  <c r="AA884" i="1" s="1"/>
  <c r="N885" i="1"/>
  <c r="X885" i="1" s="1"/>
  <c r="AA885" i="1" s="1"/>
  <c r="N886" i="1"/>
  <c r="X886" i="1" s="1"/>
  <c r="AA886" i="1" s="1"/>
  <c r="N887" i="1"/>
  <c r="X887" i="1" s="1"/>
  <c r="AA887" i="1" s="1"/>
  <c r="N888" i="1"/>
  <c r="X888" i="1" s="1"/>
  <c r="AA888" i="1" s="1"/>
  <c r="N889" i="1"/>
  <c r="X889" i="1" s="1"/>
  <c r="AA889" i="1" s="1"/>
  <c r="N890" i="1"/>
  <c r="X890" i="1" s="1"/>
  <c r="AA890" i="1" s="1"/>
  <c r="N891" i="1"/>
  <c r="X891" i="1" s="1"/>
  <c r="AA891" i="1" s="1"/>
  <c r="N892" i="1"/>
  <c r="X892" i="1" s="1"/>
  <c r="AA892" i="1" s="1"/>
  <c r="N893" i="1"/>
  <c r="X893" i="1" s="1"/>
  <c r="AA893" i="1" s="1"/>
  <c r="N894" i="1"/>
  <c r="X894" i="1" s="1"/>
  <c r="AA894" i="1" s="1"/>
  <c r="N895" i="1"/>
  <c r="X895" i="1" s="1"/>
  <c r="AA895" i="1" s="1"/>
  <c r="N896" i="1"/>
  <c r="X896" i="1" s="1"/>
  <c r="AA896" i="1" s="1"/>
  <c r="N897" i="1"/>
  <c r="X897" i="1" s="1"/>
  <c r="AA897" i="1" s="1"/>
  <c r="N898" i="1"/>
  <c r="X898" i="1" s="1"/>
  <c r="AA898" i="1" s="1"/>
  <c r="N899" i="1"/>
  <c r="X899" i="1" s="1"/>
  <c r="AA899" i="1" s="1"/>
  <c r="N900" i="1"/>
  <c r="X900" i="1" s="1"/>
  <c r="AA900" i="1" s="1"/>
  <c r="N901" i="1"/>
  <c r="X901" i="1" s="1"/>
  <c r="AA901" i="1" s="1"/>
  <c r="N902" i="1"/>
  <c r="X902" i="1" s="1"/>
  <c r="AA902" i="1" s="1"/>
  <c r="N903" i="1"/>
  <c r="X903" i="1" s="1"/>
  <c r="AA903" i="1" s="1"/>
  <c r="N904" i="1"/>
  <c r="X904" i="1" s="1"/>
  <c r="AA904" i="1" s="1"/>
  <c r="N905" i="1"/>
  <c r="X905" i="1" s="1"/>
  <c r="AA905" i="1" s="1"/>
  <c r="N906" i="1"/>
  <c r="X906" i="1" s="1"/>
  <c r="AA906" i="1" s="1"/>
  <c r="N907" i="1"/>
  <c r="X907" i="1" s="1"/>
  <c r="AA907" i="1" s="1"/>
  <c r="N908" i="1"/>
  <c r="X908" i="1" s="1"/>
  <c r="AA908" i="1" s="1"/>
  <c r="N909" i="1"/>
  <c r="X909" i="1" s="1"/>
  <c r="AA909" i="1" s="1"/>
  <c r="N910" i="1"/>
  <c r="X910" i="1" s="1"/>
  <c r="AA910" i="1" s="1"/>
  <c r="N911" i="1"/>
  <c r="X911" i="1" s="1"/>
  <c r="AA911" i="1" s="1"/>
  <c r="N912" i="1"/>
  <c r="X912" i="1" s="1"/>
  <c r="AA912" i="1" s="1"/>
  <c r="N913" i="1"/>
  <c r="X913" i="1" s="1"/>
  <c r="AA913" i="1" s="1"/>
  <c r="N914" i="1"/>
  <c r="X914" i="1" s="1"/>
  <c r="AA914" i="1" s="1"/>
  <c r="N915" i="1"/>
  <c r="X915" i="1" s="1"/>
  <c r="AA915" i="1" s="1"/>
  <c r="N916" i="1"/>
  <c r="X916" i="1" s="1"/>
  <c r="AA916" i="1" s="1"/>
  <c r="N917" i="1"/>
  <c r="X917" i="1" s="1"/>
  <c r="AA917" i="1" s="1"/>
  <c r="N918" i="1"/>
  <c r="X918" i="1" s="1"/>
  <c r="AA918" i="1" s="1"/>
  <c r="N919" i="1"/>
  <c r="X919" i="1" s="1"/>
  <c r="AA919" i="1" s="1"/>
  <c r="N920" i="1"/>
  <c r="X920" i="1" s="1"/>
  <c r="AA920" i="1" s="1"/>
  <c r="N921" i="1"/>
  <c r="X921" i="1" s="1"/>
  <c r="AA921" i="1" s="1"/>
  <c r="N922" i="1"/>
  <c r="X922" i="1" s="1"/>
  <c r="AA922" i="1" s="1"/>
  <c r="N923" i="1"/>
  <c r="X923" i="1" s="1"/>
  <c r="AA923" i="1" s="1"/>
  <c r="N924" i="1"/>
  <c r="X924" i="1" s="1"/>
  <c r="AA924" i="1" s="1"/>
  <c r="N925" i="1"/>
  <c r="X925" i="1" s="1"/>
  <c r="AA925" i="1" s="1"/>
  <c r="N926" i="1"/>
  <c r="X926" i="1" s="1"/>
  <c r="AA926" i="1" s="1"/>
  <c r="N927" i="1"/>
  <c r="X927" i="1" s="1"/>
  <c r="AA927" i="1" s="1"/>
  <c r="N928" i="1"/>
  <c r="X928" i="1" s="1"/>
  <c r="AA928" i="1" s="1"/>
  <c r="N929" i="1"/>
  <c r="X929" i="1" s="1"/>
  <c r="AA929" i="1" s="1"/>
  <c r="N930" i="1"/>
  <c r="X930" i="1" s="1"/>
  <c r="AA930" i="1" s="1"/>
  <c r="N931" i="1"/>
  <c r="X931" i="1" s="1"/>
  <c r="AA931" i="1" s="1"/>
  <c r="N932" i="1"/>
  <c r="X932" i="1" s="1"/>
  <c r="AA932" i="1" s="1"/>
  <c r="N933" i="1"/>
  <c r="X933" i="1" s="1"/>
  <c r="AA933" i="1" s="1"/>
  <c r="N934" i="1"/>
  <c r="X934" i="1" s="1"/>
  <c r="AA934" i="1" s="1"/>
  <c r="N935" i="1"/>
  <c r="X935" i="1" s="1"/>
  <c r="AA935" i="1" s="1"/>
  <c r="N936" i="1"/>
  <c r="X936" i="1" s="1"/>
  <c r="AA936" i="1" s="1"/>
  <c r="N937" i="1"/>
  <c r="X937" i="1" s="1"/>
  <c r="AA937" i="1" s="1"/>
  <c r="N938" i="1"/>
  <c r="X938" i="1" s="1"/>
  <c r="AA938" i="1" s="1"/>
  <c r="N939" i="1"/>
  <c r="X939" i="1" s="1"/>
  <c r="AA939" i="1" s="1"/>
  <c r="N940" i="1"/>
  <c r="X940" i="1" s="1"/>
  <c r="AA940" i="1" s="1"/>
  <c r="N941" i="1"/>
  <c r="X941" i="1" s="1"/>
  <c r="AA941" i="1" s="1"/>
  <c r="N942" i="1"/>
  <c r="X942" i="1" s="1"/>
  <c r="AA942" i="1" s="1"/>
  <c r="N943" i="1"/>
  <c r="X943" i="1" s="1"/>
  <c r="AA943" i="1" s="1"/>
  <c r="N944" i="1"/>
  <c r="X944" i="1" s="1"/>
  <c r="AA944" i="1" s="1"/>
  <c r="N945" i="1"/>
  <c r="X945" i="1" s="1"/>
  <c r="AA945" i="1" s="1"/>
  <c r="N946" i="1"/>
  <c r="X946" i="1" s="1"/>
  <c r="AA946" i="1" s="1"/>
  <c r="N947" i="1"/>
  <c r="X947" i="1" s="1"/>
  <c r="AA947" i="1" s="1"/>
  <c r="N948" i="1"/>
  <c r="X948" i="1" s="1"/>
  <c r="AA948" i="1" s="1"/>
  <c r="N949" i="1"/>
  <c r="X949" i="1" s="1"/>
  <c r="AA949" i="1" s="1"/>
  <c r="N950" i="1"/>
  <c r="X950" i="1" s="1"/>
  <c r="AA950" i="1" s="1"/>
  <c r="N951" i="1"/>
  <c r="X951" i="1" s="1"/>
  <c r="AA951" i="1" s="1"/>
  <c r="N952" i="1"/>
  <c r="X952" i="1" s="1"/>
  <c r="AA952" i="1" s="1"/>
  <c r="N953" i="1"/>
  <c r="X953" i="1" s="1"/>
  <c r="AA953" i="1" s="1"/>
  <c r="N954" i="1"/>
  <c r="X954" i="1" s="1"/>
  <c r="AA954" i="1" s="1"/>
  <c r="N955" i="1"/>
  <c r="X955" i="1" s="1"/>
  <c r="AA955" i="1" s="1"/>
  <c r="N956" i="1"/>
  <c r="X956" i="1" s="1"/>
  <c r="AA956" i="1" s="1"/>
  <c r="N957" i="1"/>
  <c r="X957" i="1" s="1"/>
  <c r="AA957" i="1" s="1"/>
  <c r="N958" i="1"/>
  <c r="X958" i="1" s="1"/>
  <c r="AA958" i="1" s="1"/>
  <c r="N959" i="1"/>
  <c r="X959" i="1" s="1"/>
  <c r="AA959" i="1" s="1"/>
  <c r="N960" i="1"/>
  <c r="X960" i="1" s="1"/>
  <c r="AA960" i="1" s="1"/>
  <c r="N961" i="1"/>
  <c r="X961" i="1" s="1"/>
  <c r="AA961" i="1" s="1"/>
  <c r="N962" i="1"/>
  <c r="X962" i="1" s="1"/>
  <c r="AA962" i="1" s="1"/>
  <c r="N963" i="1"/>
  <c r="X963" i="1" s="1"/>
  <c r="AA963" i="1" s="1"/>
  <c r="N964" i="1"/>
  <c r="X964" i="1" s="1"/>
  <c r="AA964" i="1" s="1"/>
  <c r="N965" i="1"/>
  <c r="X965" i="1" s="1"/>
  <c r="AA965" i="1" s="1"/>
  <c r="N966" i="1"/>
  <c r="X966" i="1" s="1"/>
  <c r="AA966" i="1" s="1"/>
  <c r="N967" i="1"/>
  <c r="X967" i="1" s="1"/>
  <c r="AA967" i="1" s="1"/>
  <c r="N968" i="1"/>
  <c r="X968" i="1" s="1"/>
  <c r="AA968" i="1" s="1"/>
  <c r="N969" i="1"/>
  <c r="X969" i="1" s="1"/>
  <c r="AA969" i="1" s="1"/>
  <c r="N970" i="1"/>
  <c r="X970" i="1" s="1"/>
  <c r="AA970" i="1" s="1"/>
  <c r="N971" i="1"/>
  <c r="X971" i="1" s="1"/>
  <c r="AA971" i="1" s="1"/>
  <c r="N972" i="1"/>
  <c r="X972" i="1" s="1"/>
  <c r="AA972" i="1" s="1"/>
  <c r="N973" i="1"/>
  <c r="X973" i="1" s="1"/>
  <c r="AA973" i="1" s="1"/>
  <c r="N974" i="1"/>
  <c r="X974" i="1" s="1"/>
  <c r="AA974" i="1" s="1"/>
  <c r="N975" i="1"/>
  <c r="X975" i="1" s="1"/>
  <c r="AA975" i="1" s="1"/>
  <c r="N976" i="1"/>
  <c r="X976" i="1" s="1"/>
  <c r="AA976" i="1" s="1"/>
  <c r="N977" i="1"/>
  <c r="X977" i="1" s="1"/>
  <c r="AA977" i="1" s="1"/>
  <c r="N978" i="1"/>
  <c r="X978" i="1" s="1"/>
  <c r="AA978" i="1" s="1"/>
  <c r="N979" i="1"/>
  <c r="X979" i="1" s="1"/>
  <c r="AA979" i="1" s="1"/>
  <c r="N980" i="1"/>
  <c r="X980" i="1" s="1"/>
  <c r="AA980" i="1" s="1"/>
  <c r="N981" i="1"/>
  <c r="X981" i="1" s="1"/>
  <c r="AA981" i="1" s="1"/>
  <c r="N982" i="1"/>
  <c r="X982" i="1" s="1"/>
  <c r="AA982" i="1" s="1"/>
  <c r="N983" i="1"/>
  <c r="X983" i="1" s="1"/>
  <c r="AA983" i="1" s="1"/>
  <c r="N984" i="1"/>
  <c r="X984" i="1" s="1"/>
  <c r="AA984" i="1" s="1"/>
  <c r="N985" i="1"/>
  <c r="X985" i="1" s="1"/>
  <c r="AA985" i="1" s="1"/>
  <c r="N986" i="1"/>
  <c r="X986" i="1" s="1"/>
  <c r="AA986" i="1" s="1"/>
  <c r="N987" i="1"/>
  <c r="X987" i="1" s="1"/>
  <c r="AA987" i="1" s="1"/>
  <c r="N988" i="1"/>
  <c r="X988" i="1" s="1"/>
  <c r="AA988" i="1" s="1"/>
  <c r="N989" i="1"/>
  <c r="X989" i="1" s="1"/>
  <c r="AA989" i="1" s="1"/>
  <c r="N990" i="1"/>
  <c r="X990" i="1" s="1"/>
  <c r="AA990" i="1" s="1"/>
  <c r="N991" i="1"/>
  <c r="X991" i="1" s="1"/>
  <c r="AA991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2" i="1"/>
  <c r="A1002" i="1" l="1"/>
  <c r="B1002" i="1" s="1"/>
  <c r="A998" i="1"/>
  <c r="B998" i="1" s="1"/>
  <c r="C998" i="1" s="1"/>
  <c r="A1009" i="1"/>
  <c r="B1009" i="1"/>
  <c r="C1009" i="1" l="1"/>
</calcChain>
</file>

<file path=xl/sharedStrings.xml><?xml version="1.0" encoding="utf-8"?>
<sst xmlns="http://schemas.openxmlformats.org/spreadsheetml/2006/main" count="9482" uniqueCount="3513">
  <si>
    <t>Product_ID</t>
  </si>
  <si>
    <t>Product_Name</t>
  </si>
  <si>
    <t>Category</t>
  </si>
  <si>
    <t>Supplier_ID</t>
  </si>
  <si>
    <t>Supplier_Name</t>
  </si>
  <si>
    <t>Stock_Quantity</t>
  </si>
  <si>
    <t>Reorder_Level</t>
  </si>
  <si>
    <t>Reorder_Quantity</t>
  </si>
  <si>
    <t>Reorder_Required</t>
  </si>
  <si>
    <t>Recommended_Reorder_Quantity</t>
  </si>
  <si>
    <t>Priority_Reorders</t>
  </si>
  <si>
    <t xml:space="preserve"> Unit_Price </t>
  </si>
  <si>
    <t>Date_Received</t>
  </si>
  <si>
    <t>Last_Order_Date</t>
  </si>
  <si>
    <t>Expiration_Date</t>
  </si>
  <si>
    <t>Inventory Age</t>
  </si>
  <si>
    <t>Days Since Last Order</t>
  </si>
  <si>
    <t>Days Until Expiry</t>
  </si>
  <si>
    <t>Warehouse_Location</t>
  </si>
  <si>
    <t>Sales_Volume</t>
  </si>
  <si>
    <t>Inventory_Turnover_Rate</t>
  </si>
  <si>
    <t>Status</t>
  </si>
  <si>
    <t>29-205-1132</t>
  </si>
  <si>
    <t>Sushi Rice</t>
  </si>
  <si>
    <t>Grains &amp; Pulses</t>
  </si>
  <si>
    <t>38-037-1699</t>
  </si>
  <si>
    <t>Jaxnation</t>
  </si>
  <si>
    <t>Require</t>
  </si>
  <si>
    <t>High Priority</t>
  </si>
  <si>
    <t>48 Del Sol Trail</t>
  </si>
  <si>
    <t>Discontinued</t>
  </si>
  <si>
    <t>40-681-9981</t>
  </si>
  <si>
    <t>Arabica Coffee</t>
  </si>
  <si>
    <t>Beverages</t>
  </si>
  <si>
    <t>54-470-2479</t>
  </si>
  <si>
    <t>Feedmix</t>
  </si>
  <si>
    <t>36 3rd Place</t>
  </si>
  <si>
    <t>06-955-3428</t>
  </si>
  <si>
    <t>Black Rice</t>
  </si>
  <si>
    <t>54-031-2945</t>
  </si>
  <si>
    <t>Vinder</t>
  </si>
  <si>
    <t>Normal</t>
  </si>
  <si>
    <t>3296 Walton Court</t>
  </si>
  <si>
    <t>Backordered</t>
  </si>
  <si>
    <t>71-594-6552</t>
  </si>
  <si>
    <t>Long Grain Rice</t>
  </si>
  <si>
    <t>63-492-7603</t>
  </si>
  <si>
    <t>Brightbean</t>
  </si>
  <si>
    <t>3 Westerfield Crossing</t>
  </si>
  <si>
    <t>Active</t>
  </si>
  <si>
    <t>57-437-1828</t>
  </si>
  <si>
    <t>Plum</t>
  </si>
  <si>
    <t>Fruits &amp; Vegetables</t>
  </si>
  <si>
    <t>54-226-4308</t>
  </si>
  <si>
    <t>Topicstorm</t>
  </si>
  <si>
    <t>Sufficient</t>
  </si>
  <si>
    <t>15068 Scoville Court</t>
  </si>
  <si>
    <t>21-120-6238</t>
  </si>
  <si>
    <t>All-Purpose Flour</t>
  </si>
  <si>
    <t>86-292-4587</t>
  </si>
  <si>
    <t>Dabjam</t>
  </si>
  <si>
    <t>050 Mcbride Avenue</t>
  </si>
  <si>
    <t>71-516-1996</t>
  </si>
  <si>
    <t>Corn Oil</t>
  </si>
  <si>
    <t>Oils &amp; Fats</t>
  </si>
  <si>
    <t>04-391-7610</t>
  </si>
  <si>
    <t>Tagfeed</t>
  </si>
  <si>
    <t>12 Truax Court</t>
  </si>
  <si>
    <t>39-629-5554</t>
  </si>
  <si>
    <t>Egg (Goose)</t>
  </si>
  <si>
    <t>Dairy</t>
  </si>
  <si>
    <t>67-679-4930</t>
  </si>
  <si>
    <t>Muxo</t>
  </si>
  <si>
    <t>267 International Plaza</t>
  </si>
  <si>
    <t>66-268-8345</t>
  </si>
  <si>
    <t>Greek Yogurt</t>
  </si>
  <si>
    <t>32-182-1895</t>
  </si>
  <si>
    <t>Thoughtstorm</t>
  </si>
  <si>
    <t>550 Clemons Plaza</t>
  </si>
  <si>
    <t>46-452-9419</t>
  </si>
  <si>
    <t>Egg (Duck)</t>
  </si>
  <si>
    <t>67-137-4215</t>
  </si>
  <si>
    <t>Wordify</t>
  </si>
  <si>
    <t>55782 Welch Hill</t>
  </si>
  <si>
    <t>51-469-4611</t>
  </si>
  <si>
    <t>62-029-0827</t>
  </si>
  <si>
    <t>Fivebridge</t>
  </si>
  <si>
    <t>04776 Saint Paul Park</t>
  </si>
  <si>
    <t>42-220-9305</t>
  </si>
  <si>
    <t>White Sugar</t>
  </si>
  <si>
    <t>56-092-7992</t>
  </si>
  <si>
    <t>Zooxo</t>
  </si>
  <si>
    <t>61932 Cascade Crossing</t>
  </si>
  <si>
    <t>75-094-1179</t>
  </si>
  <si>
    <t>Rye Bread</t>
  </si>
  <si>
    <t>Bakery</t>
  </si>
  <si>
    <t>57-615-0729</t>
  </si>
  <si>
    <t>Vitz</t>
  </si>
  <si>
    <t>13 Forest Run Place</t>
  </si>
  <si>
    <t>11-073-0189</t>
  </si>
  <si>
    <t>75-190-3627</t>
  </si>
  <si>
    <t>Voomm</t>
  </si>
  <si>
    <t>5104 Jana Court</t>
  </si>
  <si>
    <t>22-621-2774</t>
  </si>
  <si>
    <t>Strawberries</t>
  </si>
  <si>
    <t>70-901-6191</t>
  </si>
  <si>
    <t>Babblestorm</t>
  </si>
  <si>
    <t>00 Drewry Court</t>
  </si>
  <si>
    <t>39-449-0772</t>
  </si>
  <si>
    <t>Feta Cheese</t>
  </si>
  <si>
    <t>84-504-7617</t>
  </si>
  <si>
    <t>Youfeed</t>
  </si>
  <si>
    <t>195 Portage Junction</t>
  </si>
  <si>
    <t>55-936-2406</t>
  </si>
  <si>
    <t>Bread Flour</t>
  </si>
  <si>
    <t>29-689-5014</t>
  </si>
  <si>
    <t>Mynte</t>
  </si>
  <si>
    <t>52691 8th Drive</t>
  </si>
  <si>
    <t>82-041-7211</t>
  </si>
  <si>
    <t>Swiss Cheese</t>
  </si>
  <si>
    <t>03-615-0558</t>
  </si>
  <si>
    <t>Reallinks</t>
  </si>
  <si>
    <t>285 1st Park</t>
  </si>
  <si>
    <t>48-414-6162</t>
  </si>
  <si>
    <t>10-060-8515</t>
  </si>
  <si>
    <t>Skivee</t>
  </si>
  <si>
    <t>17780 Lindbergh Junction</t>
  </si>
  <si>
    <t>76-854-0095</t>
  </si>
  <si>
    <t>38-883-3382</t>
  </si>
  <si>
    <t>Mydeo</t>
  </si>
  <si>
    <t>7834 Cordelia Alley</t>
  </si>
  <si>
    <t>25-349-7974</t>
  </si>
  <si>
    <t>Spinach</t>
  </si>
  <si>
    <t>82-737-6019</t>
  </si>
  <si>
    <t>Devshare</t>
  </si>
  <si>
    <t>42 Bunker Hill Junction</t>
  </si>
  <si>
    <t>66-627-9752</t>
  </si>
  <si>
    <t>Trout</t>
  </si>
  <si>
    <t>Seafood</t>
  </si>
  <si>
    <t>87-839-6400</t>
  </si>
  <si>
    <t>Jabbertype</t>
  </si>
  <si>
    <t>08 Randy Junction</t>
  </si>
  <si>
    <t>78-614-4402</t>
  </si>
  <si>
    <t>Green Beans</t>
  </si>
  <si>
    <t>51-014-4287</t>
  </si>
  <si>
    <t>Gigazoom</t>
  </si>
  <si>
    <t>37 Browning Trail</t>
  </si>
  <si>
    <t>67-025-1245</t>
  </si>
  <si>
    <t>Cabbage</t>
  </si>
  <si>
    <t>28-575-0716</t>
  </si>
  <si>
    <t>Chatterbridge</t>
  </si>
  <si>
    <t>51890 Lindbergh Terrace</t>
  </si>
  <si>
    <t>68-418-6724</t>
  </si>
  <si>
    <t>Parmesan Cheese</t>
  </si>
  <si>
    <t>75-465-6257</t>
  </si>
  <si>
    <t>Feedspan</t>
  </si>
  <si>
    <t>49869 Bunker Hill Terrace</t>
  </si>
  <si>
    <t>40-795-0753</t>
  </si>
  <si>
    <t>Raw Sugar</t>
  </si>
  <si>
    <t>47-183-4911</t>
  </si>
  <si>
    <t>Mydo</t>
  </si>
  <si>
    <t>66879 Susan Place</t>
  </si>
  <si>
    <t>02-508-3777</t>
  </si>
  <si>
    <t>Egg (Quail)</t>
  </si>
  <si>
    <t>69-933-2582</t>
  </si>
  <si>
    <t>Realpoint</t>
  </si>
  <si>
    <t>895 Northland Hill</t>
  </si>
  <si>
    <t>79-741-0770</t>
  </si>
  <si>
    <t>Mushrooms</t>
  </si>
  <si>
    <t>67-771-7656</t>
  </si>
  <si>
    <t>Photospace</t>
  </si>
  <si>
    <t>91 Kinsman Terrace</t>
  </si>
  <si>
    <t>31-211-5803</t>
  </si>
  <si>
    <t>Oatmeal Biscuit</t>
  </si>
  <si>
    <t>75-503-9347</t>
  </si>
  <si>
    <t>492 Shoshone Road</t>
  </si>
  <si>
    <t>16-499-5059</t>
  </si>
  <si>
    <t>Pear</t>
  </si>
  <si>
    <t>09-090-6360</t>
  </si>
  <si>
    <t>Centizu</t>
  </si>
  <si>
    <t>3 Hooker Way</t>
  </si>
  <si>
    <t>76-340-4432</t>
  </si>
  <si>
    <t>Cucumber</t>
  </si>
  <si>
    <t>79-915-4185</t>
  </si>
  <si>
    <t>Brainverse</t>
  </si>
  <si>
    <t>157 David Center</t>
  </si>
  <si>
    <t>38-732-7667</t>
  </si>
  <si>
    <t>Pineapple</t>
  </si>
  <si>
    <t>88-663-3393</t>
  </si>
  <si>
    <t>Photojam</t>
  </si>
  <si>
    <t>3645 Ridge Oak Drive</t>
  </si>
  <si>
    <t>04-240-2226</t>
  </si>
  <si>
    <t>Olive Oil</t>
  </si>
  <si>
    <t>65-842-6819</t>
  </si>
  <si>
    <t>Kamba</t>
  </si>
  <si>
    <t>504 Green Park</t>
  </si>
  <si>
    <t>79-136-9840</t>
  </si>
  <si>
    <t>Herbal Tea</t>
  </si>
  <si>
    <t>07-809-0926</t>
  </si>
  <si>
    <t>Pixonyx</t>
  </si>
  <si>
    <t>26175 Oxford Way</t>
  </si>
  <si>
    <t>73-401-5721</t>
  </si>
  <si>
    <t>Haddock</t>
  </si>
  <si>
    <t>38-622-5251</t>
  </si>
  <si>
    <t>Midel</t>
  </si>
  <si>
    <t>582 Sauthoff Crossing</t>
  </si>
  <si>
    <t>91-848-0606</t>
  </si>
  <si>
    <t>Onion</t>
  </si>
  <si>
    <t>68-836-0350</t>
  </si>
  <si>
    <t>Skyble</t>
  </si>
  <si>
    <t>13 Corscot Hill</t>
  </si>
  <si>
    <t>54-109-8062</t>
  </si>
  <si>
    <t>04-726-3363</t>
  </si>
  <si>
    <t>Linklinks</t>
  </si>
  <si>
    <t>67 Little Fleur Road</t>
  </si>
  <si>
    <t>70-612-2531</t>
  </si>
  <si>
    <t>94-217-4781</t>
  </si>
  <si>
    <t>Flipbug</t>
  </si>
  <si>
    <t>4 Raven Drive</t>
  </si>
  <si>
    <t>26-161-6692</t>
  </si>
  <si>
    <t>Zucchini</t>
  </si>
  <si>
    <t>61-796-7912</t>
  </si>
  <si>
    <t>Kare</t>
  </si>
  <si>
    <t>70001 Vahlen Lane</t>
  </si>
  <si>
    <t>43-893-5408</t>
  </si>
  <si>
    <t>Short Grain Rice</t>
  </si>
  <si>
    <t>25-414-2945</t>
  </si>
  <si>
    <t>Snaptags</t>
  </si>
  <si>
    <t>6 Orin Place</t>
  </si>
  <si>
    <t>11-316-8405</t>
  </si>
  <si>
    <t>Mango</t>
  </si>
  <si>
    <t>50-918-1373</t>
  </si>
  <si>
    <t>Twitternation</t>
  </si>
  <si>
    <t>108 Morning Center</t>
  </si>
  <si>
    <t>34-086-3222</t>
  </si>
  <si>
    <t>Lemon</t>
  </si>
  <si>
    <t>34-017-9457</t>
  </si>
  <si>
    <t>Layo</t>
  </si>
  <si>
    <t>867 Merrick Place</t>
  </si>
  <si>
    <t>21-816-1004</t>
  </si>
  <si>
    <t>Black Coffee</t>
  </si>
  <si>
    <t>68-482-4786</t>
  </si>
  <si>
    <t>564 Hazelcrest Crossing</t>
  </si>
  <si>
    <t>43-693-2092</t>
  </si>
  <si>
    <t>Butter</t>
  </si>
  <si>
    <t>19-469-9841</t>
  </si>
  <si>
    <t>Kayveo</t>
  </si>
  <si>
    <t>76 Toban Plaza</t>
  </si>
  <si>
    <t>63-270-7076</t>
  </si>
  <si>
    <t>Multigrain Bread</t>
  </si>
  <si>
    <t>85-532-0172</t>
  </si>
  <si>
    <t>Roombo</t>
  </si>
  <si>
    <t>6 Lunder Parkway</t>
  </si>
  <si>
    <t>90-230-9767</t>
  </si>
  <si>
    <t>70-515-9048</t>
  </si>
  <si>
    <t>Voonyx</t>
  </si>
  <si>
    <t>00397 Bay Terrace</t>
  </si>
  <si>
    <t>05-334-2923</t>
  </si>
  <si>
    <t>41-772-6271</t>
  </si>
  <si>
    <t>Browsezoom</t>
  </si>
  <si>
    <t>8 Surrey Pass</t>
  </si>
  <si>
    <t>52-481-5224</t>
  </si>
  <si>
    <t>Kiwi</t>
  </si>
  <si>
    <t>46-382-2024</t>
  </si>
  <si>
    <t>Fiveclub</t>
  </si>
  <si>
    <t>80 Old Shore Plaza</t>
  </si>
  <si>
    <t>11-325-7396</t>
  </si>
  <si>
    <t>98-940-7545</t>
  </si>
  <si>
    <t>Skipfire</t>
  </si>
  <si>
    <t>387 Jay Point</t>
  </si>
  <si>
    <t>70-854-6891</t>
  </si>
  <si>
    <t>Sourdough Bread</t>
  </si>
  <si>
    <t>79-575-9351</t>
  </si>
  <si>
    <t>Flashspan</t>
  </si>
  <si>
    <t>24045 Bluestem Point</t>
  </si>
  <si>
    <t>46-520-1819</t>
  </si>
  <si>
    <t>10-762-7936</t>
  </si>
  <si>
    <t>Katz</t>
  </si>
  <si>
    <t>805 Nancy Crossing</t>
  </si>
  <si>
    <t>91-105-7317</t>
  </si>
  <si>
    <t>Orange</t>
  </si>
  <si>
    <t>84-047-0017</t>
  </si>
  <si>
    <t>44022 Barnett Way</t>
  </si>
  <si>
    <t>40-751-8635</t>
  </si>
  <si>
    <t>48-878-3021</t>
  </si>
  <si>
    <t>Yamia</t>
  </si>
  <si>
    <t>3 Ronald Regan Center</t>
  </si>
  <si>
    <t>02-920-4829</t>
  </si>
  <si>
    <t>White Bread</t>
  </si>
  <si>
    <t>41-587-4864</t>
  </si>
  <si>
    <t>4 Judy Hill</t>
  </si>
  <si>
    <t>36-918-2937</t>
  </si>
  <si>
    <t>Green Coffee</t>
  </si>
  <si>
    <t>53-844-0478</t>
  </si>
  <si>
    <t>Kwinu</t>
  </si>
  <si>
    <t>90865 Sherman Court</t>
  </si>
  <si>
    <t>68-761-6907</t>
  </si>
  <si>
    <t>31-199-3683</t>
  </si>
  <si>
    <t>9695 Alpine Trail</t>
  </si>
  <si>
    <t>69-468-5468</t>
  </si>
  <si>
    <t>37-099-6976</t>
  </si>
  <si>
    <t>Vinte</t>
  </si>
  <si>
    <t>72083 Acker Crossing</t>
  </si>
  <si>
    <t>27-635-8394</t>
  </si>
  <si>
    <t>87-893-6089</t>
  </si>
  <si>
    <t>Twitterwire</t>
  </si>
  <si>
    <t>812 Shelley Circle</t>
  </si>
  <si>
    <t>41-729-5410</t>
  </si>
  <si>
    <t>Sardines</t>
  </si>
  <si>
    <t>71-727-8611</t>
  </si>
  <si>
    <t>Ntag</t>
  </si>
  <si>
    <t>7193 Crownhardt Drive</t>
  </si>
  <si>
    <t>33-335-9140</t>
  </si>
  <si>
    <t>08-209-1598</t>
  </si>
  <si>
    <t>Blogspan</t>
  </si>
  <si>
    <t>76928 Tennyson Parkway</t>
  </si>
  <si>
    <t>11-581-9869</t>
  </si>
  <si>
    <t>Carrot</t>
  </si>
  <si>
    <t>22-867-3079</t>
  </si>
  <si>
    <t>Avaveo</t>
  </si>
  <si>
    <t>44801 Myrtle Center</t>
  </si>
  <si>
    <t>78-237-0277</t>
  </si>
  <si>
    <t>Black Tea</t>
  </si>
  <si>
    <t>50-314-5433</t>
  </si>
  <si>
    <t>Brainbox</t>
  </si>
  <si>
    <t>79 Cardinal Court</t>
  </si>
  <si>
    <t>75-152-8731</t>
  </si>
  <si>
    <t>05-593-1927</t>
  </si>
  <si>
    <t>Voonix</t>
  </si>
  <si>
    <t>622 Anthes Lane</t>
  </si>
  <si>
    <t>65-718-0492</t>
  </si>
  <si>
    <t>91-492-8216</t>
  </si>
  <si>
    <t>8626 Chinook Parkway</t>
  </si>
  <si>
    <t>55-697-5242</t>
  </si>
  <si>
    <t>Ricotta Cheese</t>
  </si>
  <si>
    <t>74-726-0855</t>
  </si>
  <si>
    <t>Shufflebeat</t>
  </si>
  <si>
    <t>19112 Little Fleur Road</t>
  </si>
  <si>
    <t>14-844-4138</t>
  </si>
  <si>
    <t>90-534-2165</t>
  </si>
  <si>
    <t>40643 Sullivan Lane</t>
  </si>
  <si>
    <t>20-225-3930</t>
  </si>
  <si>
    <t>White Tea</t>
  </si>
  <si>
    <t>73-069-2753</t>
  </si>
  <si>
    <t>Skipstorm</t>
  </si>
  <si>
    <t>5756 Stephen Avenue</t>
  </si>
  <si>
    <t>66-993-4234</t>
  </si>
  <si>
    <t>15-852-0491</t>
  </si>
  <si>
    <t>22 Dexter Trail</t>
  </si>
  <si>
    <t>87-762-1317</t>
  </si>
  <si>
    <t>Mozzarella Cheese</t>
  </si>
  <si>
    <t>58-474-3510</t>
  </si>
  <si>
    <t>Dazzlesphere</t>
  </si>
  <si>
    <t>9305 Warrior Way</t>
  </si>
  <si>
    <t>81-844-2979</t>
  </si>
  <si>
    <t>Broccoli</t>
  </si>
  <si>
    <t>02-575-7332</t>
  </si>
  <si>
    <t>Realblab</t>
  </si>
  <si>
    <t>16 Elgar Point</t>
  </si>
  <si>
    <t>44-408-7594</t>
  </si>
  <si>
    <t>Eggplant</t>
  </si>
  <si>
    <t>08-828-3804</t>
  </si>
  <si>
    <t>Eire</t>
  </si>
  <si>
    <t>81 Oneill Circle</t>
  </si>
  <si>
    <t>26-010-9519</t>
  </si>
  <si>
    <t>28-837-4164</t>
  </si>
  <si>
    <t>Blogtag</t>
  </si>
  <si>
    <t>4508 Shopko Trail</t>
  </si>
  <si>
    <t>65-464-5070</t>
  </si>
  <si>
    <t>Heavy Cream</t>
  </si>
  <si>
    <t>01-517-7793</t>
  </si>
  <si>
    <t>Ntags</t>
  </si>
  <si>
    <t>00 Luster Alley</t>
  </si>
  <si>
    <t>07-970-9352</t>
  </si>
  <si>
    <t>Bell Pepper</t>
  </si>
  <si>
    <t>14-724-4622</t>
  </si>
  <si>
    <t>Tagtune</t>
  </si>
  <si>
    <t>459 Gateway Pass</t>
  </si>
  <si>
    <t>88-746-9468</t>
  </si>
  <si>
    <t>06-159-1957</t>
  </si>
  <si>
    <t>Skiba</t>
  </si>
  <si>
    <t>82737 Ryan Place</t>
  </si>
  <si>
    <t>06-336-5482</t>
  </si>
  <si>
    <t>99-784-4391</t>
  </si>
  <si>
    <t>Voolia</t>
  </si>
  <si>
    <t>7 Mockingbird Hill</t>
  </si>
  <si>
    <t>03-276-3931</t>
  </si>
  <si>
    <t>42-224-8186</t>
  </si>
  <si>
    <t>Oyoloo</t>
  </si>
  <si>
    <t>081 Bellgrove Place</t>
  </si>
  <si>
    <t>39-232-5341</t>
  </si>
  <si>
    <t>Arborio Rice</t>
  </si>
  <si>
    <t>23-319-2681</t>
  </si>
  <si>
    <t>05433 Towne Terrace</t>
  </si>
  <si>
    <t>12-239-9399</t>
  </si>
  <si>
    <t>Potato</t>
  </si>
  <si>
    <t>53-584-1853</t>
  </si>
  <si>
    <t>924 La Follette Alley</t>
  </si>
  <si>
    <t>75-080-4909</t>
  </si>
  <si>
    <t>34-726-5887</t>
  </si>
  <si>
    <t>Tagopia</t>
  </si>
  <si>
    <t>7 Gateway Center</t>
  </si>
  <si>
    <t>70-815-4015</t>
  </si>
  <si>
    <t>Butter Biscuit</t>
  </si>
  <si>
    <t>89-134-9717</t>
  </si>
  <si>
    <t>Ozu</t>
  </si>
  <si>
    <t>175 Sycamore Circle</t>
  </si>
  <si>
    <t>11-032-9778</t>
  </si>
  <si>
    <t>Peas</t>
  </si>
  <si>
    <t>42-380-8881</t>
  </si>
  <si>
    <t>Edgepulse</t>
  </si>
  <si>
    <t>553 Mayfield Crossing</t>
  </si>
  <si>
    <t>54-374-9986</t>
  </si>
  <si>
    <t>Cream</t>
  </si>
  <si>
    <t>33-818-4917</t>
  </si>
  <si>
    <t>Oyondu</t>
  </si>
  <si>
    <t>74997 Katie Terrace</t>
  </si>
  <si>
    <t>77-312-6317</t>
  </si>
  <si>
    <t>12-950-4397</t>
  </si>
  <si>
    <t>Abatz</t>
  </si>
  <si>
    <t>3616 Carey Pass</t>
  </si>
  <si>
    <t>13-844-2178</t>
  </si>
  <si>
    <t>66-832-1802</t>
  </si>
  <si>
    <t>Browsetype</t>
  </si>
  <si>
    <t>86207 Tennyson Parkway</t>
  </si>
  <si>
    <t>22-141-9798</t>
  </si>
  <si>
    <t>59-849-9942</t>
  </si>
  <si>
    <t>Photobean</t>
  </si>
  <si>
    <t>6 Nobel Junction</t>
  </si>
  <si>
    <t>20-022-3173</t>
  </si>
  <si>
    <t>54-188-1006</t>
  </si>
  <si>
    <t>81878 Nobel Point</t>
  </si>
  <si>
    <t>26-177-5690</t>
  </si>
  <si>
    <t>06-708-1412</t>
  </si>
  <si>
    <t>Skinte</t>
  </si>
  <si>
    <t>61707 Mariners Cove Park</t>
  </si>
  <si>
    <t>70-871-4536</t>
  </si>
  <si>
    <t>72-514-7323</t>
  </si>
  <si>
    <t>Cogilith</t>
  </si>
  <si>
    <t>5 Waxwing Junction</t>
  </si>
  <si>
    <t>06-611-5454</t>
  </si>
  <si>
    <t>Peanut Oil</t>
  </si>
  <si>
    <t>43-786-9229</t>
  </si>
  <si>
    <t>Bluezoom</t>
  </si>
  <si>
    <t>16 Autumn Leaf Way</t>
  </si>
  <si>
    <t>89-543-3456</t>
  </si>
  <si>
    <t>Blueberries</t>
  </si>
  <si>
    <t>23-178-8962</t>
  </si>
  <si>
    <t>Jaloo</t>
  </si>
  <si>
    <t>22782 Oriole Way</t>
  </si>
  <si>
    <t>82-395-5070</t>
  </si>
  <si>
    <t>Chocolate Biscuit</t>
  </si>
  <si>
    <t>01-801-9502</t>
  </si>
  <si>
    <t>Vidoo</t>
  </si>
  <si>
    <t>43442 Homewood Street</t>
  </si>
  <si>
    <t>14-305-5348</t>
  </si>
  <si>
    <t>Cheese</t>
  </si>
  <si>
    <t>71-092-6845</t>
  </si>
  <si>
    <t>Shuffledrive</t>
  </si>
  <si>
    <t>19 Shoshone Circle</t>
  </si>
  <si>
    <t>82-243-3180</t>
  </si>
  <si>
    <t>Palm Oil</t>
  </si>
  <si>
    <t>18-631-1458</t>
  </si>
  <si>
    <t>97 Sunnyside Court</t>
  </si>
  <si>
    <t>25-010-9478</t>
  </si>
  <si>
    <t>24-576-3402</t>
  </si>
  <si>
    <t>Topicblab</t>
  </si>
  <si>
    <t>357 Maple Park</t>
  </si>
  <si>
    <t>13-202-4809</t>
  </si>
  <si>
    <t>Garlic</t>
  </si>
  <si>
    <t>24-281-7685</t>
  </si>
  <si>
    <t>6195 Monterey Center</t>
  </si>
  <si>
    <t>67-270-7464</t>
  </si>
  <si>
    <t>Jasmine Rice</t>
  </si>
  <si>
    <t>83-960-5274</t>
  </si>
  <si>
    <t>Yadel</t>
  </si>
  <si>
    <t>7242 Claremont Avenue</t>
  </si>
  <si>
    <t>11-733-1756</t>
  </si>
  <si>
    <t>Rice Flour</t>
  </si>
  <si>
    <t>27-970-8649</t>
  </si>
  <si>
    <t>127 Eliot Road</t>
  </si>
  <si>
    <t>80-988-4653</t>
  </si>
  <si>
    <t>02-272-0535</t>
  </si>
  <si>
    <t>Livetube</t>
  </si>
  <si>
    <t>8 Russell Pass</t>
  </si>
  <si>
    <t>60-343-7973</t>
  </si>
  <si>
    <t>06-303-4127</t>
  </si>
  <si>
    <t>Zoombox</t>
  </si>
  <si>
    <t>85408 Toban Crossing</t>
  </si>
  <si>
    <t>34-861-4446</t>
  </si>
  <si>
    <t>40-696-4237</t>
  </si>
  <si>
    <t>Photobug</t>
  </si>
  <si>
    <t>113 Donald Court</t>
  </si>
  <si>
    <t>67-710-5120</t>
  </si>
  <si>
    <t>00-131-9278</t>
  </si>
  <si>
    <t>Skynoodle</t>
  </si>
  <si>
    <t>978 Shasta Lane</t>
  </si>
  <si>
    <t>49-891-4927</t>
  </si>
  <si>
    <t>Cottage Cheese</t>
  </si>
  <si>
    <t>89-155-3471</t>
  </si>
  <si>
    <t>46 Hoffman Trail</t>
  </si>
  <si>
    <t>55-522-8242</t>
  </si>
  <si>
    <t>Whipped Cream</t>
  </si>
  <si>
    <t>48-884-5431</t>
  </si>
  <si>
    <t>Feedbug</t>
  </si>
  <si>
    <t>7 Spohn Avenue</t>
  </si>
  <si>
    <t>62-509-0666</t>
  </si>
  <si>
    <t>Almond Flour</t>
  </si>
  <si>
    <t>16-419-1419</t>
  </si>
  <si>
    <t>1468 Meadow Vale Court</t>
  </si>
  <si>
    <t>64-478-4745</t>
  </si>
  <si>
    <t>36-780-8625</t>
  </si>
  <si>
    <t>208 Miller Court</t>
  </si>
  <si>
    <t>35-835-5591</t>
  </si>
  <si>
    <t>Tilapia</t>
  </si>
  <si>
    <t>54-876-4296</t>
  </si>
  <si>
    <t>509 Carpenter Trail</t>
  </si>
  <si>
    <t>26-690-3784</t>
  </si>
  <si>
    <t>Lettuce</t>
  </si>
  <si>
    <t>70-463-6597</t>
  </si>
  <si>
    <t>Fadeo</t>
  </si>
  <si>
    <t>19069 Cordelia Drive</t>
  </si>
  <si>
    <t>67-546-1568</t>
  </si>
  <si>
    <t>10-038-3988</t>
  </si>
  <si>
    <t>Edgeify</t>
  </si>
  <si>
    <t>203 Mariners Cove Junction</t>
  </si>
  <si>
    <t>67-625-9704</t>
  </si>
  <si>
    <t>13-475-1009</t>
  </si>
  <si>
    <t>Eayo</t>
  </si>
  <si>
    <t>7819 Fallview Park</t>
  </si>
  <si>
    <t>31-969-4614</t>
  </si>
  <si>
    <t>83-104-8425</t>
  </si>
  <si>
    <t>993 Kensington Drive</t>
  </si>
  <si>
    <t>50-364-5828</t>
  </si>
  <si>
    <t>Coconut</t>
  </si>
  <si>
    <t>17-239-6309</t>
  </si>
  <si>
    <t>772 Golf Course Junction</t>
  </si>
  <si>
    <t>61-827-4098</t>
  </si>
  <si>
    <t>Cod</t>
  </si>
  <si>
    <t>34-850-0377</t>
  </si>
  <si>
    <t>Devbug</t>
  </si>
  <si>
    <t>29992 Warrior Center</t>
  </si>
  <si>
    <t>87-698-0944</t>
  </si>
  <si>
    <t>Banana</t>
  </si>
  <si>
    <t>73-717-0190</t>
  </si>
  <si>
    <t>8 Heffernan Point</t>
  </si>
  <si>
    <t>36-636-4873</t>
  </si>
  <si>
    <t>11-098-3982</t>
  </si>
  <si>
    <t>Wikivu</t>
  </si>
  <si>
    <t>451 Grim Hill</t>
  </si>
  <si>
    <t>98-556-5323</t>
  </si>
  <si>
    <t>Pomegranate</t>
  </si>
  <si>
    <t>21-490-8051</t>
  </si>
  <si>
    <t>Dynabox</t>
  </si>
  <si>
    <t>005 Tomscot Hill</t>
  </si>
  <si>
    <t>97-772-2336</t>
  </si>
  <si>
    <t>19-704-4404</t>
  </si>
  <si>
    <t>Rooxo</t>
  </si>
  <si>
    <t>9 Bartillon Trail</t>
  </si>
  <si>
    <t>19-047-4239</t>
  </si>
  <si>
    <t>Peach</t>
  </si>
  <si>
    <t>11-146-9880</t>
  </si>
  <si>
    <t>Quire</t>
  </si>
  <si>
    <t>7 West Street</t>
  </si>
  <si>
    <t>41-316-8427</t>
  </si>
  <si>
    <t>75-867-3635</t>
  </si>
  <si>
    <t>Realcube</t>
  </si>
  <si>
    <t>03416 Valley Edge Circle</t>
  </si>
  <si>
    <t>15-907-3681</t>
  </si>
  <si>
    <t>72-931-9828</t>
  </si>
  <si>
    <t>Brainsphere</t>
  </si>
  <si>
    <t>21633 Sycamore Center</t>
  </si>
  <si>
    <t>14-305-9690</t>
  </si>
  <si>
    <t>13-457-9946</t>
  </si>
  <si>
    <t>Dabshots</t>
  </si>
  <si>
    <t>43107 Schlimgen Circle</t>
  </si>
  <si>
    <t>40-860-4532</t>
  </si>
  <si>
    <t>73-625-5112</t>
  </si>
  <si>
    <t>988 Southridge Way</t>
  </si>
  <si>
    <t>44-552-3909</t>
  </si>
  <si>
    <t>80-863-1186</t>
  </si>
  <si>
    <t>Riffwire</t>
  </si>
  <si>
    <t>6 Charing Cross Circle</t>
  </si>
  <si>
    <t>75-029-9003</t>
  </si>
  <si>
    <t>61-917-4271</t>
  </si>
  <si>
    <t>Eadel</t>
  </si>
  <si>
    <t>19180 Hagan Parkway</t>
  </si>
  <si>
    <t>74-587-2065</t>
  </si>
  <si>
    <t>33-141-1402</t>
  </si>
  <si>
    <t>Gigaclub</t>
  </si>
  <si>
    <t>84642 Clarendon Point</t>
  </si>
  <si>
    <t>70-149-6756</t>
  </si>
  <si>
    <t>97-150-9199</t>
  </si>
  <si>
    <t>6 Messerschmidt Place</t>
  </si>
  <si>
    <t>29-896-7926</t>
  </si>
  <si>
    <t>White Rice</t>
  </si>
  <si>
    <t>86-400-4155</t>
  </si>
  <si>
    <t>Centidel</t>
  </si>
  <si>
    <t>80930 Briar Crest Point</t>
  </si>
  <si>
    <t>54-822-9009</t>
  </si>
  <si>
    <t>Cauliflower</t>
  </si>
  <si>
    <t>23-197-9965</t>
  </si>
  <si>
    <t>Shufflester</t>
  </si>
  <si>
    <t>64389 Arkansas Alley</t>
  </si>
  <si>
    <t>84-075-7647</t>
  </si>
  <si>
    <t>Canola Oil</t>
  </si>
  <si>
    <t>95-889-8592</t>
  </si>
  <si>
    <t>51 7th Court</t>
  </si>
  <si>
    <t>88-602-8210</t>
  </si>
  <si>
    <t>Avocado Oil</t>
  </si>
  <si>
    <t>26-411-9126</t>
  </si>
  <si>
    <t>Skajo</t>
  </si>
  <si>
    <t>042 Di Loreto Court</t>
  </si>
  <si>
    <t>04-542-3863</t>
  </si>
  <si>
    <t>55-952-9832</t>
  </si>
  <si>
    <t>Eidel</t>
  </si>
  <si>
    <t>403 Loomis Way</t>
  </si>
  <si>
    <t>57-613-5779</t>
  </si>
  <si>
    <t>Gouda Cheese</t>
  </si>
  <si>
    <t>29-009-9132</t>
  </si>
  <si>
    <t>Thoughtblab</t>
  </si>
  <si>
    <t>6 John Wall Plaza</t>
  </si>
  <si>
    <t>90-737-0044</t>
  </si>
  <si>
    <t>39-339-3869</t>
  </si>
  <si>
    <t>Bubblemix</t>
  </si>
  <si>
    <t>92321 Nelson Trail</t>
  </si>
  <si>
    <t>28-956-1320</t>
  </si>
  <si>
    <t>01-445-8931</t>
  </si>
  <si>
    <t>95 Onsgard Way</t>
  </si>
  <si>
    <t>87-791-5803</t>
  </si>
  <si>
    <t>Tuna</t>
  </si>
  <si>
    <t>89-843-0880</t>
  </si>
  <si>
    <t>Meemm</t>
  </si>
  <si>
    <t>8 Fremont Circle</t>
  </si>
  <si>
    <t>14-521-4167</t>
  </si>
  <si>
    <t>Buttermilk</t>
  </si>
  <si>
    <t>68-609-1972</t>
  </si>
  <si>
    <t>00847 Reindahl Place</t>
  </si>
  <si>
    <t>51-572-5497</t>
  </si>
  <si>
    <t>43-035-3382</t>
  </si>
  <si>
    <t>Kanoodle</t>
  </si>
  <si>
    <t>9516 Burrows Circle</t>
  </si>
  <si>
    <t>28-840-6096</t>
  </si>
  <si>
    <t>15-444-8224</t>
  </si>
  <si>
    <t>Flipopia</t>
  </si>
  <si>
    <t>92655 Pond Park</t>
  </si>
  <si>
    <t>44-538-3366</t>
  </si>
  <si>
    <t>33-898-6242</t>
  </si>
  <si>
    <t>Realbridge</t>
  </si>
  <si>
    <t>46 Cardinal Way</t>
  </si>
  <si>
    <t>51-459-5630</t>
  </si>
  <si>
    <t>Sour Cream</t>
  </si>
  <si>
    <t>29-567-3732</t>
  </si>
  <si>
    <t>Skyvu</t>
  </si>
  <si>
    <t>805 Center Parkway</t>
  </si>
  <si>
    <t>02-655-3240</t>
  </si>
  <si>
    <t>95-200-1972</t>
  </si>
  <si>
    <t>Jabberstorm</t>
  </si>
  <si>
    <t>6738 Tennyson Road</t>
  </si>
  <si>
    <t>42-887-6557</t>
  </si>
  <si>
    <t>49-092-2735</t>
  </si>
  <si>
    <t>Geba</t>
  </si>
  <si>
    <t>61224 Northridge Avenue</t>
  </si>
  <si>
    <t>96-316-7600</t>
  </si>
  <si>
    <t>76-671-7104</t>
  </si>
  <si>
    <t>6 Swallow Crossing</t>
  </si>
  <si>
    <t>58-063-8633</t>
  </si>
  <si>
    <t>21-932-5200</t>
  </si>
  <si>
    <t>Skimia</t>
  </si>
  <si>
    <t>33424 Express Avenue</t>
  </si>
  <si>
    <t>43-703-9939</t>
  </si>
  <si>
    <t>69-928-4929</t>
  </si>
  <si>
    <t>4 Sundown Place</t>
  </si>
  <si>
    <t>88-069-5486</t>
  </si>
  <si>
    <t>95-878-1614</t>
  </si>
  <si>
    <t>Buzzshare</t>
  </si>
  <si>
    <t>01330 Sheridan Way</t>
  </si>
  <si>
    <t>74-845-3299</t>
  </si>
  <si>
    <t>Green Tea</t>
  </si>
  <si>
    <t>21-792-1000</t>
  </si>
  <si>
    <t>Oyoyo</t>
  </si>
  <si>
    <t>2 Petterle Road</t>
  </si>
  <si>
    <t>81-605-6246</t>
  </si>
  <si>
    <t>62-086-0407</t>
  </si>
  <si>
    <t>65721 Caliangt Crossing</t>
  </si>
  <si>
    <t>73-561-2867</t>
  </si>
  <si>
    <t>60-386-5077</t>
  </si>
  <si>
    <t>7444 Saint Paul Circle</t>
  </si>
  <si>
    <t>19-967-0632</t>
  </si>
  <si>
    <t>90-445-1753</t>
  </si>
  <si>
    <t>Yombu</t>
  </si>
  <si>
    <t>6990 Kings Place</t>
  </si>
  <si>
    <t>23-070-2433</t>
  </si>
  <si>
    <t>Powdered Sugar</t>
  </si>
  <si>
    <t>82-235-9317</t>
  </si>
  <si>
    <t>Meeveo</t>
  </si>
  <si>
    <t>836 Brown Alley</t>
  </si>
  <si>
    <t>27-262-2437</t>
  </si>
  <si>
    <t>05-181-2682</t>
  </si>
  <si>
    <t>Skidoo</t>
  </si>
  <si>
    <t>739 Swallow Road</t>
  </si>
  <si>
    <t>39-479-5147</t>
  </si>
  <si>
    <t>02-156-7270</t>
  </si>
  <si>
    <t>Meedoo</t>
  </si>
  <si>
    <t>14 Talmadge Park</t>
  </si>
  <si>
    <t>71-085-4290</t>
  </si>
  <si>
    <t>26-593-3478</t>
  </si>
  <si>
    <t>2 Basil Street</t>
  </si>
  <si>
    <t>48-957-6116</t>
  </si>
  <si>
    <t>34-334-6888</t>
  </si>
  <si>
    <t>938 Hanover Point</t>
  </si>
  <si>
    <t>83-917-7384</t>
  </si>
  <si>
    <t>84-923-5086</t>
  </si>
  <si>
    <t>Tavu</t>
  </si>
  <si>
    <t>3 Ilene Terrace</t>
  </si>
  <si>
    <t>26-031-8070</t>
  </si>
  <si>
    <t>Vegetable Oil</t>
  </si>
  <si>
    <t>11-096-4003</t>
  </si>
  <si>
    <t>Trudeo</t>
  </si>
  <si>
    <t>5414 Linden Point</t>
  </si>
  <si>
    <t>03-149-9760</t>
  </si>
  <si>
    <t>08-141-2402</t>
  </si>
  <si>
    <t>Yotz</t>
  </si>
  <si>
    <t>554 Eliot Point</t>
  </si>
  <si>
    <t>53-680-5293</t>
  </si>
  <si>
    <t>Cheddar Cheese</t>
  </si>
  <si>
    <t>47-732-4446</t>
  </si>
  <si>
    <t>Demizz</t>
  </si>
  <si>
    <t>97687 Mendota Terrace</t>
  </si>
  <si>
    <t>49-861-7823</t>
  </si>
  <si>
    <t>22-152-0111</t>
  </si>
  <si>
    <t>Skippad</t>
  </si>
  <si>
    <t>26 Graceland Circle</t>
  </si>
  <si>
    <t>24-364-3341</t>
  </si>
  <si>
    <t>Egg (Turkey)</t>
  </si>
  <si>
    <t>13-290-8513</t>
  </si>
  <si>
    <t>Topiclounge</t>
  </si>
  <si>
    <t>120 Gale Circle</t>
  </si>
  <si>
    <t>80-374-5711</t>
  </si>
  <si>
    <t>77-566-9826</t>
  </si>
  <si>
    <t>Browsecat</t>
  </si>
  <si>
    <t>13 Bluejay Way</t>
  </si>
  <si>
    <t>76-325-9093</t>
  </si>
  <si>
    <t>Sesame Oil</t>
  </si>
  <si>
    <t>67-922-3399</t>
  </si>
  <si>
    <t>01471 Burrows Lane</t>
  </si>
  <si>
    <t>30-429-2162</t>
  </si>
  <si>
    <t>05-100-7102</t>
  </si>
  <si>
    <t>Npath</t>
  </si>
  <si>
    <t>6382 Anniversary Pass</t>
  </si>
  <si>
    <t>53-446-8243</t>
  </si>
  <si>
    <t>51-666-7174</t>
  </si>
  <si>
    <t>757 Grasskamp Drive</t>
  </si>
  <si>
    <t>67-473-7093</t>
  </si>
  <si>
    <t>92-830-6986</t>
  </si>
  <si>
    <t>87417 Forest Pass</t>
  </si>
  <si>
    <t>98-235-2711</t>
  </si>
  <si>
    <t>Asparagus</t>
  </si>
  <si>
    <t>23-052-4744</t>
  </si>
  <si>
    <t>Devpoint</t>
  </si>
  <si>
    <t>5 Transport Pass</t>
  </si>
  <si>
    <t>07-219-8017</t>
  </si>
  <si>
    <t>95-148-9287</t>
  </si>
  <si>
    <t>Skibox</t>
  </si>
  <si>
    <t>357 High Crossing Parkway</t>
  </si>
  <si>
    <t>97-040-3822</t>
  </si>
  <si>
    <t>78-459-1417</t>
  </si>
  <si>
    <t>Gevee</t>
  </si>
  <si>
    <t>42 Clemons Terrace</t>
  </si>
  <si>
    <t>10-002-6494</t>
  </si>
  <si>
    <t>47-509-7282</t>
  </si>
  <si>
    <t>Meevee</t>
  </si>
  <si>
    <t>48 Vahlen Place</t>
  </si>
  <si>
    <t>12-998-3882</t>
  </si>
  <si>
    <t>06-151-9076</t>
  </si>
  <si>
    <t>94862 Beilfuss Terrace</t>
  </si>
  <si>
    <t>31-746-4951</t>
  </si>
  <si>
    <t>Whole Wheat Flour</t>
  </si>
  <si>
    <t>70-212-0990</t>
  </si>
  <si>
    <t>759 Waywood Court</t>
  </si>
  <si>
    <t>87-097-5691</t>
  </si>
  <si>
    <t>Robusta Coffee</t>
  </si>
  <si>
    <t>26-213-7885</t>
  </si>
  <si>
    <t>Photofeed</t>
  </si>
  <si>
    <t>236 Gateway Lane</t>
  </si>
  <si>
    <t>34-075-0371</t>
  </si>
  <si>
    <t>Watermelon</t>
  </si>
  <si>
    <t>32-771-2617</t>
  </si>
  <si>
    <t>Latz</t>
  </si>
  <si>
    <t>0039 Shelley Place</t>
  </si>
  <si>
    <t>40-810-9261</t>
  </si>
  <si>
    <t>56-554-1762</t>
  </si>
  <si>
    <t>Cogibox</t>
  </si>
  <si>
    <t>3 Raven Court</t>
  </si>
  <si>
    <t>46-931-6897</t>
  </si>
  <si>
    <t>22-946-8052</t>
  </si>
  <si>
    <t>44 Kensington Road</t>
  </si>
  <si>
    <t>58-182-6781</t>
  </si>
  <si>
    <t>75-328-1709</t>
  </si>
  <si>
    <t>Pixope</t>
  </si>
  <si>
    <t>86 Maryland Junction</t>
  </si>
  <si>
    <t>06-706-6490</t>
  </si>
  <si>
    <t>85-670-6379</t>
  </si>
  <si>
    <t>Tanoodle</t>
  </si>
  <si>
    <t>443 Browning Terrace</t>
  </si>
  <si>
    <t>47-578-4161</t>
  </si>
  <si>
    <t>Anchovies</t>
  </si>
  <si>
    <t>96-001-5429</t>
  </si>
  <si>
    <t>Jaxspan</t>
  </si>
  <si>
    <t>5 Forest Run Way</t>
  </si>
  <si>
    <t>18-199-5799</t>
  </si>
  <si>
    <t>76-870-2139</t>
  </si>
  <si>
    <t>Jayo</t>
  </si>
  <si>
    <t>87784 Blaine Way</t>
  </si>
  <si>
    <t>00-357-2313</t>
  </si>
  <si>
    <t>93-619-6639</t>
  </si>
  <si>
    <t>Quamba</t>
  </si>
  <si>
    <t>0 Oxford Crossing</t>
  </si>
  <si>
    <t>83-704-6367</t>
  </si>
  <si>
    <t>41-628-8713</t>
  </si>
  <si>
    <t>298 Corry Plaza</t>
  </si>
  <si>
    <t>01-144-5960</t>
  </si>
  <si>
    <t>80-848-7493</t>
  </si>
  <si>
    <t>Zazio</t>
  </si>
  <si>
    <t>52105 Mandrake Place</t>
  </si>
  <si>
    <t>96-774-0457</t>
  </si>
  <si>
    <t>71-991-5737</t>
  </si>
  <si>
    <t>Izio</t>
  </si>
  <si>
    <t>7369 Thackeray Drive</t>
  </si>
  <si>
    <t>24-310-9184</t>
  </si>
  <si>
    <t>69-378-2045</t>
  </si>
  <si>
    <t>Brainlounge</t>
  </si>
  <si>
    <t>6 Haas Circle</t>
  </si>
  <si>
    <t>10-255-8579</t>
  </si>
  <si>
    <t>Basmati Rice</t>
  </si>
  <si>
    <t>29-112-1577</t>
  </si>
  <si>
    <t>Trilia</t>
  </si>
  <si>
    <t>1959 Marcy Center</t>
  </si>
  <si>
    <t>38-417-4656</t>
  </si>
  <si>
    <t>57-202-5756</t>
  </si>
  <si>
    <t>1309 Elka Junction</t>
  </si>
  <si>
    <t>53-080-8252</t>
  </si>
  <si>
    <t>73-744-7022</t>
  </si>
  <si>
    <t>2 Grayhawk Junction</t>
  </si>
  <si>
    <t>14-681-7035</t>
  </si>
  <si>
    <t>01-308-0960</t>
  </si>
  <si>
    <t>Voolith</t>
  </si>
  <si>
    <t>95261 Morningstar Way</t>
  </si>
  <si>
    <t>96-503-7712</t>
  </si>
  <si>
    <t>97-325-5889</t>
  </si>
  <si>
    <t>Twitterbridge</t>
  </si>
  <si>
    <t>84148 Prairie Rose Center</t>
  </si>
  <si>
    <t>98-064-4465</t>
  </si>
  <si>
    <t>93-719-9817</t>
  </si>
  <si>
    <t>Feedfire</t>
  </si>
  <si>
    <t>109 Twin Pines Avenue</t>
  </si>
  <si>
    <t>84-198-7276</t>
  </si>
  <si>
    <t>34-158-6684</t>
  </si>
  <si>
    <t>6 Harbort Hill</t>
  </si>
  <si>
    <t>18-278-2383</t>
  </si>
  <si>
    <t>73-210-4267</t>
  </si>
  <si>
    <t>96 American Center</t>
  </si>
  <si>
    <t>20-054-3716</t>
  </si>
  <si>
    <t>49-591-1019</t>
  </si>
  <si>
    <t>JumpXS</t>
  </si>
  <si>
    <t>39 Lakewood Gardens Center</t>
  </si>
  <si>
    <t>63-822-5278</t>
  </si>
  <si>
    <t>27-636-1606</t>
  </si>
  <si>
    <t>5900 Vahlen Avenue</t>
  </si>
  <si>
    <t>01-439-6231</t>
  </si>
  <si>
    <t>Sunflower Oil</t>
  </si>
  <si>
    <t>08-490-1714</t>
  </si>
  <si>
    <t>8 Spaight Circle</t>
  </si>
  <si>
    <t>06-690-2335</t>
  </si>
  <si>
    <t>66-317-4895</t>
  </si>
  <si>
    <t>5 Linden Terrace</t>
  </si>
  <si>
    <t>47-554-5780</t>
  </si>
  <si>
    <t>62-979-5038</t>
  </si>
  <si>
    <t>Babbleopia</t>
  </si>
  <si>
    <t>1 Westport Crossing</t>
  </si>
  <si>
    <t>70-587-1204</t>
  </si>
  <si>
    <t>41-399-9203</t>
  </si>
  <si>
    <t>2446 Anhalt Way</t>
  </si>
  <si>
    <t>97-710-2449</t>
  </si>
  <si>
    <t>39-676-9308</t>
  </si>
  <si>
    <t>0 Miller Pass</t>
  </si>
  <si>
    <t>51-462-0747</t>
  </si>
  <si>
    <t>Lime</t>
  </si>
  <si>
    <t>40-417-9838</t>
  </si>
  <si>
    <t>453 Dryden Park</t>
  </si>
  <si>
    <t>90-492-0564</t>
  </si>
  <si>
    <t>18-085-1667</t>
  </si>
  <si>
    <t>54 Pawling Crossing</t>
  </si>
  <si>
    <t>63-956-0739</t>
  </si>
  <si>
    <t>17-123-1252</t>
  </si>
  <si>
    <t>Jetwire</t>
  </si>
  <si>
    <t>6808 Chinook Parkway</t>
  </si>
  <si>
    <t>30-832-5429</t>
  </si>
  <si>
    <t>41-800-2842</t>
  </si>
  <si>
    <t>Topicshots</t>
  </si>
  <si>
    <t>894 Kingsford Road</t>
  </si>
  <si>
    <t>38-822-8005</t>
  </si>
  <si>
    <t>45-886-1540</t>
  </si>
  <si>
    <t>Innojam</t>
  </si>
  <si>
    <t>6 Stang Hill</t>
  </si>
  <si>
    <t>73-118-1117</t>
  </si>
  <si>
    <t>55-557-8544</t>
  </si>
  <si>
    <t>482 Green Center</t>
  </si>
  <si>
    <t>60-285-3783</t>
  </si>
  <si>
    <t>58-827-9061</t>
  </si>
  <si>
    <t>37973 Parkside Junction</t>
  </si>
  <si>
    <t>00-215-7434</t>
  </si>
  <si>
    <t>85-272-3969</t>
  </si>
  <si>
    <t>Quatz</t>
  </si>
  <si>
    <t>389 Ridgeway Park</t>
  </si>
  <si>
    <t>68-734-1585</t>
  </si>
  <si>
    <t>54-537-5633</t>
  </si>
  <si>
    <t>3 Hagan Drive</t>
  </si>
  <si>
    <t>08-703-1382</t>
  </si>
  <si>
    <t>29-975-3449</t>
  </si>
  <si>
    <t>Wikizz</t>
  </si>
  <si>
    <t>082 Clove Plaza</t>
  </si>
  <si>
    <t>65-282-0419</t>
  </si>
  <si>
    <t>85-932-1011</t>
  </si>
  <si>
    <t>509 Waywood Center</t>
  </si>
  <si>
    <t>62-777-6010</t>
  </si>
  <si>
    <t>40-914-7156</t>
  </si>
  <si>
    <t>5743 Superior Place</t>
  </si>
  <si>
    <t>87-675-1506</t>
  </si>
  <si>
    <t>21-697-8128</t>
  </si>
  <si>
    <t>Skalith</t>
  </si>
  <si>
    <t>60241 Portage Point</t>
  </si>
  <si>
    <t>67-027-7269</t>
  </si>
  <si>
    <t>50-050-5707</t>
  </si>
  <si>
    <t>Twitterbeat</t>
  </si>
  <si>
    <t>615 Mayer Drive</t>
  </si>
  <si>
    <t>72-066-4597</t>
  </si>
  <si>
    <t>97-994-0773</t>
  </si>
  <si>
    <t>Zoovu</t>
  </si>
  <si>
    <t>03 Fisk Alley</t>
  </si>
  <si>
    <t>31-627-6025</t>
  </si>
  <si>
    <t>17-084-8551</t>
  </si>
  <si>
    <t>44638 Corscot Lane</t>
  </si>
  <si>
    <t>09-286-8107</t>
  </si>
  <si>
    <t>90-727-4816</t>
  </si>
  <si>
    <t>Skyndu</t>
  </si>
  <si>
    <t>75 Bunting Junction</t>
  </si>
  <si>
    <t>77-013-1553</t>
  </si>
  <si>
    <t>42-252-5861</t>
  </si>
  <si>
    <t>Yodo</t>
  </si>
  <si>
    <t>48788 Chinook Place</t>
  </si>
  <si>
    <t>15-762-1058</t>
  </si>
  <si>
    <t>32-914-1424</t>
  </si>
  <si>
    <t>Tazz</t>
  </si>
  <si>
    <t>083 Mccormick Park</t>
  </si>
  <si>
    <t>48-193-1199</t>
  </si>
  <si>
    <t>63-924-5144</t>
  </si>
  <si>
    <t>Omba</t>
  </si>
  <si>
    <t>339 Paget Place</t>
  </si>
  <si>
    <t>01-173-0029</t>
  </si>
  <si>
    <t>18-880-7910</t>
  </si>
  <si>
    <t>DabZ</t>
  </si>
  <si>
    <t>8 Dakota Avenue</t>
  </si>
  <si>
    <t>79-400-6216</t>
  </si>
  <si>
    <t>83-361-7509</t>
  </si>
  <si>
    <t>4 Warbler Center</t>
  </si>
  <si>
    <t>80-072-8774</t>
  </si>
  <si>
    <t>61-222-8413</t>
  </si>
  <si>
    <t>Viva</t>
  </si>
  <si>
    <t>239 Anderson Court</t>
  </si>
  <si>
    <t>78-689-8958</t>
  </si>
  <si>
    <t>52-744-6162</t>
  </si>
  <si>
    <t>04 Mesta Parkway</t>
  </si>
  <si>
    <t>57-562-2358</t>
  </si>
  <si>
    <t>22-644-6447</t>
  </si>
  <si>
    <t>00 6th Parkway</t>
  </si>
  <si>
    <t>56-191-6497</t>
  </si>
  <si>
    <t>65-395-5947</t>
  </si>
  <si>
    <t>Bubblebox</t>
  </si>
  <si>
    <t>844 Schurz Point</t>
  </si>
  <si>
    <t>46-753-8430</t>
  </si>
  <si>
    <t>35-042-9391</t>
  </si>
  <si>
    <t>Rhynyx</t>
  </si>
  <si>
    <t>60356 Derek Lane</t>
  </si>
  <si>
    <t>48-461-3742</t>
  </si>
  <si>
    <t>78-381-5054</t>
  </si>
  <si>
    <t>Zooveo</t>
  </si>
  <si>
    <t>42719 Milwaukee Avenue</t>
  </si>
  <si>
    <t>16-354-8122</t>
  </si>
  <si>
    <t>Digestive Biscuit</t>
  </si>
  <si>
    <t>61-604-8116</t>
  </si>
  <si>
    <t>BlogXS</t>
  </si>
  <si>
    <t>66 Raven Pass</t>
  </si>
  <si>
    <t>76-954-1442</t>
  </si>
  <si>
    <t>68-200-8955</t>
  </si>
  <si>
    <t>43024 Elka Avenue</t>
  </si>
  <si>
    <t>44-476-0390</t>
  </si>
  <si>
    <t>48-562-3582</t>
  </si>
  <si>
    <t>022 Pierstorff Point</t>
  </si>
  <si>
    <t>35-617-3857</t>
  </si>
  <si>
    <t>90-718-2724</t>
  </si>
  <si>
    <t>Youspan</t>
  </si>
  <si>
    <t>292 Charing Cross Terrace</t>
  </si>
  <si>
    <t>94-029-2717</t>
  </si>
  <si>
    <t>37-878-9392</t>
  </si>
  <si>
    <t>Jetpulse</t>
  </si>
  <si>
    <t>071 Nobel Circle</t>
  </si>
  <si>
    <t>49-526-7806</t>
  </si>
  <si>
    <t>Kale</t>
  </si>
  <si>
    <t>66-973-4855</t>
  </si>
  <si>
    <t>Yodoo</t>
  </si>
  <si>
    <t>6744 Helena Pass</t>
  </si>
  <si>
    <t>99-137-1730</t>
  </si>
  <si>
    <t>65-797-3468</t>
  </si>
  <si>
    <t>4105 Fair Oaks Parkway</t>
  </si>
  <si>
    <t>27-442-3654</t>
  </si>
  <si>
    <t>57-544-2465</t>
  </si>
  <si>
    <t>Yoveo</t>
  </si>
  <si>
    <t>67677 Lakewood Gardens Way</t>
  </si>
  <si>
    <t>32-933-0329</t>
  </si>
  <si>
    <t>86-760-5412</t>
  </si>
  <si>
    <t>57150 Del Sol Alley</t>
  </si>
  <si>
    <t>93-813-2419</t>
  </si>
  <si>
    <t>12-264-4503</t>
  </si>
  <si>
    <t>7407 Farragut Pass</t>
  </si>
  <si>
    <t>85-440-3667</t>
  </si>
  <si>
    <t>00-680-5333</t>
  </si>
  <si>
    <t>6151 Forster Drive</t>
  </si>
  <si>
    <t>77-224-2227</t>
  </si>
  <si>
    <t>89-226-5813</t>
  </si>
  <si>
    <t>Eimbee</t>
  </si>
  <si>
    <t>5426 Fordem Pass</t>
  </si>
  <si>
    <t>60-632-8752</t>
  </si>
  <si>
    <t>07-948-8632</t>
  </si>
  <si>
    <t>Trunyx</t>
  </si>
  <si>
    <t>48 Golf View Pass</t>
  </si>
  <si>
    <t>99-561-4871</t>
  </si>
  <si>
    <t>04-786-5408</t>
  </si>
  <si>
    <t>Buzzdog</t>
  </si>
  <si>
    <t>952 Rowland Junction</t>
  </si>
  <si>
    <t>61-607-7622</t>
  </si>
  <si>
    <t>77-175-2969</t>
  </si>
  <si>
    <t>Zoonoodle</t>
  </si>
  <si>
    <t>329 Helena Park</t>
  </si>
  <si>
    <t>11-745-3025</t>
  </si>
  <si>
    <t>54-711-1582</t>
  </si>
  <si>
    <t>3104 Ridge Oak Hill</t>
  </si>
  <si>
    <t>56-810-0550</t>
  </si>
  <si>
    <t>Mackerel</t>
  </si>
  <si>
    <t>94-145-9423</t>
  </si>
  <si>
    <t>Janyx</t>
  </si>
  <si>
    <t>376 Reinke Court</t>
  </si>
  <si>
    <t>59-075-2457</t>
  </si>
  <si>
    <t>18-733-2453</t>
  </si>
  <si>
    <t>Dynava</t>
  </si>
  <si>
    <t>2 Barby Lane</t>
  </si>
  <si>
    <t>40-021-2400</t>
  </si>
  <si>
    <t>62-648-2577</t>
  </si>
  <si>
    <t>265 Columbus Way</t>
  </si>
  <si>
    <t>29-017-6255</t>
  </si>
  <si>
    <t>43-348-2450</t>
  </si>
  <si>
    <t>20 Pennsylvania Parkway</t>
  </si>
  <si>
    <t>92-291-7089</t>
  </si>
  <si>
    <t>08-523-5066</t>
  </si>
  <si>
    <t>9307 Kingsford Road</t>
  </si>
  <si>
    <t>69-287-9113</t>
  </si>
  <si>
    <t>20-952-0731</t>
  </si>
  <si>
    <t>11 Golden Leaf Alley</t>
  </si>
  <si>
    <t>76-540-6407</t>
  </si>
  <si>
    <t>78-644-5877</t>
  </si>
  <si>
    <t>Demimbu</t>
  </si>
  <si>
    <t>77 Prairie Rose Park</t>
  </si>
  <si>
    <t>85-561-4694</t>
  </si>
  <si>
    <t>57-486-8971</t>
  </si>
  <si>
    <t>1 Lake View Trail</t>
  </si>
  <si>
    <t>34-928-2775</t>
  </si>
  <si>
    <t>07-959-3210</t>
  </si>
  <si>
    <t>Browseblab</t>
  </si>
  <si>
    <t>7945 Mayer Center</t>
  </si>
  <si>
    <t>90-773-9557</t>
  </si>
  <si>
    <t>02-165-5779</t>
  </si>
  <si>
    <t>904 Del Mar Crossing</t>
  </si>
  <si>
    <t>57-394-1587</t>
  </si>
  <si>
    <t>59-595-7531</t>
  </si>
  <si>
    <t>Roomm</t>
  </si>
  <si>
    <t>561 Blue Bill Park Road</t>
  </si>
  <si>
    <t>28-008-2951</t>
  </si>
  <si>
    <t>64-118-1480</t>
  </si>
  <si>
    <t>Buzzster</t>
  </si>
  <si>
    <t>26 Barnett Junction</t>
  </si>
  <si>
    <t>74-711-7160</t>
  </si>
  <si>
    <t>40-662-8853</t>
  </si>
  <si>
    <t>Meembee</t>
  </si>
  <si>
    <t>44296 Kropf Avenue</t>
  </si>
  <si>
    <t>22-895-6595</t>
  </si>
  <si>
    <t>18-445-5057</t>
  </si>
  <si>
    <t>34642 Carpenter Place</t>
  </si>
  <si>
    <t>19-214-5762</t>
  </si>
  <si>
    <t>88-108-3774</t>
  </si>
  <si>
    <t>Gigashots</t>
  </si>
  <si>
    <t>7 Bonner Terrace</t>
  </si>
  <si>
    <t>95-349-0828</t>
  </si>
  <si>
    <t>43-977-2343</t>
  </si>
  <si>
    <t>60 Towne Hill</t>
  </si>
  <si>
    <t>00-963-2193</t>
  </si>
  <si>
    <t>Milk</t>
  </si>
  <si>
    <t>39-521-8484</t>
  </si>
  <si>
    <t>Thoughtsphere</t>
  </si>
  <si>
    <t>5030 Moose Junction</t>
  </si>
  <si>
    <t>76-459-2392</t>
  </si>
  <si>
    <t>91-030-6609</t>
  </si>
  <si>
    <t>2005 Mccormick Road</t>
  </si>
  <si>
    <t>10-034-7654</t>
  </si>
  <si>
    <t>27-292-4656</t>
  </si>
  <si>
    <t>Zava</t>
  </si>
  <si>
    <t>21 Esker Way</t>
  </si>
  <si>
    <t>24-972-6969</t>
  </si>
  <si>
    <t>27-532-7847</t>
  </si>
  <si>
    <t>5862 Hooker Pass</t>
  </si>
  <si>
    <t>94-190-5193</t>
  </si>
  <si>
    <t>95-778-2888</t>
  </si>
  <si>
    <t>Quinu</t>
  </si>
  <si>
    <t>24385 Prentice Plaza</t>
  </si>
  <si>
    <t>92-791-0606</t>
  </si>
  <si>
    <t>56-050-1773</t>
  </si>
  <si>
    <t>739 Grayhawk Trail</t>
  </si>
  <si>
    <t>84-629-1532</t>
  </si>
  <si>
    <t>50-378-4320</t>
  </si>
  <si>
    <t>Chatterpoint</t>
  </si>
  <si>
    <t>7 Sloan Park</t>
  </si>
  <si>
    <t>68-977-2498</t>
  </si>
  <si>
    <t>Grapes</t>
  </si>
  <si>
    <t>26-222-1156</t>
  </si>
  <si>
    <t>Skinix</t>
  </si>
  <si>
    <t>6482 Ramsey Alley</t>
  </si>
  <si>
    <t>91-257-3672</t>
  </si>
  <si>
    <t>30-438-6295</t>
  </si>
  <si>
    <t>InnoZ</t>
  </si>
  <si>
    <t>10997 Dexter Parkway</t>
  </si>
  <si>
    <t>09-536-2626</t>
  </si>
  <si>
    <t>14-483-5712</t>
  </si>
  <si>
    <t>Fliptune</t>
  </si>
  <si>
    <t>205 Straubel Court</t>
  </si>
  <si>
    <t>61-801-8665</t>
  </si>
  <si>
    <t>78-283-9751</t>
  </si>
  <si>
    <t>Demivee</t>
  </si>
  <si>
    <t>58 La Follette Park</t>
  </si>
  <si>
    <t>38-296-6634</t>
  </si>
  <si>
    <t>41-083-3955</t>
  </si>
  <si>
    <t>160 Kings Street</t>
  </si>
  <si>
    <t>30-591-7275</t>
  </si>
  <si>
    <t>Brown Rice</t>
  </si>
  <si>
    <t>12-431-9207</t>
  </si>
  <si>
    <t>7020 Porter Trail</t>
  </si>
  <si>
    <t>83-763-5038</t>
  </si>
  <si>
    <t>26-438-8349</t>
  </si>
  <si>
    <t>Jatri</t>
  </si>
  <si>
    <t>5 Armistice Parkway</t>
  </si>
  <si>
    <t>37-709-3532</t>
  </si>
  <si>
    <t>08-439-3820</t>
  </si>
  <si>
    <t>524 Saint Paul Park</t>
  </si>
  <si>
    <t>62-795-7801</t>
  </si>
  <si>
    <t>08-312-0872</t>
  </si>
  <si>
    <t>94451 Arkansas Park</t>
  </si>
  <si>
    <t>98-575-4736</t>
  </si>
  <si>
    <t>44-429-6199</t>
  </si>
  <si>
    <t>Flashset</t>
  </si>
  <si>
    <t>83 Pleasure Street</t>
  </si>
  <si>
    <t>57-861-4379</t>
  </si>
  <si>
    <t>73-383-4390</t>
  </si>
  <si>
    <t>64407 Marcy Plaza</t>
  </si>
  <si>
    <t>00-119-8780</t>
  </si>
  <si>
    <t>Halibut</t>
  </si>
  <si>
    <t>14-703-2550</t>
  </si>
  <si>
    <t>21 Sunbrook Court</t>
  </si>
  <si>
    <t>28-824-9017</t>
  </si>
  <si>
    <t>93-712-3934</t>
  </si>
  <si>
    <t>4 Jay Terrace</t>
  </si>
  <si>
    <t>56-668-5370</t>
  </si>
  <si>
    <t>13-526-1392</t>
  </si>
  <si>
    <t>Vimbo</t>
  </si>
  <si>
    <t>05686 Golden Leaf Point</t>
  </si>
  <si>
    <t>29-756-7042</t>
  </si>
  <si>
    <t>20-426-2191</t>
  </si>
  <si>
    <t>Dabvine</t>
  </si>
  <si>
    <t>99 Fair Oaks Circle</t>
  </si>
  <si>
    <t>41-538-3129</t>
  </si>
  <si>
    <t>91-589-9007</t>
  </si>
  <si>
    <t>2 Carioca Crossing</t>
  </si>
  <si>
    <t>16-380-0753</t>
  </si>
  <si>
    <t>Apricot</t>
  </si>
  <si>
    <t>24-603-5521</t>
  </si>
  <si>
    <t>701 Logan Court</t>
  </si>
  <si>
    <t>26-535-4727</t>
  </si>
  <si>
    <t>17-939-1338</t>
  </si>
  <si>
    <t>Jamia</t>
  </si>
  <si>
    <t>4 Darwin Circle</t>
  </si>
  <si>
    <t>59-857-6577</t>
  </si>
  <si>
    <t>Evaporated Milk</t>
  </si>
  <si>
    <t>57-569-7172</t>
  </si>
  <si>
    <t>Blognation</t>
  </si>
  <si>
    <t>230 Tony Court</t>
  </si>
  <si>
    <t>14-550-2152</t>
  </si>
  <si>
    <t>60-003-2919</t>
  </si>
  <si>
    <t>Livepath</t>
  </si>
  <si>
    <t>3 Forster Point</t>
  </si>
  <si>
    <t>39-315-3936</t>
  </si>
  <si>
    <t>99-034-7010</t>
  </si>
  <si>
    <t>Yata</t>
  </si>
  <si>
    <t>850 Glacier Hill Drive</t>
  </si>
  <si>
    <t>87-199-2743</t>
  </si>
  <si>
    <t>Papaya</t>
  </si>
  <si>
    <t>54-907-6531</t>
  </si>
  <si>
    <t>38695 Kenwood Circle</t>
  </si>
  <si>
    <t>60-771-0879</t>
  </si>
  <si>
    <t>90-554-0576</t>
  </si>
  <si>
    <t>9 Karstens Center</t>
  </si>
  <si>
    <t>00-440-9568</t>
  </si>
  <si>
    <t>43-605-2448</t>
  </si>
  <si>
    <t>052 Northland Trail</t>
  </si>
  <si>
    <t>07-074-1196</t>
  </si>
  <si>
    <t>69-112-6969</t>
  </si>
  <si>
    <t>27 New Castle Avenue</t>
  </si>
  <si>
    <t>69-674-5387</t>
  </si>
  <si>
    <t>Yogurt</t>
  </si>
  <si>
    <t>04-313-0298</t>
  </si>
  <si>
    <t>Miboo</t>
  </si>
  <si>
    <t>6211 Hanson Terrace</t>
  </si>
  <si>
    <t>08-940-8578</t>
  </si>
  <si>
    <t>37-686-1726</t>
  </si>
  <si>
    <t>Oba</t>
  </si>
  <si>
    <t>74 Menomonie Point</t>
  </si>
  <si>
    <t>94-020-6982</t>
  </si>
  <si>
    <t>72-649-3163</t>
  </si>
  <si>
    <t>381 Rutledge Place</t>
  </si>
  <si>
    <t>42-879-9478</t>
  </si>
  <si>
    <t>00-900-0119</t>
  </si>
  <si>
    <t>Zoonder</t>
  </si>
  <si>
    <t>86 Porter Junction</t>
  </si>
  <si>
    <t>00-405-7428</t>
  </si>
  <si>
    <t>Apple</t>
  </si>
  <si>
    <t>42-746-2717</t>
  </si>
  <si>
    <t>42 Mallory Court</t>
  </si>
  <si>
    <t>87-997-0228</t>
  </si>
  <si>
    <t>55-156-6528</t>
  </si>
  <si>
    <t>26240 Maple Wood Place</t>
  </si>
  <si>
    <t>05-498-7751</t>
  </si>
  <si>
    <t>17-963-6051</t>
  </si>
  <si>
    <t>Abata</t>
  </si>
  <si>
    <t>30408 5th Way</t>
  </si>
  <si>
    <t>55-631-7937</t>
  </si>
  <si>
    <t>79-508-5241</t>
  </si>
  <si>
    <t>Avamba</t>
  </si>
  <si>
    <t>82 Drewry Junction</t>
  </si>
  <si>
    <t>27-389-3529</t>
  </si>
  <si>
    <t>73-201-2803</t>
  </si>
  <si>
    <t>Feedfish</t>
  </si>
  <si>
    <t>234 Eagle Crest Avenue</t>
  </si>
  <si>
    <t>84-272-0790</t>
  </si>
  <si>
    <t>00-635-4638</t>
  </si>
  <si>
    <t>53 Caliangt Junction</t>
  </si>
  <si>
    <t>01-903-5373</t>
  </si>
  <si>
    <t>37-902-0286</t>
  </si>
  <si>
    <t>Lazz</t>
  </si>
  <si>
    <t>32525 Marquette Park</t>
  </si>
  <si>
    <t>49-311-3063</t>
  </si>
  <si>
    <t>15-947-9718</t>
  </si>
  <si>
    <t>Talane</t>
  </si>
  <si>
    <t>71 Bultman Drive</t>
  </si>
  <si>
    <t>04-277-5245</t>
  </si>
  <si>
    <t>Coconut Sugar</t>
  </si>
  <si>
    <t>90-175-7764</t>
  </si>
  <si>
    <t>911 Ridgeway Way</t>
  </si>
  <si>
    <t>04-453-5485</t>
  </si>
  <si>
    <t>Tomato</t>
  </si>
  <si>
    <t>43-880-2879</t>
  </si>
  <si>
    <t>2 Sunbrook Lane</t>
  </si>
  <si>
    <t>42-141-5718</t>
  </si>
  <si>
    <t>67-662-3444</t>
  </si>
  <si>
    <t>1700 Briar Crest Parkway</t>
  </si>
  <si>
    <t>89-602-6755</t>
  </si>
  <si>
    <t>51-054-3811</t>
  </si>
  <si>
    <t>4 Bashford Court</t>
  </si>
  <si>
    <t>15-045-8444</t>
  </si>
  <si>
    <t>29-143-2001</t>
  </si>
  <si>
    <t>Aibox</t>
  </si>
  <si>
    <t>97 Thierer Terrace</t>
  </si>
  <si>
    <t>15-240-6267</t>
  </si>
  <si>
    <t>12-983-3026</t>
  </si>
  <si>
    <t>Mybuzz</t>
  </si>
  <si>
    <t>25784 Old Gate Crossing</t>
  </si>
  <si>
    <t>05-193-8096</t>
  </si>
  <si>
    <t>86-709-5618</t>
  </si>
  <si>
    <t>Rhynoodle</t>
  </si>
  <si>
    <t>38 Rutledge Plaza</t>
  </si>
  <si>
    <t>93-342-8794</t>
  </si>
  <si>
    <t>93-688-1260</t>
  </si>
  <si>
    <t>39102 Division Trail</t>
  </si>
  <si>
    <t>83-716-2177</t>
  </si>
  <si>
    <t>79-518-8344</t>
  </si>
  <si>
    <t>Linktype</t>
  </si>
  <si>
    <t>26266 Esker Point</t>
  </si>
  <si>
    <t>56-635-6764</t>
  </si>
  <si>
    <t>20-257-6927</t>
  </si>
  <si>
    <t>744 Green Center</t>
  </si>
  <si>
    <t>10-249-7928</t>
  </si>
  <si>
    <t>69-861-0313</t>
  </si>
  <si>
    <t>57598 Russell Center</t>
  </si>
  <si>
    <t>65-759-3721</t>
  </si>
  <si>
    <t>21-634-5781</t>
  </si>
  <si>
    <t>Vipe</t>
  </si>
  <si>
    <t>315 Acker Alley</t>
  </si>
  <si>
    <t>08-725-8156</t>
  </si>
  <si>
    <t>32-196-4714</t>
  </si>
  <si>
    <t>73397 Steensland Circle</t>
  </si>
  <si>
    <t>15-679-3935</t>
  </si>
  <si>
    <t>35-906-1010</t>
  </si>
  <si>
    <t>Jabbersphere</t>
  </si>
  <si>
    <t>95 Garrison Plaza</t>
  </si>
  <si>
    <t>81-578-7404</t>
  </si>
  <si>
    <t>90-177-6733</t>
  </si>
  <si>
    <t>Rhyloo</t>
  </si>
  <si>
    <t>5989 Longview Drive</t>
  </si>
  <si>
    <t>82-380-5378</t>
  </si>
  <si>
    <t>96-353-3049</t>
  </si>
  <si>
    <t>Oozz</t>
  </si>
  <si>
    <t>05518 Saint Paul Street</t>
  </si>
  <si>
    <t>78-362-8578</t>
  </si>
  <si>
    <t>57-633-6273</t>
  </si>
  <si>
    <t>86 Corben Crossing</t>
  </si>
  <si>
    <t>32-261-0008</t>
  </si>
  <si>
    <t>26-073-5798</t>
  </si>
  <si>
    <t>2 Kingsford Center</t>
  </si>
  <si>
    <t>74-943-9034</t>
  </si>
  <si>
    <t>15-739-5480</t>
  </si>
  <si>
    <t>0 Saint Paul Center</t>
  </si>
  <si>
    <t>86-330-0214</t>
  </si>
  <si>
    <t>87-840-7803</t>
  </si>
  <si>
    <t>5818 Twin Pines Place</t>
  </si>
  <si>
    <t>80-334-0215</t>
  </si>
  <si>
    <t>19-156-3869</t>
  </si>
  <si>
    <t>Camimbo</t>
  </si>
  <si>
    <t>611 Waubesa Circle</t>
  </si>
  <si>
    <t>48-957-8596</t>
  </si>
  <si>
    <t>40-817-2222</t>
  </si>
  <si>
    <t>3825 Raven Avenue</t>
  </si>
  <si>
    <t>37-246-0018</t>
  </si>
  <si>
    <t>61-907-0994</t>
  </si>
  <si>
    <t>Skilith</t>
  </si>
  <si>
    <t>52 Alpine Crossing</t>
  </si>
  <si>
    <t>17-002-4721</t>
  </si>
  <si>
    <t>38-310-4533</t>
  </si>
  <si>
    <t>379 Duke Court</t>
  </si>
  <si>
    <t>47-802-5023</t>
  </si>
  <si>
    <t>51-010-8144</t>
  </si>
  <si>
    <t>7096 Mcguire Park</t>
  </si>
  <si>
    <t>22-319-1377</t>
  </si>
  <si>
    <t>82-266-1796</t>
  </si>
  <si>
    <t>Skyba</t>
  </si>
  <si>
    <t>083 Gulseth Pass</t>
  </si>
  <si>
    <t>57-903-6434</t>
  </si>
  <si>
    <t>30-460-3122</t>
  </si>
  <si>
    <t>34 Linden Court</t>
  </si>
  <si>
    <t>22-083-3347</t>
  </si>
  <si>
    <t>01-431-7544</t>
  </si>
  <si>
    <t>38 Superior Road</t>
  </si>
  <si>
    <t>65-145-9672</t>
  </si>
  <si>
    <t>65-068-1200</t>
  </si>
  <si>
    <t>8 Dovetail Junction</t>
  </si>
  <si>
    <t>95-252-9619</t>
  </si>
  <si>
    <t>38-819-2922</t>
  </si>
  <si>
    <t>57453 Northwestern Alley</t>
  </si>
  <si>
    <t>74-294-3760</t>
  </si>
  <si>
    <t>81-233-6894</t>
  </si>
  <si>
    <t>0109 Stang Terrace</t>
  </si>
  <si>
    <t>06-797-4963</t>
  </si>
  <si>
    <t>41-821-0197</t>
  </si>
  <si>
    <t>1008 Welch Street</t>
  </si>
  <si>
    <t>39-768-8205</t>
  </si>
  <si>
    <t>07-987-4536</t>
  </si>
  <si>
    <t>Gigabox</t>
  </si>
  <si>
    <t>32 Rigney Terrace</t>
  </si>
  <si>
    <t>03-043-9933</t>
  </si>
  <si>
    <t>48-450-4126</t>
  </si>
  <si>
    <t>884 Fieldstone Plaza</t>
  </si>
  <si>
    <t>29-823-6004</t>
  </si>
  <si>
    <t>10-295-7996</t>
  </si>
  <si>
    <t>3 Lawn Park</t>
  </si>
  <si>
    <t>40-462-2952</t>
  </si>
  <si>
    <t>57-323-8059</t>
  </si>
  <si>
    <t>0258 Shoshone Center</t>
  </si>
  <si>
    <t>71-999-2404</t>
  </si>
  <si>
    <t>01-285-0018</t>
  </si>
  <si>
    <t>Meezzy</t>
  </si>
  <si>
    <t>18 Warrior Circle</t>
  </si>
  <si>
    <t>03-919-9890</t>
  </si>
  <si>
    <t>69-289-8783</t>
  </si>
  <si>
    <t>Wikibox</t>
  </si>
  <si>
    <t>7 Riverside Road</t>
  </si>
  <si>
    <t>94-525-6925</t>
  </si>
  <si>
    <t>31-892-6816</t>
  </si>
  <si>
    <t>Kwilith</t>
  </si>
  <si>
    <t>667 Arkansas Circle</t>
  </si>
  <si>
    <t>08-213-2058</t>
  </si>
  <si>
    <t>13-179-9553</t>
  </si>
  <si>
    <t>33 Clarendon Hill</t>
  </si>
  <si>
    <t>51-312-8608</t>
  </si>
  <si>
    <t>06-315-0552</t>
  </si>
  <si>
    <t>406 Westridge Alley</t>
  </si>
  <si>
    <t>67-512-9754</t>
  </si>
  <si>
    <t>35-941-2585</t>
  </si>
  <si>
    <t>69 Orin Plaza</t>
  </si>
  <si>
    <t>45-402-0421</t>
  </si>
  <si>
    <t>87-201-6047</t>
  </si>
  <si>
    <t>36 Longview Street</t>
  </si>
  <si>
    <t>85-207-4164</t>
  </si>
  <si>
    <t>07-067-3439</t>
  </si>
  <si>
    <t>41 Comanche Park</t>
  </si>
  <si>
    <t>72-780-6006</t>
  </si>
  <si>
    <t>81-292-4650</t>
  </si>
  <si>
    <t>88721 Dawn Crossing</t>
  </si>
  <si>
    <t>93-166-3169</t>
  </si>
  <si>
    <t>21-156-0102</t>
  </si>
  <si>
    <t>339 Crescent Oaks Plaza</t>
  </si>
  <si>
    <t>21-718-6746</t>
  </si>
  <si>
    <t>96-012-3393</t>
  </si>
  <si>
    <t>Eamia</t>
  </si>
  <si>
    <t>277 Pawling Terrace</t>
  </si>
  <si>
    <t>93-966-7754</t>
  </si>
  <si>
    <t>78-787-7171</t>
  </si>
  <si>
    <t>4 4th Place</t>
  </si>
  <si>
    <t>47-663-5703</t>
  </si>
  <si>
    <t>52-062-2916</t>
  </si>
  <si>
    <t>6500 Raven Drive</t>
  </si>
  <si>
    <t>34-110-1040</t>
  </si>
  <si>
    <t>14-427-6604</t>
  </si>
  <si>
    <t>Leenti</t>
  </si>
  <si>
    <t>42397 Knutson Place</t>
  </si>
  <si>
    <t>82-342-7339</t>
  </si>
  <si>
    <t>Vanilla Biscuit</t>
  </si>
  <si>
    <t>14-325-9173</t>
  </si>
  <si>
    <t>Yozio</t>
  </si>
  <si>
    <t>317 Anniversary Pass</t>
  </si>
  <si>
    <t>43-670-8544</t>
  </si>
  <si>
    <t>16-656-4821</t>
  </si>
  <si>
    <t>Camido</t>
  </si>
  <si>
    <t>3 Logan Trail</t>
  </si>
  <si>
    <t>12-439-8428</t>
  </si>
  <si>
    <t>43-542-6868</t>
  </si>
  <si>
    <t>Ainyx</t>
  </si>
  <si>
    <t>6 Rusk Pass</t>
  </si>
  <si>
    <t>49-919-8798</t>
  </si>
  <si>
    <t>82-482-3670</t>
  </si>
  <si>
    <t>3 Dottie Junction</t>
  </si>
  <si>
    <t>73-567-6194</t>
  </si>
  <si>
    <t>81-927-7236</t>
  </si>
  <si>
    <t>Yakitri</t>
  </si>
  <si>
    <t>069 Basil Center</t>
  </si>
  <si>
    <t>83-573-4586</t>
  </si>
  <si>
    <t>91-191-2324</t>
  </si>
  <si>
    <t>Thoughtbeat</t>
  </si>
  <si>
    <t>84575 Randy Point</t>
  </si>
  <si>
    <t>12-798-9401</t>
  </si>
  <si>
    <t>96-609-6152</t>
  </si>
  <si>
    <t>5 Forster Point</t>
  </si>
  <si>
    <t>02-895-7781</t>
  </si>
  <si>
    <t>23-109-2205</t>
  </si>
  <si>
    <t>Tagchat</t>
  </si>
  <si>
    <t>2582 Autumn Leaf Park</t>
  </si>
  <si>
    <t>83-625-3618</t>
  </si>
  <si>
    <t>64-528-9996</t>
  </si>
  <si>
    <t>Realmix</t>
  </si>
  <si>
    <t>2696 Katie Road</t>
  </si>
  <si>
    <t>89-181-4523</t>
  </si>
  <si>
    <t>Wild Rice</t>
  </si>
  <si>
    <t>54-749-3622</t>
  </si>
  <si>
    <t>022 Prairie Rose Drive</t>
  </si>
  <si>
    <t>95-354-8583</t>
  </si>
  <si>
    <t>02-057-9401</t>
  </si>
  <si>
    <t>848 Mariners Cove Junction</t>
  </si>
  <si>
    <t>90-303-1821</t>
  </si>
  <si>
    <t>96-786-0667</t>
  </si>
  <si>
    <t>Edgewire</t>
  </si>
  <si>
    <t>6435 Burning Wood Drive</t>
  </si>
  <si>
    <t>71-631-5875</t>
  </si>
  <si>
    <t>Salmon</t>
  </si>
  <si>
    <t>91-859-1733</t>
  </si>
  <si>
    <t>13 Loomis Alley</t>
  </si>
  <si>
    <t>02-275-6061</t>
  </si>
  <si>
    <t>21-829-0398</t>
  </si>
  <si>
    <t>6891 Mandrake Park</t>
  </si>
  <si>
    <t>04-001-1793</t>
  </si>
  <si>
    <t>29-359-0109</t>
  </si>
  <si>
    <t>0 Stoughton Terrace</t>
  </si>
  <si>
    <t>47-749-3277</t>
  </si>
  <si>
    <t>96-551-3929</t>
  </si>
  <si>
    <t>502 Sachs Circle</t>
  </si>
  <si>
    <t>37-666-3902</t>
  </si>
  <si>
    <t>58-536-6583</t>
  </si>
  <si>
    <t>85276 Lakewood Gardens Alley</t>
  </si>
  <si>
    <t>73-942-0508</t>
  </si>
  <si>
    <t>37-057-3553</t>
  </si>
  <si>
    <t>1034 2nd Point</t>
  </si>
  <si>
    <t>57-359-3397</t>
  </si>
  <si>
    <t>54-659-1177</t>
  </si>
  <si>
    <t>Twiyo</t>
  </si>
  <si>
    <t>81071 West Alley</t>
  </si>
  <si>
    <t>46-436-5351</t>
  </si>
  <si>
    <t>07-471-0050</t>
  </si>
  <si>
    <t>226 Calypso Road</t>
  </si>
  <si>
    <t>27-881-1177</t>
  </si>
  <si>
    <t>64-807-5250</t>
  </si>
  <si>
    <t>1223 Monument Drive</t>
  </si>
  <si>
    <t>85-237-3505</t>
  </si>
  <si>
    <t>92-296-1266</t>
  </si>
  <si>
    <t>20073 Northfield Way</t>
  </si>
  <si>
    <t>80-371-3695</t>
  </si>
  <si>
    <t>42-254-7371</t>
  </si>
  <si>
    <t>Divape</t>
  </si>
  <si>
    <t>163 Esch Pass</t>
  </si>
  <si>
    <t>04-758-0410</t>
  </si>
  <si>
    <t>56-231-2524</t>
  </si>
  <si>
    <t>Wordpedia</t>
  </si>
  <si>
    <t>5 Toban Circle</t>
  </si>
  <si>
    <t>65-644-1394</t>
  </si>
  <si>
    <t>23-280-1300</t>
  </si>
  <si>
    <t>582 Dahle Center</t>
  </si>
  <si>
    <t>04-293-6969</t>
  </si>
  <si>
    <t>69-087-6645</t>
  </si>
  <si>
    <t>0 Oak Valley Lane</t>
  </si>
  <si>
    <t>40-997-2786</t>
  </si>
  <si>
    <t>18-743-4684</t>
  </si>
  <si>
    <t>5551 Mallory Lane</t>
  </si>
  <si>
    <t>91-553-1774</t>
  </si>
  <si>
    <t>74-943-4552</t>
  </si>
  <si>
    <t>84 Washington Crossing</t>
  </si>
  <si>
    <t>13-980-8804</t>
  </si>
  <si>
    <t>Sweet Potato</t>
  </si>
  <si>
    <t>20-608-1290</t>
  </si>
  <si>
    <t>41 Nelson Center</t>
  </si>
  <si>
    <t>19-672-8982</t>
  </si>
  <si>
    <t>50-214-3802</t>
  </si>
  <si>
    <t>285 East Plaza</t>
  </si>
  <si>
    <t>35-299-0889</t>
  </si>
  <si>
    <t>Coconut Oil</t>
  </si>
  <si>
    <t>16-776-9987</t>
  </si>
  <si>
    <t>95 Packers Lane</t>
  </si>
  <si>
    <t>17-022-9721</t>
  </si>
  <si>
    <t>59-629-0798</t>
  </si>
  <si>
    <t>39 Dahle Alley</t>
  </si>
  <si>
    <t>22-849-2551</t>
  </si>
  <si>
    <t>14-231-9135</t>
  </si>
  <si>
    <t>81533 John Wall Court</t>
  </si>
  <si>
    <t>53-050-8242</t>
  </si>
  <si>
    <t>31-163-5871</t>
  </si>
  <si>
    <t>9 Cordelia Trail</t>
  </si>
  <si>
    <t>88-183-5781</t>
  </si>
  <si>
    <t>Whole Wheat Bread</t>
  </si>
  <si>
    <t>49-247-1217</t>
  </si>
  <si>
    <t>46 Delaware Place</t>
  </si>
  <si>
    <t>09-101-1740</t>
  </si>
  <si>
    <t>63-836-1262</t>
  </si>
  <si>
    <t>96629 Nova Plaza</t>
  </si>
  <si>
    <t>98-445-7372</t>
  </si>
  <si>
    <t>71-676-6562</t>
  </si>
  <si>
    <t>8531 Manley Court</t>
  </si>
  <si>
    <t>29-875-6900</t>
  </si>
  <si>
    <t>78-098-4468</t>
  </si>
  <si>
    <t>2 Sachtjen Park</t>
  </si>
  <si>
    <t>27-757-4489</t>
  </si>
  <si>
    <t>04-456-0715</t>
  </si>
  <si>
    <t>27535 Morrow Avenue</t>
  </si>
  <si>
    <t>51-069-0489</t>
  </si>
  <si>
    <t>19-978-0708</t>
  </si>
  <si>
    <t>Oloo</t>
  </si>
  <si>
    <t>3 Anthes Place</t>
  </si>
  <si>
    <t>20-325-1965</t>
  </si>
  <si>
    <t>97-155-1262</t>
  </si>
  <si>
    <t>78884 Union Street</t>
  </si>
  <si>
    <t>76-090-4411</t>
  </si>
  <si>
    <t>82-552-6786</t>
  </si>
  <si>
    <t>15 Loomis Avenue</t>
  </si>
  <si>
    <t>01-703-8441</t>
  </si>
  <si>
    <t>91-216-7668</t>
  </si>
  <si>
    <t>4029 Lotheville Pass</t>
  </si>
  <si>
    <t>09-622-7119</t>
  </si>
  <si>
    <t>59-781-3399</t>
  </si>
  <si>
    <t>Youtags</t>
  </si>
  <si>
    <t>665 Sommers Circle</t>
  </si>
  <si>
    <t>45-172-7012</t>
  </si>
  <si>
    <t>95-721-9228</t>
  </si>
  <si>
    <t>11 Kedzie Avenue</t>
  </si>
  <si>
    <t>06-849-4869</t>
  </si>
  <si>
    <t>39-464-7300</t>
  </si>
  <si>
    <t>Rhycero</t>
  </si>
  <si>
    <t>041 Paget Alley</t>
  </si>
  <si>
    <t>30-996-2526</t>
  </si>
  <si>
    <t>30-942-0054</t>
  </si>
  <si>
    <t>77 Monterey Avenue</t>
  </si>
  <si>
    <t>71-074-6292</t>
  </si>
  <si>
    <t>42-201-4495</t>
  </si>
  <si>
    <t>Plajo</t>
  </si>
  <si>
    <t>338 Annamark Court</t>
  </si>
  <si>
    <t>98-909-9395</t>
  </si>
  <si>
    <t>74-119-5491</t>
  </si>
  <si>
    <t>43 Heath Street</t>
  </si>
  <si>
    <t>61-796-6540</t>
  </si>
  <si>
    <t>40-002-8400</t>
  </si>
  <si>
    <t>126 Spohn Plaza</t>
  </si>
  <si>
    <t>41-735-9837</t>
  </si>
  <si>
    <t>35-462-7569</t>
  </si>
  <si>
    <t>Devpulse</t>
  </si>
  <si>
    <t>2374 Chive Court</t>
  </si>
  <si>
    <t>60-343-3288</t>
  </si>
  <si>
    <t>22-940-6543</t>
  </si>
  <si>
    <t>6 Hanover Terrace</t>
  </si>
  <si>
    <t>27-783-5470</t>
  </si>
  <si>
    <t>45-997-6429</t>
  </si>
  <si>
    <t>6 Tony Junction</t>
  </si>
  <si>
    <t>60-456-8169</t>
  </si>
  <si>
    <t>54-529-4459</t>
  </si>
  <si>
    <t>Oyoba</t>
  </si>
  <si>
    <t>710 Service Park</t>
  </si>
  <si>
    <t>99-420-3592</t>
  </si>
  <si>
    <t>88-647-5082</t>
  </si>
  <si>
    <t>206 Pine View Junction</t>
  </si>
  <si>
    <t>35-836-6718</t>
  </si>
  <si>
    <t>27-838-4345</t>
  </si>
  <si>
    <t>05 Canary Circle</t>
  </si>
  <si>
    <t>51-273-4240</t>
  </si>
  <si>
    <t>32-506-0556</t>
  </si>
  <si>
    <t>7 Prairieview Place</t>
  </si>
  <si>
    <t>38-924-3007</t>
  </si>
  <si>
    <t>83-936-5065</t>
  </si>
  <si>
    <t>Photolist</t>
  </si>
  <si>
    <t>6 Anthes Court</t>
  </si>
  <si>
    <t>52-123-8039</t>
  </si>
  <si>
    <t>24-087-5935</t>
  </si>
  <si>
    <t>Browsebug</t>
  </si>
  <si>
    <t>7 Schiller Court</t>
  </si>
  <si>
    <t>34-131-8805</t>
  </si>
  <si>
    <t>84-472-8001</t>
  </si>
  <si>
    <t>44249 Sutteridge Crossing</t>
  </si>
  <si>
    <t>28-505-8317</t>
  </si>
  <si>
    <t>61-755-4469</t>
  </si>
  <si>
    <t>Digitube</t>
  </si>
  <si>
    <t>848 Old Gate Parkway</t>
  </si>
  <si>
    <t>41-594-5069</t>
  </si>
  <si>
    <t>45-471-5053</t>
  </si>
  <si>
    <t>Blogtags</t>
  </si>
  <si>
    <t>9 Clemons Hill</t>
  </si>
  <si>
    <t>94-658-4945</t>
  </si>
  <si>
    <t>09-153-0763</t>
  </si>
  <si>
    <t>15 Veith Circle</t>
  </si>
  <si>
    <t>69-561-2496</t>
  </si>
  <si>
    <t>38-790-7081</t>
  </si>
  <si>
    <t>154 Delladonna Hill</t>
  </si>
  <si>
    <t>98-858-6323</t>
  </si>
  <si>
    <t>79-086-1717</t>
  </si>
  <si>
    <t>80729 Homewood Plaza</t>
  </si>
  <si>
    <t>92-995-8689</t>
  </si>
  <si>
    <t>18-682-7828</t>
  </si>
  <si>
    <t>1 Merchant Circle</t>
  </si>
  <si>
    <t>43-164-5984</t>
  </si>
  <si>
    <t>10-008-6747</t>
  </si>
  <si>
    <t>Shuffletag</t>
  </si>
  <si>
    <t>70862 Lighthouse Bay Junction</t>
  </si>
  <si>
    <t>58-122-2282</t>
  </si>
  <si>
    <t>55-773-9118</t>
  </si>
  <si>
    <t>96 American Ash Center</t>
  </si>
  <si>
    <t>84-269-9130</t>
  </si>
  <si>
    <t>88-615-2915</t>
  </si>
  <si>
    <t>49263 Graceland Pass</t>
  </si>
  <si>
    <t>11-922-3342</t>
  </si>
  <si>
    <t>33-523-9077</t>
  </si>
  <si>
    <t>Gabspot</t>
  </si>
  <si>
    <t>094 Carberry Lane</t>
  </si>
  <si>
    <t>60-550-4771</t>
  </si>
  <si>
    <t>24-568-9517</t>
  </si>
  <si>
    <t>Kwimbee</t>
  </si>
  <si>
    <t>1 Monica Lane</t>
  </si>
  <si>
    <t>88-951-9038</t>
  </si>
  <si>
    <t>14-713-5795</t>
  </si>
  <si>
    <t>5 Anderson Trail</t>
  </si>
  <si>
    <t>08-114-3922</t>
  </si>
  <si>
    <t>19-418-7213</t>
  </si>
  <si>
    <t>709 Vidon Avenue</t>
  </si>
  <si>
    <t>70-145-2550</t>
  </si>
  <si>
    <t>75-849-4524</t>
  </si>
  <si>
    <t>5141 Anniversary Crossing</t>
  </si>
  <si>
    <t>51-761-6320</t>
  </si>
  <si>
    <t>28-461-1136</t>
  </si>
  <si>
    <t>Youopia</t>
  </si>
  <si>
    <t>587 Vermont Terrace</t>
  </si>
  <si>
    <t>55-803-3964</t>
  </si>
  <si>
    <t>75-906-1086</t>
  </si>
  <si>
    <t>149 Valley Edge Point</t>
  </si>
  <si>
    <t>11-815-7923</t>
  </si>
  <si>
    <t>98-304-8407</t>
  </si>
  <si>
    <t>89 Springs Alley</t>
  </si>
  <si>
    <t>83-966-3280</t>
  </si>
  <si>
    <t>50-305-3936</t>
  </si>
  <si>
    <t>Twitterworks</t>
  </si>
  <si>
    <t>0743 4th Place</t>
  </si>
  <si>
    <t>29-592-7315</t>
  </si>
  <si>
    <t>61-867-3019</t>
  </si>
  <si>
    <t>Dabtype</t>
  </si>
  <si>
    <t>21625 Schlimgen Park</t>
  </si>
  <si>
    <t>65-235-7676</t>
  </si>
  <si>
    <t>22-083-3504</t>
  </si>
  <si>
    <t>31208 Westerfield Way</t>
  </si>
  <si>
    <t>40-683-0283</t>
  </si>
  <si>
    <t>27-060-9944</t>
  </si>
  <si>
    <t>322 Birchwood Center</t>
  </si>
  <si>
    <t>83-553-9523</t>
  </si>
  <si>
    <t>89-976-4338</t>
  </si>
  <si>
    <t>84336 Haas Place</t>
  </si>
  <si>
    <t>40-793-7235</t>
  </si>
  <si>
    <t>89-048-3542</t>
  </si>
  <si>
    <t>68086 Crowley Circle</t>
  </si>
  <si>
    <t>74-666-5671</t>
  </si>
  <si>
    <t>58-657-7257</t>
  </si>
  <si>
    <t>11263 Kipling Hill</t>
  </si>
  <si>
    <t>90-865-9150</t>
  </si>
  <si>
    <t>58-053-4926</t>
  </si>
  <si>
    <t>Kazu</t>
  </si>
  <si>
    <t>00029 Fisk Point</t>
  </si>
  <si>
    <t>46-255-3073</t>
  </si>
  <si>
    <t>68-230-9130</t>
  </si>
  <si>
    <t>57 Eastwood Junction</t>
  </si>
  <si>
    <t>11-155-7826</t>
  </si>
  <si>
    <t>91-788-3177</t>
  </si>
  <si>
    <t>321 Barby Parkway</t>
  </si>
  <si>
    <t>99-543-5039</t>
  </si>
  <si>
    <t>63-683-7396</t>
  </si>
  <si>
    <t>71796 Waubesa Terrace</t>
  </si>
  <si>
    <t>99-033-5661</t>
  </si>
  <si>
    <t>32-458-6452</t>
  </si>
  <si>
    <t>289 Longview Point</t>
  </si>
  <si>
    <t>28-608-0039</t>
  </si>
  <si>
    <t>26-796-0872</t>
  </si>
  <si>
    <t>Avavee</t>
  </si>
  <si>
    <t>31057 Roth Place</t>
  </si>
  <si>
    <t>35-529-2933</t>
  </si>
  <si>
    <t>57-591-6452</t>
  </si>
  <si>
    <t>2 School Drive</t>
  </si>
  <si>
    <t>83-321-7887</t>
  </si>
  <si>
    <t>70-444-9176</t>
  </si>
  <si>
    <t>35598 Fuller Terrace</t>
  </si>
  <si>
    <t>43-910-2342</t>
  </si>
  <si>
    <t>06-569-4690</t>
  </si>
  <si>
    <t>46758 Hallows Center</t>
  </si>
  <si>
    <t>21-633-8696</t>
  </si>
  <si>
    <t>89-468-2696</t>
  </si>
  <si>
    <t>08492 Gateway Terrace</t>
  </si>
  <si>
    <t>76-401-7083</t>
  </si>
  <si>
    <t>29-156-0691</t>
  </si>
  <si>
    <t>31892 Pennsylvania Street</t>
  </si>
  <si>
    <t>92-551-8504</t>
  </si>
  <si>
    <t>22-836-5101</t>
  </si>
  <si>
    <t>461 Bluejay Circle</t>
  </si>
  <si>
    <t>76-264-0748</t>
  </si>
  <si>
    <t>27-557-2375</t>
  </si>
  <si>
    <t>55 Morning Terrace</t>
  </si>
  <si>
    <t>88-586-8797</t>
  </si>
  <si>
    <t>02-530-5932</t>
  </si>
  <si>
    <t>9469 Bayside Plaza</t>
  </si>
  <si>
    <t>21-993-5632</t>
  </si>
  <si>
    <t>26-860-4618</t>
  </si>
  <si>
    <t>Innotype</t>
  </si>
  <si>
    <t>16730 Luster Alley</t>
  </si>
  <si>
    <t>27-681-5588</t>
  </si>
  <si>
    <t>89-959-2254</t>
  </si>
  <si>
    <t>498 Delladonna Drive</t>
  </si>
  <si>
    <t>23-265-8144</t>
  </si>
  <si>
    <t>31-524-1628</t>
  </si>
  <si>
    <t>14042 Dottie Avenue</t>
  </si>
  <si>
    <t>26-134-9069</t>
  </si>
  <si>
    <t>80-068-0825</t>
  </si>
  <si>
    <t>Devcast</t>
  </si>
  <si>
    <t>4929 Westend Point</t>
  </si>
  <si>
    <t>76-623-7844</t>
  </si>
  <si>
    <t>84-498-3849</t>
  </si>
  <si>
    <t>868 Swallow Point</t>
  </si>
  <si>
    <t>88-977-0175</t>
  </si>
  <si>
    <t>58-087-3463</t>
  </si>
  <si>
    <t>7561 5th Terrace</t>
  </si>
  <si>
    <t>12-714-5135</t>
  </si>
  <si>
    <t>97-055-2756</t>
  </si>
  <si>
    <t>2003 Delladonna Pass</t>
  </si>
  <si>
    <t>43-153-8268</t>
  </si>
  <si>
    <t>19-809-5654</t>
  </si>
  <si>
    <t>29815 Bonner Trail</t>
  </si>
  <si>
    <t>95-130-9020</t>
  </si>
  <si>
    <t>75-985-6744</t>
  </si>
  <si>
    <t>Youbridge</t>
  </si>
  <si>
    <t>2 Canary Street</t>
  </si>
  <si>
    <t>82-678-8097</t>
  </si>
  <si>
    <t>65-403-0311</t>
  </si>
  <si>
    <t>6172 Hovde Circle</t>
  </si>
  <si>
    <t>21-693-8216</t>
  </si>
  <si>
    <t>62-599-8388</t>
  </si>
  <si>
    <t>Twinte</t>
  </si>
  <si>
    <t>32468 Utah Pass</t>
  </si>
  <si>
    <t>56-831-6199</t>
  </si>
  <si>
    <t>99-680-2351</t>
  </si>
  <si>
    <t>1247 Hoard Hill</t>
  </si>
  <si>
    <t>81-268-5905</t>
  </si>
  <si>
    <t>36-138-9045</t>
  </si>
  <si>
    <t>Kazio</t>
  </si>
  <si>
    <t>85953 Clyde Gallagher Drive</t>
  </si>
  <si>
    <t>41-237-5498</t>
  </si>
  <si>
    <t>38-643-1626</t>
  </si>
  <si>
    <t>29817 Coleman Drive</t>
  </si>
  <si>
    <t>32-987-5559</t>
  </si>
  <si>
    <t>01-665-0053</t>
  </si>
  <si>
    <t>7 Hallows Alley</t>
  </si>
  <si>
    <t>71-436-5841</t>
  </si>
  <si>
    <t>87-546-9674</t>
  </si>
  <si>
    <t>52 Victoria Plaza</t>
  </si>
  <si>
    <t>63-890-1246</t>
  </si>
  <si>
    <t>29-273-1595</t>
  </si>
  <si>
    <t>3 Melrose Trail</t>
  </si>
  <si>
    <t>65-368-2479</t>
  </si>
  <si>
    <t>99-570-8162</t>
  </si>
  <si>
    <t>Browsedrive</t>
  </si>
  <si>
    <t>231 Merry Pass</t>
  </si>
  <si>
    <t>74-562-7431</t>
  </si>
  <si>
    <t>66-174-9633</t>
  </si>
  <si>
    <t>Linkbridge</t>
  </si>
  <si>
    <t>79 Ronald Regan Avenue</t>
  </si>
  <si>
    <t>51-583-6029</t>
  </si>
  <si>
    <t>78-024-3286</t>
  </si>
  <si>
    <t>83894 Delaware Plaza</t>
  </si>
  <si>
    <t>06-996-3221</t>
  </si>
  <si>
    <t>97-821-7402</t>
  </si>
  <si>
    <t>579 Schlimgen Alley</t>
  </si>
  <si>
    <t>96-334-2593</t>
  </si>
  <si>
    <t>64-831-3071</t>
  </si>
  <si>
    <t>9559 Muir Trail</t>
  </si>
  <si>
    <t>58-219-0241</t>
  </si>
  <si>
    <t>42-523-1857</t>
  </si>
  <si>
    <t>938 Garrison Court</t>
  </si>
  <si>
    <t>87-272-6544</t>
  </si>
  <si>
    <t>93-699-8001</t>
  </si>
  <si>
    <t>4 Nelson Alley</t>
  </si>
  <si>
    <t>95-357-2870</t>
  </si>
  <si>
    <t>75-365-7696</t>
  </si>
  <si>
    <t>87 Corben Street</t>
  </si>
  <si>
    <t>88-401-3700</t>
  </si>
  <si>
    <t>39-299-6093</t>
  </si>
  <si>
    <t>39014 Randy Court</t>
  </si>
  <si>
    <t>72-404-5581</t>
  </si>
  <si>
    <t>18-065-8014</t>
  </si>
  <si>
    <t>879 Amoth Terrace</t>
  </si>
  <si>
    <t>11-766-8738</t>
  </si>
  <si>
    <t>96-393-1428</t>
  </si>
  <si>
    <t>20 Nelson Way</t>
  </si>
  <si>
    <t>15-796-3130</t>
  </si>
  <si>
    <t>45-912-2948</t>
  </si>
  <si>
    <t>85 Lunder Court</t>
  </si>
  <si>
    <t>73-751-4393</t>
  </si>
  <si>
    <t>14-486-5626</t>
  </si>
  <si>
    <t>03 Roth Court</t>
  </si>
  <si>
    <t>62-100-2245</t>
  </si>
  <si>
    <t>18-110-8314</t>
  </si>
  <si>
    <t>56830 Fremont Road</t>
  </si>
  <si>
    <t>08-961-3009</t>
  </si>
  <si>
    <t>41-825-5869</t>
  </si>
  <si>
    <t>01 Gateway Plaza</t>
  </si>
  <si>
    <t>33-440-2588</t>
  </si>
  <si>
    <t>68-596-5506</t>
  </si>
  <si>
    <t>Tagpad</t>
  </si>
  <si>
    <t>4 6th Plaza</t>
  </si>
  <si>
    <t>24-009-1208</t>
  </si>
  <si>
    <t>96-405-4286</t>
  </si>
  <si>
    <t>Aivee</t>
  </si>
  <si>
    <t>99 Duke Lane</t>
  </si>
  <si>
    <t>71-300-2191</t>
  </si>
  <si>
    <t>98-677-4279</t>
  </si>
  <si>
    <t>7 Heffernan Drive</t>
  </si>
  <si>
    <t>74-430-8245</t>
  </si>
  <si>
    <t>51-213-5660</t>
  </si>
  <si>
    <t>7 Roxbury Circle</t>
  </si>
  <si>
    <t>68-636-4774</t>
  </si>
  <si>
    <t>40-436-0171</t>
  </si>
  <si>
    <t>7744 Oxford Pass</t>
  </si>
  <si>
    <t>38-655-2312</t>
  </si>
  <si>
    <t>91-127-7174</t>
  </si>
  <si>
    <t>17 Reinke Circle</t>
  </si>
  <si>
    <t>16-632-1308</t>
  </si>
  <si>
    <t>45-903-0036</t>
  </si>
  <si>
    <t>60094 Goodland Junction</t>
  </si>
  <si>
    <t>37-606-0510</t>
  </si>
  <si>
    <t>09-489-6314</t>
  </si>
  <si>
    <t>Jabbercube</t>
  </si>
  <si>
    <t>53 Homewood Alley</t>
  </si>
  <si>
    <t>36-296-9609</t>
  </si>
  <si>
    <t>46-041-1131</t>
  </si>
  <si>
    <t>7 Rutledge Pass</t>
  </si>
  <si>
    <t>22-329-7791</t>
  </si>
  <si>
    <t>72-013-2438</t>
  </si>
  <si>
    <t>50687 Porter Park</t>
  </si>
  <si>
    <t>56-894-3733</t>
  </si>
  <si>
    <t>57-133-8386</t>
  </si>
  <si>
    <t>897 Independence Circle</t>
  </si>
  <si>
    <t>06-858-5680</t>
  </si>
  <si>
    <t>63-231-2829</t>
  </si>
  <si>
    <t>49476 Tony Hill</t>
  </si>
  <si>
    <t>71-954-4501</t>
  </si>
  <si>
    <t>26-135-6134</t>
  </si>
  <si>
    <t>290 Rusk Avenue</t>
  </si>
  <si>
    <t>12-046-2988</t>
  </si>
  <si>
    <t>37-630-2250</t>
  </si>
  <si>
    <t>931 Browning Center</t>
  </si>
  <si>
    <t>95-356-1566</t>
  </si>
  <si>
    <t>57-204-2098</t>
  </si>
  <si>
    <t>622 Buena Vista Trail</t>
  </si>
  <si>
    <t>34-291-4939</t>
  </si>
  <si>
    <t>39-284-1614</t>
  </si>
  <si>
    <t>983 Sommers Circle</t>
  </si>
  <si>
    <t>35-621-2546</t>
  </si>
  <si>
    <t>14-190-2260</t>
  </si>
  <si>
    <t>Skiptube</t>
  </si>
  <si>
    <t>3 Fairfield Center</t>
  </si>
  <si>
    <t>21-013-3508</t>
  </si>
  <si>
    <t>64-489-8494</t>
  </si>
  <si>
    <t>84305 Fair Oaks Plaza</t>
  </si>
  <si>
    <t>38-049-9319</t>
  </si>
  <si>
    <t>90-447-5123</t>
  </si>
  <si>
    <t>6 Lillian Junction</t>
  </si>
  <si>
    <t>94-697-2396</t>
  </si>
  <si>
    <t>34-161-7429</t>
  </si>
  <si>
    <t>Zoomlounge</t>
  </si>
  <si>
    <t>44 Thompson Terrace</t>
  </si>
  <si>
    <t>33-807-7247</t>
  </si>
  <si>
    <t>94-453-3755</t>
  </si>
  <si>
    <t>63464 Jana Court</t>
  </si>
  <si>
    <t>62-816-8794</t>
  </si>
  <si>
    <t>56-110-5754</t>
  </si>
  <si>
    <t>04 Blaine Lane</t>
  </si>
  <si>
    <t>33-507-9886</t>
  </si>
  <si>
    <t>11-445-3951</t>
  </si>
  <si>
    <t>0584 Lindbergh Alley</t>
  </si>
  <si>
    <t>40-003-7322</t>
  </si>
  <si>
    <t>41-644-3129</t>
  </si>
  <si>
    <t>Wordtune</t>
  </si>
  <si>
    <t>2693 6th Court</t>
  </si>
  <si>
    <t>95-090-2788</t>
  </si>
  <si>
    <t>95-715-6047</t>
  </si>
  <si>
    <t>0313 Rockefeller Street</t>
  </si>
  <si>
    <t>06-503-5891</t>
  </si>
  <si>
    <t>19-098-2529</t>
  </si>
  <si>
    <t>49646 Derek Lane</t>
  </si>
  <si>
    <t>38-555-9147</t>
  </si>
  <si>
    <t>35-370-7603</t>
  </si>
  <si>
    <t>Aimbu</t>
  </si>
  <si>
    <t>0 Oneill Hill</t>
  </si>
  <si>
    <t>64-854-8664</t>
  </si>
  <si>
    <t>19-893-7698</t>
  </si>
  <si>
    <t>Pixoboo</t>
  </si>
  <si>
    <t>76 Independence Drive</t>
  </si>
  <si>
    <t>50-942-2409</t>
  </si>
  <si>
    <t>69-472-4067</t>
  </si>
  <si>
    <t>7182 Summit Court</t>
  </si>
  <si>
    <t>17-493-4579</t>
  </si>
  <si>
    <t>67-541-7091</t>
  </si>
  <si>
    <t>Trudoo</t>
  </si>
  <si>
    <t>4627 Amoth Circle</t>
  </si>
  <si>
    <t>10-854-5467</t>
  </si>
  <si>
    <t>40-443-3362</t>
  </si>
  <si>
    <t>3 Oakridge Parkway</t>
  </si>
  <si>
    <t>11-604-6002</t>
  </si>
  <si>
    <t>50-862-4552</t>
  </si>
  <si>
    <t>Kimia</t>
  </si>
  <si>
    <t>17640 Cottonwood Place</t>
  </si>
  <si>
    <t>44-305-1866</t>
  </si>
  <si>
    <t>25-190-3172</t>
  </si>
  <si>
    <t>51205 Rieder Junction</t>
  </si>
  <si>
    <t>49-730-0159</t>
  </si>
  <si>
    <t>62-766-8232</t>
  </si>
  <si>
    <t>Riffpedia</t>
  </si>
  <si>
    <t>09189 2nd Drive</t>
  </si>
  <si>
    <t>70-534-7796</t>
  </si>
  <si>
    <t>62-044-8874</t>
  </si>
  <si>
    <t>76106 Anthes Junction</t>
  </si>
  <si>
    <t>95-738-4658</t>
  </si>
  <si>
    <t>67-404-3362</t>
  </si>
  <si>
    <t>35 Golf Course Alley</t>
  </si>
  <si>
    <t>20-405-4865</t>
  </si>
  <si>
    <t>16-019-7101</t>
  </si>
  <si>
    <t>Centimia</t>
  </si>
  <si>
    <t>36483 Burning Wood Pass</t>
  </si>
  <si>
    <t>79-428-8753</t>
  </si>
  <si>
    <t>29-521-7910</t>
  </si>
  <si>
    <t>9 Holmberg Circle</t>
  </si>
  <si>
    <t>10-626-8536</t>
  </si>
  <si>
    <t>23-274-3305</t>
  </si>
  <si>
    <t>38583 2nd Pass</t>
  </si>
  <si>
    <t>27-216-9671</t>
  </si>
  <si>
    <t>40-773-7065</t>
  </si>
  <si>
    <t>4 Browning Terrace</t>
  </si>
  <si>
    <t>14-489-8669</t>
  </si>
  <si>
    <t>28-436-5158</t>
  </si>
  <si>
    <t>21629 Burrows Pass</t>
  </si>
  <si>
    <t>46-632-8420</t>
  </si>
  <si>
    <t>27-996-8883</t>
  </si>
  <si>
    <t>9 Meadow Ridge Center</t>
  </si>
  <si>
    <t>39-192-3521</t>
  </si>
  <si>
    <t>74-062-7176</t>
  </si>
  <si>
    <t>Dynazzy</t>
  </si>
  <si>
    <t>428 Oriole Avenue</t>
  </si>
  <si>
    <t>94-528-8088</t>
  </si>
  <si>
    <t>68-885-5553</t>
  </si>
  <si>
    <t>21379 Stoughton Junction</t>
  </si>
  <si>
    <t>74-305-1263</t>
  </si>
  <si>
    <t>83-076-5024</t>
  </si>
  <si>
    <t>744 Lakewood Gardens Crossing</t>
  </si>
  <si>
    <t>53-151-5726</t>
  </si>
  <si>
    <t>93-180-4005</t>
  </si>
  <si>
    <t>84239 Meadow Vale Trail</t>
  </si>
  <si>
    <t>02-085-7218</t>
  </si>
  <si>
    <t>41-978-3326</t>
  </si>
  <si>
    <t>Oyonder</t>
  </si>
  <si>
    <t>2835 Schlimgen Parkway</t>
  </si>
  <si>
    <t>77-777-4536</t>
  </si>
  <si>
    <t>64-396-5538</t>
  </si>
  <si>
    <t>4784 Farmco Alley</t>
  </si>
  <si>
    <t>86-482-6451</t>
  </si>
  <si>
    <t>56-965-0404</t>
  </si>
  <si>
    <t>5501 Fuller Way</t>
  </si>
  <si>
    <t>36-127-4273</t>
  </si>
  <si>
    <t>05-719-6858</t>
  </si>
  <si>
    <t>10342 Division Place</t>
  </si>
  <si>
    <t>03-061-1344</t>
  </si>
  <si>
    <t>85-211-5357</t>
  </si>
  <si>
    <t>96420 Briar Crest Lane</t>
  </si>
  <si>
    <t>97-300-7511</t>
  </si>
  <si>
    <t>47-687-2255</t>
  </si>
  <si>
    <t>45190 Fordem Court</t>
  </si>
  <si>
    <t>83-108-1174</t>
  </si>
  <si>
    <t>56-439-3559</t>
  </si>
  <si>
    <t>3 Monument Street</t>
  </si>
  <si>
    <t>38-664-2155</t>
  </si>
  <si>
    <t>10-540-5841</t>
  </si>
  <si>
    <t>843 Pepper Wood Hill</t>
  </si>
  <si>
    <t>80-459-5950</t>
  </si>
  <si>
    <t>04-866-2231</t>
  </si>
  <si>
    <t>Rhyzio</t>
  </si>
  <si>
    <t>5 Killdeer Trail</t>
  </si>
  <si>
    <t>93-015-0811</t>
  </si>
  <si>
    <t>07-055-5188</t>
  </si>
  <si>
    <t>1 Pleasure Hill</t>
  </si>
  <si>
    <t>02-888-9412</t>
  </si>
  <si>
    <t>22-307-4653</t>
  </si>
  <si>
    <t>880 Calypso Road</t>
  </si>
  <si>
    <t>10-218-2680</t>
  </si>
  <si>
    <t>72-024-1595</t>
  </si>
  <si>
    <t>6810 Aberg Junction</t>
  </si>
  <si>
    <t>30-964-2694</t>
  </si>
  <si>
    <t>42-976-2737</t>
  </si>
  <si>
    <t>Edgeclub</t>
  </si>
  <si>
    <t>39 Dovetail Terrace</t>
  </si>
  <si>
    <t>15-144-9413</t>
  </si>
  <si>
    <t>08-912-0895</t>
  </si>
  <si>
    <t>3 Buhler Place</t>
  </si>
  <si>
    <t>17-253-5688</t>
  </si>
  <si>
    <t>42-638-2086</t>
  </si>
  <si>
    <t>7 Hooker Way</t>
  </si>
  <si>
    <t>31-608-1445</t>
  </si>
  <si>
    <t>75-286-4153</t>
  </si>
  <si>
    <t>227 Tennyson Plaza</t>
  </si>
  <si>
    <t>51-934-9117</t>
  </si>
  <si>
    <t>34-389-9922</t>
  </si>
  <si>
    <t>05944 Scott Parkway</t>
  </si>
  <si>
    <t>72-810-9753</t>
  </si>
  <si>
    <t>17-359-2527</t>
  </si>
  <si>
    <t>545 Farwell Lane</t>
  </si>
  <si>
    <t>53-146-9979</t>
  </si>
  <si>
    <t>44-388-2451</t>
  </si>
  <si>
    <t>42 Mandrake Alley</t>
  </si>
  <si>
    <t>46-622-3434</t>
  </si>
  <si>
    <t>85-473-1534</t>
  </si>
  <si>
    <t>Topdrive</t>
  </si>
  <si>
    <t>2 Miller Lane</t>
  </si>
  <si>
    <t>47-843-8207</t>
  </si>
  <si>
    <t>55-838-9088</t>
  </si>
  <si>
    <t>01 Northfield Road</t>
  </si>
  <si>
    <t>29-135-0791</t>
  </si>
  <si>
    <t>05-050-4384</t>
  </si>
  <si>
    <t>97 Utah Lane</t>
  </si>
  <si>
    <t>45-194-4094</t>
  </si>
  <si>
    <t>65-611-4749</t>
  </si>
  <si>
    <t>2 Scofield Street</t>
  </si>
  <si>
    <t>09-712-3630</t>
  </si>
  <si>
    <t>17-807-6972</t>
  </si>
  <si>
    <t>10 Golf Course Hill</t>
  </si>
  <si>
    <t>56-213-0577</t>
  </si>
  <si>
    <t>72-306-8602</t>
  </si>
  <si>
    <t>851 Hollow Ridge Center</t>
  </si>
  <si>
    <t>78-956-4737</t>
  </si>
  <si>
    <t>76-712-0418</t>
  </si>
  <si>
    <t>9 Burrows Junction</t>
  </si>
  <si>
    <t>29-436-6570</t>
  </si>
  <si>
    <t>12-140-7809</t>
  </si>
  <si>
    <t>30590 Bowman Alley</t>
  </si>
  <si>
    <t>04-038-1547</t>
  </si>
  <si>
    <t>61-912-9541</t>
  </si>
  <si>
    <t>76 Shelley Pass</t>
  </si>
  <si>
    <t>76-476-9996</t>
  </si>
  <si>
    <t>88-428-6227</t>
  </si>
  <si>
    <t>0 Larry Terrace</t>
  </si>
  <si>
    <t>43-469-7551</t>
  </si>
  <si>
    <t>64-361-4238</t>
  </si>
  <si>
    <t>760 Butternut Plaza</t>
  </si>
  <si>
    <t>15-169-8058</t>
  </si>
  <si>
    <t>14-009-8505</t>
  </si>
  <si>
    <t>26160 Independence Alley</t>
  </si>
  <si>
    <t>37-567-3218</t>
  </si>
  <si>
    <t>03-257-4437</t>
  </si>
  <si>
    <t>153 Caliangt Plaza</t>
  </si>
  <si>
    <t>92-455-2959</t>
  </si>
  <si>
    <t>13-109-8639</t>
  </si>
  <si>
    <t>0 Ohio Hill</t>
  </si>
  <si>
    <t>75-672-4378</t>
  </si>
  <si>
    <t>20-103-9525</t>
  </si>
  <si>
    <t>Eare</t>
  </si>
  <si>
    <t>4 Esch Point</t>
  </si>
  <si>
    <t>66-806-6051</t>
  </si>
  <si>
    <t>19-875-5642</t>
  </si>
  <si>
    <t>8 Kensington Place</t>
  </si>
  <si>
    <t>65-527-9488</t>
  </si>
  <si>
    <t>23-482-0516</t>
  </si>
  <si>
    <t>23704 Algoma Park</t>
  </si>
  <si>
    <t>36-840-2728</t>
  </si>
  <si>
    <t>26-454-7297</t>
  </si>
  <si>
    <t>Dabfeed</t>
  </si>
  <si>
    <t>08545 Lillian Street</t>
  </si>
  <si>
    <t>07-389-5740</t>
  </si>
  <si>
    <t>72-784-3292</t>
  </si>
  <si>
    <t>59 Veith Center</t>
  </si>
  <si>
    <t>13-144-2169</t>
  </si>
  <si>
    <t>11-742-5033</t>
  </si>
  <si>
    <t>Blogpad</t>
  </si>
  <si>
    <t>52 Namekagon Junction</t>
  </si>
  <si>
    <t>13-798-3397</t>
  </si>
  <si>
    <t>89-992-6472</t>
  </si>
  <si>
    <t>Twimm</t>
  </si>
  <si>
    <t>93321 Kennedy Point</t>
  </si>
  <si>
    <t>85-806-0613</t>
  </si>
  <si>
    <t>06-286-2758</t>
  </si>
  <si>
    <t>9269 Main Trail</t>
  </si>
  <si>
    <t>67-248-6306</t>
  </si>
  <si>
    <t>86-173-6891</t>
  </si>
  <si>
    <t>Avamm</t>
  </si>
  <si>
    <t>05 Bartelt Street</t>
  </si>
  <si>
    <t>47-866-6589</t>
  </si>
  <si>
    <t>78-203-1075</t>
  </si>
  <si>
    <t>30880 Barnett Junction</t>
  </si>
  <si>
    <t>91-127-7489</t>
  </si>
  <si>
    <t>86-079-1525</t>
  </si>
  <si>
    <t>43211 Anzinger Drive</t>
  </si>
  <si>
    <t>90-343-9640</t>
  </si>
  <si>
    <t>54-919-9424</t>
  </si>
  <si>
    <t>3622 Anhalt Lane</t>
  </si>
  <si>
    <t>01-018-6418</t>
  </si>
  <si>
    <t>78-888-6073</t>
  </si>
  <si>
    <t>481 Mifflin Hill</t>
  </si>
  <si>
    <t>80-375-9075</t>
  </si>
  <si>
    <t>86-487-3354</t>
  </si>
  <si>
    <t>3831 Goodland Road</t>
  </si>
  <si>
    <t>80-227-6886</t>
  </si>
  <si>
    <t>91-632-7343</t>
  </si>
  <si>
    <t>4374 Corry Terrace</t>
  </si>
  <si>
    <t>15-562-3712</t>
  </si>
  <si>
    <t>53-243-7800</t>
  </si>
  <si>
    <t>1 Hudson Hill</t>
  </si>
  <si>
    <t>10-137-9759</t>
  </si>
  <si>
    <t>23-688-6256</t>
  </si>
  <si>
    <t>Trupe</t>
  </si>
  <si>
    <t>402 Kings Road</t>
  </si>
  <si>
    <t>69-171-1305</t>
  </si>
  <si>
    <t>33-733-7313</t>
  </si>
  <si>
    <t>9951 Petterle Alley</t>
  </si>
  <si>
    <t>83-117-7658</t>
  </si>
  <si>
    <t>61-424-7670</t>
  </si>
  <si>
    <t>Yabox</t>
  </si>
  <si>
    <t>0282 Emmet Hill</t>
  </si>
  <si>
    <t>74-642-2435</t>
  </si>
  <si>
    <t>52-012-3409</t>
  </si>
  <si>
    <t>6292 Chive Street</t>
  </si>
  <si>
    <t>10-445-0741</t>
  </si>
  <si>
    <t>82-470-7146</t>
  </si>
  <si>
    <t>31 Loomis Park</t>
  </si>
  <si>
    <t>80-658-6456</t>
  </si>
  <si>
    <t>42-080-6579</t>
  </si>
  <si>
    <t>44051 Old Shore Junction</t>
  </si>
  <si>
    <t>81-354-4203</t>
  </si>
  <si>
    <t>15-466-5131</t>
  </si>
  <si>
    <t>12 Luster Terrace</t>
  </si>
  <si>
    <t>08-573-9997</t>
  </si>
  <si>
    <t>95-734-4024</t>
  </si>
  <si>
    <t>03 Little Fleur Pass</t>
  </si>
  <si>
    <t>74-610-2295</t>
  </si>
  <si>
    <t>22-959-6357</t>
  </si>
  <si>
    <t>Lajo</t>
  </si>
  <si>
    <t>87 Bluestem Parkway</t>
  </si>
  <si>
    <t>76-070-1411</t>
  </si>
  <si>
    <t>63-528-0643</t>
  </si>
  <si>
    <t>87578 Stoughton Parkway</t>
  </si>
  <si>
    <t>61-582-7399</t>
  </si>
  <si>
    <t>15-062-6342</t>
  </si>
  <si>
    <t>Topiczoom</t>
  </si>
  <si>
    <t>8 Hanover Center</t>
  </si>
  <si>
    <t>42-674-3917</t>
  </si>
  <si>
    <t>26-080-4944</t>
  </si>
  <si>
    <t>78 Forest Dale Road</t>
  </si>
  <si>
    <t>05-899-1428</t>
  </si>
  <si>
    <t>17-494-5505</t>
  </si>
  <si>
    <t>591 Maple Junction</t>
  </si>
  <si>
    <t>74-548-9313</t>
  </si>
  <si>
    <t>69-832-7009</t>
  </si>
  <si>
    <t>1 Judy Street</t>
  </si>
  <si>
    <t>20-448-2972</t>
  </si>
  <si>
    <t>26-920-6626</t>
  </si>
  <si>
    <t>Buzzbean</t>
  </si>
  <si>
    <t>49770 Hoffman Court</t>
  </si>
  <si>
    <t>63-162-9244</t>
  </si>
  <si>
    <t>58-945-2944</t>
  </si>
  <si>
    <t>04 Rockefeller Terrace</t>
  </si>
  <si>
    <t>91-417-0366</t>
  </si>
  <si>
    <t>28-442-2578</t>
  </si>
  <si>
    <t>1 Elmside Parkway</t>
  </si>
  <si>
    <t>60-311-5701</t>
  </si>
  <si>
    <t>07-578-7055</t>
  </si>
  <si>
    <t>9 Meadow Vale Drive</t>
  </si>
  <si>
    <t>36-899-5324</t>
  </si>
  <si>
    <t>02-656-3112</t>
  </si>
  <si>
    <t>Flashdog</t>
  </si>
  <si>
    <t>3 Bashford Court</t>
  </si>
  <si>
    <t>22-266-9291</t>
  </si>
  <si>
    <t>15-550-0171</t>
  </si>
  <si>
    <t>111 David Hill</t>
  </si>
  <si>
    <t>76-584-4790</t>
  </si>
  <si>
    <t>58-213-1146</t>
  </si>
  <si>
    <t>1170 Shasta Circle</t>
  </si>
  <si>
    <t>82-948-2298</t>
  </si>
  <si>
    <t>53-749-6148</t>
  </si>
  <si>
    <t>555 Butternut Hill</t>
  </si>
  <si>
    <t>97-283-4840</t>
  </si>
  <si>
    <t>64-604-1679</t>
  </si>
  <si>
    <t>7232 Ridgeway Center</t>
  </si>
  <si>
    <t>17-395-1121</t>
  </si>
  <si>
    <t>67-252-3923</t>
  </si>
  <si>
    <t>8 Oriole Terrace</t>
  </si>
  <si>
    <t>74-132-5528</t>
  </si>
  <si>
    <t>41-713-1053</t>
  </si>
  <si>
    <t>611 Fieldstone Drive</t>
  </si>
  <si>
    <t>52-029-2382</t>
  </si>
  <si>
    <t>16-474-4516</t>
  </si>
  <si>
    <t>Brightdog</t>
  </si>
  <si>
    <t>08896 Evergreen Avenue</t>
  </si>
  <si>
    <t>11-053-0107</t>
  </si>
  <si>
    <t>Cherry</t>
  </si>
  <si>
    <t>07-410-2867</t>
  </si>
  <si>
    <t>734 Thackeray Avenue</t>
  </si>
  <si>
    <t>99-194-5600</t>
  </si>
  <si>
    <t>70-064-6828</t>
  </si>
  <si>
    <t>973 Spaight Place</t>
  </si>
  <si>
    <t>48-289-0604</t>
  </si>
  <si>
    <t>94-261-1193</t>
  </si>
  <si>
    <t>5 Colorado Park</t>
  </si>
  <si>
    <t>73-010-8323</t>
  </si>
  <si>
    <t>80-622-6587</t>
  </si>
  <si>
    <t>Tagcat</t>
  </si>
  <si>
    <t>811 Dapin Center</t>
  </si>
  <si>
    <t>06-068-6793</t>
  </si>
  <si>
    <t>94-958-6101</t>
  </si>
  <si>
    <t>25 Nancy Place</t>
  </si>
  <si>
    <t>56-054-8664</t>
  </si>
  <si>
    <t>53-247-1844</t>
  </si>
  <si>
    <t>01 Straubel Hill</t>
  </si>
  <si>
    <t>36-330-5036</t>
  </si>
  <si>
    <t>52-359-1255</t>
  </si>
  <si>
    <t>Mycat</t>
  </si>
  <si>
    <t>21 Golden Leaf Hill</t>
  </si>
  <si>
    <t>65-674-6076</t>
  </si>
  <si>
    <t>16-933-3355</t>
  </si>
  <si>
    <t>9738 Old Shore Trail</t>
  </si>
  <si>
    <t>87-013-6488</t>
  </si>
  <si>
    <t>77-471-0792</t>
  </si>
  <si>
    <t>Tekfly</t>
  </si>
  <si>
    <t>07855 Goodland Lane</t>
  </si>
  <si>
    <t>95-449-1286</t>
  </si>
  <si>
    <t>Egg (Chicken)</t>
  </si>
  <si>
    <t>18-260-7354</t>
  </si>
  <si>
    <t>Realfire</t>
  </si>
  <si>
    <t>1 Jackson Pass</t>
  </si>
  <si>
    <t>95-640-0293</t>
  </si>
  <si>
    <t>43-575-2151</t>
  </si>
  <si>
    <t>31 Sullivan Hill</t>
  </si>
  <si>
    <t>08-495-6853</t>
  </si>
  <si>
    <t>07-432-0137</t>
  </si>
  <si>
    <t>7943 Amoth Parkway</t>
  </si>
  <si>
    <t>42-495-7698</t>
  </si>
  <si>
    <t>93-625-4768</t>
  </si>
  <si>
    <t>91 Gateway Pass</t>
  </si>
  <si>
    <t>83-727-0814</t>
  </si>
  <si>
    <t>79-656-1990</t>
  </si>
  <si>
    <t>28 Boyd Pass</t>
  </si>
  <si>
    <t>01-050-2246</t>
  </si>
  <si>
    <t>80-462-5807</t>
  </si>
  <si>
    <t>38 Esch Pass</t>
  </si>
  <si>
    <t>07-858-5487</t>
  </si>
  <si>
    <t>92-991-6167</t>
  </si>
  <si>
    <t>6 Susan Alley</t>
  </si>
  <si>
    <t>20-283-0111</t>
  </si>
  <si>
    <t>60-394-8955</t>
  </si>
  <si>
    <t>Cogidoo</t>
  </si>
  <si>
    <t>0 Ruskin Way</t>
  </si>
  <si>
    <t>87-391-9658</t>
  </si>
  <si>
    <t>51-054-1226</t>
  </si>
  <si>
    <t>92486 Laurel Alley</t>
  </si>
  <si>
    <t>44-782-1395</t>
  </si>
  <si>
    <t>54-132-9762</t>
  </si>
  <si>
    <t>365 Vera Terrace</t>
  </si>
  <si>
    <t>12-828-1063</t>
  </si>
  <si>
    <t>48-707-5857</t>
  </si>
  <si>
    <t>018 Oxford Crossing</t>
  </si>
  <si>
    <t>72-989-2512</t>
  </si>
  <si>
    <t>03-117-6217</t>
  </si>
  <si>
    <t>Yakijo</t>
  </si>
  <si>
    <t>61 Waubesa Court</t>
  </si>
  <si>
    <t>53-667-4109</t>
  </si>
  <si>
    <t>40-800-4739</t>
  </si>
  <si>
    <t>992 East Point</t>
  </si>
  <si>
    <t>93-772-3085</t>
  </si>
  <si>
    <t>61-807-0746</t>
  </si>
  <si>
    <t>Edgetag</t>
  </si>
  <si>
    <t>07359 Porter Park</t>
  </si>
  <si>
    <t>92-652-3737</t>
  </si>
  <si>
    <t>42-361-6981</t>
  </si>
  <si>
    <t>Quimm</t>
  </si>
  <si>
    <t>66330 Northridge Street</t>
  </si>
  <si>
    <t>74-404-0582</t>
  </si>
  <si>
    <t>31-628-6696</t>
  </si>
  <si>
    <t>07 Maple Wood Drive</t>
  </si>
  <si>
    <t>19-244-9890</t>
  </si>
  <si>
    <t>98-107-0604</t>
  </si>
  <si>
    <t>Wikido</t>
  </si>
  <si>
    <t>620 Mockingbird Pass</t>
  </si>
  <si>
    <t>01-839-6534</t>
  </si>
  <si>
    <t>51-519-4588</t>
  </si>
  <si>
    <t>8 Hazelcrest Street</t>
  </si>
  <si>
    <t>58-229-1358</t>
  </si>
  <si>
    <t>66-883-2383</t>
  </si>
  <si>
    <t>1 Lillian Plaza</t>
  </si>
  <si>
    <t>80-025-6757</t>
  </si>
  <si>
    <t>49-608-3851</t>
  </si>
  <si>
    <t>Thoughtmix</t>
  </si>
  <si>
    <t>183 Algoma Trail</t>
  </si>
  <si>
    <t>35-031-1497</t>
  </si>
  <si>
    <t>84-835-1656</t>
  </si>
  <si>
    <t>581 Oneill Crossing</t>
  </si>
  <si>
    <t>26-629-5920</t>
  </si>
  <si>
    <t>19-264-7608</t>
  </si>
  <si>
    <t>77563 Russell Lane</t>
  </si>
  <si>
    <t>51-000-8113</t>
  </si>
  <si>
    <t>56-825-0880</t>
  </si>
  <si>
    <t>51369 Dawn Hill</t>
  </si>
  <si>
    <t>93-571-7294</t>
  </si>
  <si>
    <t>77-842-0920</t>
  </si>
  <si>
    <t>76 Fisk Park</t>
  </si>
  <si>
    <t>48-770-6319</t>
  </si>
  <si>
    <t>64-452-2395</t>
  </si>
  <si>
    <t>34 Fremont Point</t>
  </si>
  <si>
    <t>74-818-3306</t>
  </si>
  <si>
    <t>75-536-2986</t>
  </si>
  <si>
    <t>Eabox</t>
  </si>
  <si>
    <t>62 Thackeray Center</t>
  </si>
  <si>
    <t>15-082-9124</t>
  </si>
  <si>
    <t>02-997-1489</t>
  </si>
  <si>
    <t>LiveZ</t>
  </si>
  <si>
    <t>38 Dawn Street</t>
  </si>
  <si>
    <t>66-854-5736</t>
  </si>
  <si>
    <t>98-591-1051</t>
  </si>
  <si>
    <t>50880 Nobel Road</t>
  </si>
  <si>
    <t>90-128-7973</t>
  </si>
  <si>
    <t>91-417-6283</t>
  </si>
  <si>
    <t>46989 Crescent Oaks Junction</t>
  </si>
  <si>
    <t>60-198-7050</t>
  </si>
  <si>
    <t>27-493-6787</t>
  </si>
  <si>
    <t>5306 Arkansas Avenue</t>
  </si>
  <si>
    <t>70-206-4860</t>
  </si>
  <si>
    <t>82-527-9395</t>
  </si>
  <si>
    <t>Meejo</t>
  </si>
  <si>
    <t>75 High Crossing Junction</t>
  </si>
  <si>
    <t>25-353-2067</t>
  </si>
  <si>
    <t>01-210-3485</t>
  </si>
  <si>
    <t>59449 Sherman Parkway</t>
  </si>
  <si>
    <t>93-218-8108</t>
  </si>
  <si>
    <t>05-966-6460</t>
  </si>
  <si>
    <t>9848 Little Fleur Point</t>
  </si>
  <si>
    <t>95-262-6208</t>
  </si>
  <si>
    <t>66-227-1125</t>
  </si>
  <si>
    <t>44662 American Plaza</t>
  </si>
  <si>
    <t>02-484-0206</t>
  </si>
  <si>
    <t>62-011-9357</t>
  </si>
  <si>
    <t>60 Main Pass</t>
  </si>
  <si>
    <t>08-226-5155</t>
  </si>
  <si>
    <t>64-584-7898</t>
  </si>
  <si>
    <t>81503 Graedel Plaza</t>
  </si>
  <si>
    <t>47-581-0363</t>
  </si>
  <si>
    <t>08-359-2568</t>
  </si>
  <si>
    <t>8 Dawn Court</t>
  </si>
  <si>
    <t>04-104-6993</t>
  </si>
  <si>
    <t>06-776-1072</t>
  </si>
  <si>
    <t>55095 Northview Drive</t>
  </si>
  <si>
    <t>45-380-4627</t>
  </si>
  <si>
    <t>20-201-5639</t>
  </si>
  <si>
    <t>0 Thackeray Point</t>
  </si>
  <si>
    <t>41-240-8856</t>
  </si>
  <si>
    <t>28-162-7486</t>
  </si>
  <si>
    <t>8 Autumn Leaf Drive</t>
  </si>
  <si>
    <t>81-573-0943</t>
  </si>
  <si>
    <t>07-754-2313</t>
  </si>
  <si>
    <t>20 Marcy Circle</t>
  </si>
  <si>
    <t>67-725-6830</t>
  </si>
  <si>
    <t>05-727-0033</t>
  </si>
  <si>
    <t>9 Victoria Point</t>
  </si>
  <si>
    <t>55-154-4728</t>
  </si>
  <si>
    <t>33-466-7894</t>
  </si>
  <si>
    <t>96 Westridge Junction</t>
  </si>
  <si>
    <t>41-526-4036</t>
  </si>
  <si>
    <t>45-923-7206</t>
  </si>
  <si>
    <t>38726 Gina Pass</t>
  </si>
  <si>
    <t>86-273-9377</t>
  </si>
  <si>
    <t>38-330-5543</t>
  </si>
  <si>
    <t>1 Hollow Ridge Park</t>
  </si>
  <si>
    <t>98-499-2220</t>
  </si>
  <si>
    <t>69-666-2257</t>
  </si>
  <si>
    <t>27 School Court</t>
  </si>
  <si>
    <t>50-930-4751</t>
  </si>
  <si>
    <t>40-260-8547</t>
  </si>
  <si>
    <t>80380 Valley Edge Road</t>
  </si>
  <si>
    <t>88-304-2855</t>
  </si>
  <si>
    <t>59-570-2020</t>
  </si>
  <si>
    <t>0 Delladonna Place</t>
  </si>
  <si>
    <t>69-743-0161</t>
  </si>
  <si>
    <t>29-774-6779</t>
  </si>
  <si>
    <t>583 Loftsgordon Road</t>
  </si>
  <si>
    <t>40-902-1995</t>
  </si>
  <si>
    <t>86-879-7811</t>
  </si>
  <si>
    <t>Zoomzone</t>
  </si>
  <si>
    <t>1519 Delaware Court</t>
  </si>
  <si>
    <t>50-329-3360</t>
  </si>
  <si>
    <t>85-594-2570</t>
  </si>
  <si>
    <t>72 Crownhardt Circle</t>
  </si>
  <si>
    <t>03-441-4252</t>
  </si>
  <si>
    <t>11-430-6041</t>
  </si>
  <si>
    <t>6 Bobwhite Alley</t>
  </si>
  <si>
    <t>97-093-4278</t>
  </si>
  <si>
    <t>38-200-4863</t>
  </si>
  <si>
    <t>Twitterlist</t>
  </si>
  <si>
    <t>467 Dexter Pass</t>
  </si>
  <si>
    <t>01-820-5784</t>
  </si>
  <si>
    <t>80-567-5598</t>
  </si>
  <si>
    <t>6982 Crownhardt Circle</t>
  </si>
  <si>
    <t>31-803-5001</t>
  </si>
  <si>
    <t>14-414-1945</t>
  </si>
  <si>
    <t>Voonder</t>
  </si>
  <si>
    <t>64 1st Plaza</t>
  </si>
  <si>
    <t>61-317-9944</t>
  </si>
  <si>
    <t>03-220-5535</t>
  </si>
  <si>
    <t>21844 Artisan Trail</t>
  </si>
  <si>
    <t>56-303-5256</t>
  </si>
  <si>
    <t>29-821-5359</t>
  </si>
  <si>
    <t>3 Hermina Circle</t>
  </si>
  <si>
    <t>86-672-4191</t>
  </si>
  <si>
    <t>79-219-8469</t>
  </si>
  <si>
    <t>Einti</t>
  </si>
  <si>
    <t>18 Troy Avenue</t>
  </si>
  <si>
    <t>34-547-0827</t>
  </si>
  <si>
    <t>30-853-8580</t>
  </si>
  <si>
    <t>18 Comanche Junction</t>
  </si>
  <si>
    <t>20-387-7746</t>
  </si>
  <si>
    <t>08-218-9429</t>
  </si>
  <si>
    <t>9050 Dorton Pass</t>
  </si>
  <si>
    <t>50-329-3145</t>
  </si>
  <si>
    <t>88-418-3855</t>
  </si>
  <si>
    <t>591 Maple Wood Drive</t>
  </si>
  <si>
    <t>02-559-8196</t>
  </si>
  <si>
    <t>44-495-6660</t>
  </si>
  <si>
    <t>545 Linden Alley</t>
  </si>
  <si>
    <t>69-834-2874</t>
  </si>
  <si>
    <t>51-600-6076</t>
  </si>
  <si>
    <t>39 Oxford Drive</t>
  </si>
  <si>
    <t>27-474-0056</t>
  </si>
  <si>
    <t>56-969-3705</t>
  </si>
  <si>
    <t>538 Bayside Parkway</t>
  </si>
  <si>
    <t>66-378-7532</t>
  </si>
  <si>
    <t>15-365-5585</t>
  </si>
  <si>
    <t>88678 Bayside Park</t>
  </si>
  <si>
    <t>28-185-7303</t>
  </si>
  <si>
    <t>97-143-0641</t>
  </si>
  <si>
    <t>25696 Westerfield Alley</t>
  </si>
  <si>
    <t>19-854-3663</t>
  </si>
  <si>
    <t>72-509-7548</t>
  </si>
  <si>
    <t>4 Dakota Avenue</t>
  </si>
  <si>
    <t>42-175-1648</t>
  </si>
  <si>
    <t>67-272-8844</t>
  </si>
  <si>
    <t>72778 Loftsgordon Center</t>
  </si>
  <si>
    <t>56-657-4387</t>
  </si>
  <si>
    <t>78-629-7560</t>
  </si>
  <si>
    <t>5 Lyons Street</t>
  </si>
  <si>
    <t>05-720-8792</t>
  </si>
  <si>
    <t>33-265-4588</t>
  </si>
  <si>
    <t>2 Northview Avenue</t>
  </si>
  <si>
    <t>84-151-2114</t>
  </si>
  <si>
    <t>79-704-1471</t>
  </si>
  <si>
    <t>12 Rigney Street</t>
  </si>
  <si>
    <t>10-378-9729</t>
  </si>
  <si>
    <t>83-941-9620</t>
  </si>
  <si>
    <t>2 Butterfield Pass</t>
  </si>
  <si>
    <t>53-930-2215</t>
  </si>
  <si>
    <t>42-210-6541</t>
  </si>
  <si>
    <t>Gabvine</t>
  </si>
  <si>
    <t>292 Utah Street</t>
  </si>
  <si>
    <t>02-034-6209</t>
  </si>
  <si>
    <t>34-724-1913</t>
  </si>
  <si>
    <t>Yodel</t>
  </si>
  <si>
    <t>96 Brown Drive</t>
  </si>
  <si>
    <t>28-003-8065</t>
  </si>
  <si>
    <t>42-579-7177</t>
  </si>
  <si>
    <t>Voonte</t>
  </si>
  <si>
    <t>65 Merry Circle</t>
  </si>
  <si>
    <t>19-021-5024</t>
  </si>
  <si>
    <t>75-369-5047</t>
  </si>
  <si>
    <t>4 Heffernan Lane</t>
  </si>
  <si>
    <t>07-846-4804</t>
  </si>
  <si>
    <t>30-605-2164</t>
  </si>
  <si>
    <t>2 Fair Oaks Pass</t>
  </si>
  <si>
    <t>70-542-4269</t>
  </si>
  <si>
    <t>27-772-7906</t>
  </si>
  <si>
    <t>7 Victoria Hill</t>
  </si>
  <si>
    <t>52-797-6961</t>
  </si>
  <si>
    <t>75-793-8978</t>
  </si>
  <si>
    <t>13799 Quincy Park</t>
  </si>
  <si>
    <t>66-327-2821</t>
  </si>
  <si>
    <t>82-525-7224</t>
  </si>
  <si>
    <t>703 Hermina Center</t>
  </si>
  <si>
    <t>12-093-9863</t>
  </si>
  <si>
    <t>21-416-3796</t>
  </si>
  <si>
    <t>Feednation</t>
  </si>
  <si>
    <t>6748 Mitchell Road</t>
  </si>
  <si>
    <t>08-396-2704</t>
  </si>
  <si>
    <t>94-186-9620</t>
  </si>
  <si>
    <t>160 Crowley Center</t>
  </si>
  <si>
    <t>72-970-0239</t>
  </si>
  <si>
    <t>64-752-3122</t>
  </si>
  <si>
    <t>Divanoodle</t>
  </si>
  <si>
    <t>73966 Pond Trail</t>
  </si>
  <si>
    <t>03-940-0630</t>
  </si>
  <si>
    <t>49-762-8263</t>
  </si>
  <si>
    <t>27408 Burning Wood Street</t>
  </si>
  <si>
    <t>67-130-4114</t>
  </si>
  <si>
    <t>53-718-1768</t>
  </si>
  <si>
    <t>9327 Hanover Way</t>
  </si>
  <si>
    <t>32-270-1385</t>
  </si>
  <si>
    <t>81-072-8266</t>
  </si>
  <si>
    <t>Quaxo</t>
  </si>
  <si>
    <t>0500 Calypso Pass</t>
  </si>
  <si>
    <t>85-510-2915</t>
  </si>
  <si>
    <t>55-134-2668</t>
  </si>
  <si>
    <t>8 Merrick Lane</t>
  </si>
  <si>
    <t>00-842-9790</t>
  </si>
  <si>
    <t>37-079-2530</t>
  </si>
  <si>
    <t>53894 Myrtle Place</t>
  </si>
  <si>
    <t>49-377-9731</t>
  </si>
  <si>
    <t>56-823-5908</t>
  </si>
  <si>
    <t>Livefish</t>
  </si>
  <si>
    <t>3 Meadow Valley Court</t>
  </si>
  <si>
    <t>96-682-8546</t>
  </si>
  <si>
    <t>03-882-3517</t>
  </si>
  <si>
    <t>Kaymbo</t>
  </si>
  <si>
    <t>97 Walton Avenue</t>
  </si>
  <si>
    <t>92-837-8839</t>
  </si>
  <si>
    <t>95-484-3134</t>
  </si>
  <si>
    <t>95 Lerdahl Park</t>
  </si>
  <si>
    <t>68-732-5919</t>
  </si>
  <si>
    <t>07-500-2023</t>
  </si>
  <si>
    <t>56 Bonner Point</t>
  </si>
  <si>
    <t>37-064-7275</t>
  </si>
  <si>
    <t>63-522-2633</t>
  </si>
  <si>
    <t>149 Lawn Way</t>
  </si>
  <si>
    <t>43-193-9915</t>
  </si>
  <si>
    <t>23-931-2988</t>
  </si>
  <si>
    <t>Roodel</t>
  </si>
  <si>
    <t>61 Transport Parkway</t>
  </si>
  <si>
    <t>45-992-5653</t>
  </si>
  <si>
    <t>22-050-5775</t>
  </si>
  <si>
    <t>Jaxworks</t>
  </si>
  <si>
    <t>5 Fisk Point</t>
  </si>
  <si>
    <t>45-852-2446</t>
  </si>
  <si>
    <t>37-567-5710</t>
  </si>
  <si>
    <t>Fanoodle</t>
  </si>
  <si>
    <t>56 Petterle Circle</t>
  </si>
  <si>
    <t>57-394-4703</t>
  </si>
  <si>
    <t>52-130-3457</t>
  </si>
  <si>
    <t>Agivu</t>
  </si>
  <si>
    <t>38 Banding Lane</t>
  </si>
  <si>
    <t>07-679-1199</t>
  </si>
  <si>
    <t>75-406-6250</t>
  </si>
  <si>
    <t>1991 Kropf Way</t>
  </si>
  <si>
    <t>47-221-3391</t>
  </si>
  <si>
    <t>21-450-5520</t>
  </si>
  <si>
    <t>0023 Upham Road</t>
  </si>
  <si>
    <t>80-698-0324</t>
  </si>
  <si>
    <t>98-587-7923</t>
  </si>
  <si>
    <t>Bluejam</t>
  </si>
  <si>
    <t>7 Duke Parkway</t>
  </si>
  <si>
    <t>36-383-3677</t>
  </si>
  <si>
    <t>88-020-6814</t>
  </si>
  <si>
    <t>7 Anzinger Lane</t>
  </si>
  <si>
    <t>42-907-6946</t>
  </si>
  <si>
    <t>32-386-9832</t>
  </si>
  <si>
    <t>093 Anhalt Crossing</t>
  </si>
  <si>
    <t>96-209-1739</t>
  </si>
  <si>
    <t>82-930-7733</t>
  </si>
  <si>
    <t>779 Ridgeway Street</t>
  </si>
  <si>
    <t>36-679-4670</t>
  </si>
  <si>
    <t>60-508-7567</t>
  </si>
  <si>
    <t>Fatz</t>
  </si>
  <si>
    <t>5 Warner Court</t>
  </si>
  <si>
    <t>08-637-9335</t>
  </si>
  <si>
    <t>99-178-0951</t>
  </si>
  <si>
    <t>9 Cardinal Alley</t>
  </si>
  <si>
    <t>56-875-3717</t>
  </si>
  <si>
    <t>39-257-6162</t>
  </si>
  <si>
    <t>32 Cottonwood Pass</t>
  </si>
  <si>
    <t>86-978-6666</t>
  </si>
  <si>
    <t>43-979-2253</t>
  </si>
  <si>
    <t>21343 Brentwood Circle</t>
  </si>
  <si>
    <t>41-475-5305</t>
  </si>
  <si>
    <t>93-900-1170</t>
  </si>
  <si>
    <t>Kwideo</t>
  </si>
  <si>
    <t>88 Hooker Parkway</t>
  </si>
  <si>
    <t>25-911-7736</t>
  </si>
  <si>
    <t>40-180-0752</t>
  </si>
  <si>
    <t>72090 Northfield Place</t>
  </si>
  <si>
    <t>28-433-8533</t>
  </si>
  <si>
    <t>81-694-0300</t>
  </si>
  <si>
    <t>Topicware</t>
  </si>
  <si>
    <t>8 Mayer Trail</t>
  </si>
  <si>
    <t>84-624-0201</t>
  </si>
  <si>
    <t>25-769-3792</t>
  </si>
  <si>
    <t>Skaboo</t>
  </si>
  <si>
    <t>9 Eastlawn Crossing</t>
  </si>
  <si>
    <t>45-634-0679</t>
  </si>
  <si>
    <t>29-542-9338</t>
  </si>
  <si>
    <t>Rhybox</t>
  </si>
  <si>
    <t>9 Anhalt Trail</t>
  </si>
  <si>
    <t>93-014-4256</t>
  </si>
  <si>
    <t>37-599-8579</t>
  </si>
  <si>
    <t>6 Bay Road</t>
  </si>
  <si>
    <t>24-989-3302</t>
  </si>
  <si>
    <t>89-159-0852</t>
  </si>
  <si>
    <t>Eazzy</t>
  </si>
  <si>
    <t>736 Redwing Parkway</t>
  </si>
  <si>
    <t>46-415-8633</t>
  </si>
  <si>
    <t>32-497-0478</t>
  </si>
  <si>
    <t>5 Eggendart Parkway</t>
  </si>
  <si>
    <t>73-117-6105</t>
  </si>
  <si>
    <t>74-729-7466</t>
  </si>
  <si>
    <t>955 4th Road</t>
  </si>
  <si>
    <t>53-710-7630</t>
  </si>
  <si>
    <t>46-171-9624</t>
  </si>
  <si>
    <t>996 Thierer Center</t>
  </si>
  <si>
    <t>10-617-7581</t>
  </si>
  <si>
    <t>86-995-7254</t>
  </si>
  <si>
    <t>0 Lawn Parkway</t>
  </si>
  <si>
    <t>66-312-5511</t>
  </si>
  <si>
    <t>99-553-6838</t>
  </si>
  <si>
    <t>959 Dorton Pass</t>
  </si>
  <si>
    <t>87-423-8486</t>
  </si>
  <si>
    <t>12-947-4739</t>
  </si>
  <si>
    <t>5 Homewood Street</t>
  </si>
  <si>
    <t>64-493-5270</t>
  </si>
  <si>
    <t>36-964-9838</t>
  </si>
  <si>
    <t>4571 Fremont Way</t>
  </si>
  <si>
    <t>31-255-9616</t>
  </si>
  <si>
    <t>11-031-9939</t>
  </si>
  <si>
    <t>9440 Coleman Drive</t>
  </si>
  <si>
    <t>26-799-3714</t>
  </si>
  <si>
    <t>50-877-0990</t>
  </si>
  <si>
    <t>Mymm</t>
  </si>
  <si>
    <t>49225 Homewood Place</t>
  </si>
  <si>
    <t>64-119-7804</t>
  </si>
  <si>
    <t>53-497-9614</t>
  </si>
  <si>
    <t>Jaxbean</t>
  </si>
  <si>
    <t>06584 Mendota Avenue</t>
  </si>
  <si>
    <t>74-181-4135</t>
  </si>
  <si>
    <t>00-487-2428</t>
  </si>
  <si>
    <t>79878 Katie Trail</t>
  </si>
  <si>
    <t>34-369-7712</t>
  </si>
  <si>
    <t>95-241-9348</t>
  </si>
  <si>
    <t>0 Lerdahl Parkway</t>
  </si>
  <si>
    <t>31-157-1822</t>
  </si>
  <si>
    <t>53-998-1422</t>
  </si>
  <si>
    <t>803 Cottonwood Crossing</t>
  </si>
  <si>
    <t>27-459-0724</t>
  </si>
  <si>
    <t>45-331-8563</t>
  </si>
  <si>
    <t>4 Duke Way</t>
  </si>
  <si>
    <t>47-441-7682</t>
  </si>
  <si>
    <t>90-998-1236</t>
  </si>
  <si>
    <t>4247 David Crossing</t>
  </si>
  <si>
    <t>32-676-1026</t>
  </si>
  <si>
    <t>98-155-9583</t>
  </si>
  <si>
    <t>9433 Jenna Lane</t>
  </si>
  <si>
    <t>77-959-1018</t>
  </si>
  <si>
    <t>00-912-3545</t>
  </si>
  <si>
    <t>03 Ryan Circle</t>
  </si>
  <si>
    <t>60-911-3745</t>
  </si>
  <si>
    <t>87-570-0273</t>
  </si>
  <si>
    <t>75054 Ramsey Parkway</t>
  </si>
  <si>
    <t>57-101-0060</t>
  </si>
  <si>
    <t>40-070-5881</t>
  </si>
  <si>
    <t>78919 East Crossing</t>
  </si>
  <si>
    <t>54-758-4622</t>
  </si>
  <si>
    <t>94-903-2643</t>
  </si>
  <si>
    <t>865 Eagle Crest Park</t>
  </si>
  <si>
    <t>92-152-5820</t>
  </si>
  <si>
    <t>50-747-2259</t>
  </si>
  <si>
    <t>0920 Monica Pass</t>
  </si>
  <si>
    <t>44-637-5512</t>
  </si>
  <si>
    <t>27-541-2645</t>
  </si>
  <si>
    <t>00064 Mosinee Circle</t>
  </si>
  <si>
    <t>65-854-9364</t>
  </si>
  <si>
    <t>64-800-4141</t>
  </si>
  <si>
    <t>752 Mccormick Way</t>
  </si>
  <si>
    <t>60-747-8704</t>
  </si>
  <si>
    <t>93-793-4398</t>
  </si>
  <si>
    <t>561 Pennsylvania Way</t>
  </si>
  <si>
    <t>85-835-3445</t>
  </si>
  <si>
    <t>13-433-4930</t>
  </si>
  <si>
    <t>288 Fair Oaks Place</t>
  </si>
  <si>
    <t>66-716-8221</t>
  </si>
  <si>
    <t>67-024-9832</t>
  </si>
  <si>
    <t>54 Weeping Birch Lane</t>
  </si>
  <si>
    <t>01-026-2772</t>
  </si>
  <si>
    <t>20-532-0144</t>
  </si>
  <si>
    <t>3 Bunting Point</t>
  </si>
  <si>
    <t>21-252-1360</t>
  </si>
  <si>
    <t>28-314-1189</t>
  </si>
  <si>
    <t>32 Charing Cross Pass</t>
  </si>
  <si>
    <t>80-039-1261</t>
  </si>
  <si>
    <t>37-994-7932</t>
  </si>
  <si>
    <t>1 Havey Park</t>
  </si>
  <si>
    <t>48-427-0551</t>
  </si>
  <si>
    <t>01-900-4509</t>
  </si>
  <si>
    <t>2 7th Center</t>
  </si>
  <si>
    <t>02-575-1980</t>
  </si>
  <si>
    <t>61-100-8296</t>
  </si>
  <si>
    <t>Yambee</t>
  </si>
  <si>
    <t>34832 Autumn Leaf Terrace</t>
  </si>
  <si>
    <t>61-293-6327</t>
  </si>
  <si>
    <t>00-023-7719</t>
  </si>
  <si>
    <t>4353 Dixon Circle</t>
  </si>
  <si>
    <t>08-519-5579</t>
  </si>
  <si>
    <t>32-178-2765</t>
  </si>
  <si>
    <t>89 Karstens Alley</t>
  </si>
  <si>
    <t>33-670-6797</t>
  </si>
  <si>
    <t>74-032-7560</t>
  </si>
  <si>
    <t>2869 Hudson Drive</t>
  </si>
  <si>
    <t>29-741-8132</t>
  </si>
  <si>
    <t>49-384-4540</t>
  </si>
  <si>
    <t>85 Farwell Parkway</t>
  </si>
  <si>
    <t>89-713-6071</t>
  </si>
  <si>
    <t>84-123-7159</t>
  </si>
  <si>
    <t>60 Dottie Hill</t>
  </si>
  <si>
    <t>00-641-8691</t>
  </si>
  <si>
    <t>34-824-0575</t>
  </si>
  <si>
    <t>797 Mcbride Lane</t>
  </si>
  <si>
    <t>68-977-6854</t>
  </si>
  <si>
    <t>73-830-9633</t>
  </si>
  <si>
    <t>2633 Shasta Alley</t>
  </si>
  <si>
    <t>86-257-4613</t>
  </si>
  <si>
    <t>70-402-4816</t>
  </si>
  <si>
    <t>5 Prentice Pass</t>
  </si>
  <si>
    <t>06-340-6856</t>
  </si>
  <si>
    <t>11-005-7835</t>
  </si>
  <si>
    <t>Podcat</t>
  </si>
  <si>
    <t>84 Rusk Terrace</t>
  </si>
  <si>
    <t>11-338-4598</t>
  </si>
  <si>
    <t>72-360-6358</t>
  </si>
  <si>
    <t>9067 Valley Edge Park</t>
  </si>
  <si>
    <t>82-711-0772</t>
  </si>
  <si>
    <t>78-877-1866</t>
  </si>
  <si>
    <t>463 Oxford Crossing</t>
  </si>
  <si>
    <t>05-184-4175</t>
  </si>
  <si>
    <t>31-676-5646</t>
  </si>
  <si>
    <t>57 Di Loreto Circle</t>
  </si>
  <si>
    <t>17-274-6898</t>
  </si>
  <si>
    <t>34-738-1209</t>
  </si>
  <si>
    <t>657 Texas Street</t>
  </si>
  <si>
    <t>79-569-8856</t>
  </si>
  <si>
    <t>04-854-7165</t>
  </si>
  <si>
    <t>03643 Oakridge Lane</t>
  </si>
  <si>
    <t>00-534-9775</t>
  </si>
  <si>
    <t>79-955-6260</t>
  </si>
  <si>
    <t>68 Dakota Center</t>
  </si>
  <si>
    <t>94-071-2261</t>
  </si>
  <si>
    <t>25-706-2146</t>
  </si>
  <si>
    <t>2004 Cody Plaza</t>
  </si>
  <si>
    <t>94-355-3070</t>
  </si>
  <si>
    <t>73-393-9432</t>
  </si>
  <si>
    <t>116 Spaight Park</t>
  </si>
  <si>
    <t>17-265-1899</t>
  </si>
  <si>
    <t>61-793-0279</t>
  </si>
  <si>
    <t>4826 Drewry Center</t>
  </si>
  <si>
    <t>13-888-0149</t>
  </si>
  <si>
    <t>09-902-6272</t>
  </si>
  <si>
    <t>1 Logan Road</t>
  </si>
  <si>
    <t>21-890-2826</t>
  </si>
  <si>
    <t>32-371-1686</t>
  </si>
  <si>
    <t>84 Hoffman Way</t>
  </si>
  <si>
    <t>05-425-0746</t>
  </si>
  <si>
    <t>23-450-0301</t>
  </si>
  <si>
    <t>49884 Brickson Park Plaza</t>
  </si>
  <si>
    <t>88-807-8431</t>
  </si>
  <si>
    <t>66-563-9462</t>
  </si>
  <si>
    <t>2 Russell Alley</t>
  </si>
  <si>
    <t>77-377-1659</t>
  </si>
  <si>
    <t>64-674-3902</t>
  </si>
  <si>
    <t>6 Acker Street</t>
  </si>
  <si>
    <t>92-362-3567</t>
  </si>
  <si>
    <t>40-056-7748</t>
  </si>
  <si>
    <t>826 Melvin Pass</t>
  </si>
  <si>
    <t>99-961-0767</t>
  </si>
  <si>
    <t>78-954-5649</t>
  </si>
  <si>
    <t>Tambee</t>
  </si>
  <si>
    <t>40113 Blaine Place</t>
  </si>
  <si>
    <t>94-092-3355</t>
  </si>
  <si>
    <t>76-641-2070</t>
  </si>
  <si>
    <t>929 Thierer Lane</t>
  </si>
  <si>
    <t>29-344-3658</t>
  </si>
  <si>
    <t>33-546-5056</t>
  </si>
  <si>
    <t>7 Talmadge Street</t>
  </si>
  <si>
    <t>60-327-4114</t>
  </si>
  <si>
    <t>59-968-8346</t>
  </si>
  <si>
    <t>3 Bellgrove Way</t>
  </si>
  <si>
    <t>13-409-9040</t>
  </si>
  <si>
    <t>34-303-5097</t>
  </si>
  <si>
    <t>Jazzy</t>
  </si>
  <si>
    <t>9623 Cottonwood Park</t>
  </si>
  <si>
    <t>75-927-9108</t>
  </si>
  <si>
    <t>27-406-7972</t>
  </si>
  <si>
    <t>43 Washington Street</t>
  </si>
  <si>
    <t>30-806-3823</t>
  </si>
  <si>
    <t>36-451-3173</t>
  </si>
  <si>
    <t>07 Pankratz Point</t>
  </si>
  <si>
    <t>65-780-5622</t>
  </si>
  <si>
    <t>69-460-9770</t>
  </si>
  <si>
    <t>65 Forster Way</t>
  </si>
  <si>
    <t>94-598-3383</t>
  </si>
  <si>
    <t>39-488-0039</t>
  </si>
  <si>
    <t>7403 Fuller Hill</t>
  </si>
  <si>
    <t>45-250-4679</t>
  </si>
  <si>
    <t>80-328-4990</t>
  </si>
  <si>
    <t>49148 Meadow Ridge Way</t>
  </si>
  <si>
    <t>45-317-9731</t>
  </si>
  <si>
    <t>05-779-0378</t>
  </si>
  <si>
    <t>Wordware</t>
  </si>
  <si>
    <t>70156 7th Junction</t>
  </si>
  <si>
    <t>41-131-3841</t>
  </si>
  <si>
    <t>55-269-1746</t>
  </si>
  <si>
    <t>16 Fair Oaks Pass</t>
  </si>
  <si>
    <t>15-905-7750</t>
  </si>
  <si>
    <t>48-176-1622</t>
  </si>
  <si>
    <t>36687 Maple Avenue</t>
  </si>
  <si>
    <t>68-973-8812</t>
  </si>
  <si>
    <t>31-955-7362</t>
  </si>
  <si>
    <t>55 Cherokee Circle</t>
  </si>
  <si>
    <t>49-570-8214</t>
  </si>
  <si>
    <t>17-345-5800</t>
  </si>
  <si>
    <t>1823 Elgar Park</t>
  </si>
  <si>
    <t>57-779-4955</t>
  </si>
  <si>
    <t>84-869-9980</t>
  </si>
  <si>
    <t>38436 Anthes Way</t>
  </si>
  <si>
    <t>85-781-5386</t>
  </si>
  <si>
    <t>89-439-6947</t>
  </si>
  <si>
    <t>10577 Thierer Plaza</t>
  </si>
  <si>
    <t>72-341-1154</t>
  </si>
  <si>
    <t>84-090-6472</t>
  </si>
  <si>
    <t>8682 Golf Course Junction</t>
  </si>
  <si>
    <t>28-986-8001</t>
  </si>
  <si>
    <t>37-281-2537</t>
  </si>
  <si>
    <t>4 Old Shore Avenue</t>
  </si>
  <si>
    <t>82-811-7988</t>
  </si>
  <si>
    <t>41-772-9238</t>
  </si>
  <si>
    <t>65 Chinook Circle</t>
  </si>
  <si>
    <t>27-495-1912</t>
  </si>
  <si>
    <t>34-667-8907</t>
  </si>
  <si>
    <t>Thoughtbridge</t>
  </si>
  <si>
    <t>12710 Gulseth Circle</t>
  </si>
  <si>
    <t>44-480-9446</t>
  </si>
  <si>
    <t>35-000-6015</t>
  </si>
  <si>
    <t>43591 East Road</t>
  </si>
  <si>
    <t>77-937-1108</t>
  </si>
  <si>
    <t>41-007-0132</t>
  </si>
  <si>
    <t>01 Hansons Crossing</t>
  </si>
  <si>
    <t>82-538-4809</t>
  </si>
  <si>
    <t>74-357-2990</t>
  </si>
  <si>
    <t>700 Northland Crossing</t>
  </si>
  <si>
    <t>69-895-3397</t>
  </si>
  <si>
    <t>02-575-2074</t>
  </si>
  <si>
    <t>98 Melody Street</t>
  </si>
  <si>
    <t>44-112-3331</t>
  </si>
  <si>
    <t>90-453-4096</t>
  </si>
  <si>
    <t>63787 Arkansas Street</t>
  </si>
  <si>
    <t>93-682-2069</t>
  </si>
  <si>
    <t>60-038-7810</t>
  </si>
  <si>
    <t>2718 Londonderry Plaza</t>
  </si>
  <si>
    <t>49-199-6836</t>
  </si>
  <si>
    <t>81-999-7392</t>
  </si>
  <si>
    <t>77 Brown Circle</t>
  </si>
  <si>
    <t>47-221-2470</t>
  </si>
  <si>
    <t>30-780-7583</t>
  </si>
  <si>
    <t>Teklist</t>
  </si>
  <si>
    <t>60 Messerschmidt Pass</t>
  </si>
  <si>
    <t>71-067-3278</t>
  </si>
  <si>
    <t>76-797-9430</t>
  </si>
  <si>
    <t>5521 Wayridge Center</t>
  </si>
  <si>
    <t>89-388-3239</t>
  </si>
  <si>
    <t>28-521-7083</t>
  </si>
  <si>
    <t>4346 Columbus Way</t>
  </si>
  <si>
    <t>10-555-5971</t>
  </si>
  <si>
    <t>30-410-3509</t>
  </si>
  <si>
    <t>8425 New Castle Parkway</t>
  </si>
  <si>
    <t>82-931-7126</t>
  </si>
  <si>
    <t>67-596-1997</t>
  </si>
  <si>
    <t>856 School Plaza</t>
  </si>
  <si>
    <t>24-228-6840</t>
  </si>
  <si>
    <t>26-280-5472</t>
  </si>
  <si>
    <t>Myworks</t>
  </si>
  <si>
    <t>68241 Hanson Circle</t>
  </si>
  <si>
    <t>52-392-5312</t>
  </si>
  <si>
    <t>78-092-4768</t>
  </si>
  <si>
    <t>336 Old Shore Lane</t>
  </si>
  <si>
    <t>36-531-4087</t>
  </si>
  <si>
    <t>83-172-5527</t>
  </si>
  <si>
    <t>2 Columbus Drive</t>
  </si>
  <si>
    <t>39-810-2042</t>
  </si>
  <si>
    <t>65-620-9866</t>
  </si>
  <si>
    <t>47817 Oneill Park</t>
  </si>
  <si>
    <t>55-164-7723</t>
  </si>
  <si>
    <t>85-454-9252</t>
  </si>
  <si>
    <t>6410 Northwestern Pass</t>
  </si>
  <si>
    <t>61-680-9496</t>
  </si>
  <si>
    <t>75-448-1356</t>
  </si>
  <si>
    <t>2 Northridge Street</t>
  </si>
  <si>
    <t>24-143-4957</t>
  </si>
  <si>
    <t>29-968-4976</t>
  </si>
  <si>
    <t>685 Independence Junction</t>
  </si>
  <si>
    <t>26-456-1992</t>
  </si>
  <si>
    <t>60-159-3514</t>
  </si>
  <si>
    <t>1792 Crownhardt Street</t>
  </si>
  <si>
    <t>62-998-7250</t>
  </si>
  <si>
    <t>72-002-3904</t>
  </si>
  <si>
    <t>9171 Redwing Street</t>
  </si>
  <si>
    <t>38-617-7226</t>
  </si>
  <si>
    <t>91-215-9838</t>
  </si>
  <si>
    <t>33145 Butterfield Avenue</t>
  </si>
  <si>
    <t>00-366-9496</t>
  </si>
  <si>
    <t>40-515-1141</t>
  </si>
  <si>
    <t>898 Rowland Trail</t>
  </si>
  <si>
    <t>76-027-4850</t>
  </si>
  <si>
    <t>75-256-5638</t>
  </si>
  <si>
    <t>425 Shasta Terrace</t>
  </si>
  <si>
    <t>27-269-5260</t>
  </si>
  <si>
    <t>54-724-8610</t>
  </si>
  <si>
    <t>1661 Springview Terrace</t>
  </si>
  <si>
    <t>40-126-0515</t>
  </si>
  <si>
    <t>78-379-0369</t>
  </si>
  <si>
    <t>28351 Cascade Plaza</t>
  </si>
  <si>
    <t>31-387-5020</t>
  </si>
  <si>
    <t>02-811-7933</t>
  </si>
  <si>
    <t>854 Kipling Point</t>
  </si>
  <si>
    <t>13-673-7016</t>
  </si>
  <si>
    <t>78-726-6352</t>
  </si>
  <si>
    <t>04 Hagan Crossing</t>
  </si>
  <si>
    <t>85-212-2729</t>
  </si>
  <si>
    <t>58-226-6435</t>
  </si>
  <si>
    <t>93 Longview Junction</t>
  </si>
  <si>
    <t>99-048-8310</t>
  </si>
  <si>
    <t>70-453-8646</t>
  </si>
  <si>
    <t>43 Lakewood Junction</t>
  </si>
  <si>
    <t>19-112-1616</t>
  </si>
  <si>
    <t>55-251-3001</t>
  </si>
  <si>
    <t>7698 Logan Drive</t>
  </si>
  <si>
    <t>98-546-7398</t>
  </si>
  <si>
    <t>37-921-2953</t>
  </si>
  <si>
    <t>Thoughtworks</t>
  </si>
  <si>
    <t>15658 Talisman Lane</t>
  </si>
  <si>
    <t>63-874-9747</t>
  </si>
  <si>
    <t>22-506-4911</t>
  </si>
  <si>
    <t>183 Buell Park</t>
  </si>
  <si>
    <t>58-946-5152</t>
  </si>
  <si>
    <t>42-201-4328</t>
  </si>
  <si>
    <t>06 Lake View Trail</t>
  </si>
  <si>
    <t>65-867-4029</t>
  </si>
  <si>
    <t>70-591-9841</t>
  </si>
  <si>
    <t>36124 Carberry Junction</t>
  </si>
  <si>
    <t>89-328-9019</t>
  </si>
  <si>
    <t>63-057-0462</t>
  </si>
  <si>
    <t>33774 Carberry Circle</t>
  </si>
  <si>
    <t>02-170-5225</t>
  </si>
  <si>
    <t>90-940-9550</t>
  </si>
  <si>
    <t>36 Bobwhite Parkway</t>
  </si>
  <si>
    <t>24-478-8277</t>
  </si>
  <si>
    <t>64-070-7611</t>
  </si>
  <si>
    <t>55276 Golf Hill</t>
  </si>
  <si>
    <t>91-290-9062</t>
  </si>
  <si>
    <t>95-609-1485</t>
  </si>
  <si>
    <t>9821 Novick Hill</t>
  </si>
  <si>
    <t>44-546-5713</t>
  </si>
  <si>
    <t>61-382-5182</t>
  </si>
  <si>
    <t>832 Goodland Alley</t>
  </si>
  <si>
    <t>20-031-0532</t>
  </si>
  <si>
    <t>35-835-8848</t>
  </si>
  <si>
    <t>8239 Laurel Way</t>
  </si>
  <si>
    <t>48-242-8445</t>
  </si>
  <si>
    <t>84-941-3034</t>
  </si>
  <si>
    <t>29 Vera Drive</t>
  </si>
  <si>
    <t>33-378-1365</t>
  </si>
  <si>
    <t>31-483-9201</t>
  </si>
  <si>
    <t>23560 Talmadge Center</t>
  </si>
  <si>
    <t>57-763-5501</t>
  </si>
  <si>
    <t>25-790-1641</t>
  </si>
  <si>
    <t>46 Colorado Place</t>
  </si>
  <si>
    <t>71-015-9181</t>
  </si>
  <si>
    <t>56-196-9896</t>
  </si>
  <si>
    <t>62238 Mallory Place</t>
  </si>
  <si>
    <t>14-115-8371</t>
  </si>
  <si>
    <t>80-833-3051</t>
  </si>
  <si>
    <t>40 Cody Pass</t>
  </si>
  <si>
    <t>83-568-3475</t>
  </si>
  <si>
    <t>10-950-0546</t>
  </si>
  <si>
    <t>29150 Farmco Crossing</t>
  </si>
  <si>
    <t>79-884-8810</t>
  </si>
  <si>
    <t>14-108-0409</t>
  </si>
  <si>
    <t>546 Declaration Place</t>
  </si>
  <si>
    <t>50-772-2613</t>
  </si>
  <si>
    <t>74-619-4608</t>
  </si>
  <si>
    <t>7 Lunder Hill</t>
  </si>
  <si>
    <t>19-377-5021</t>
  </si>
  <si>
    <t>34-014-5873</t>
  </si>
  <si>
    <t>884 Sloan Drive</t>
  </si>
  <si>
    <t>39-913-2999</t>
  </si>
  <si>
    <t>74-119-8973</t>
  </si>
  <si>
    <t>15 Oriole Park</t>
  </si>
  <si>
    <t>46-911-1159</t>
  </si>
  <si>
    <t>30-820-2883</t>
  </si>
  <si>
    <t>9171 Norway Maple Trail</t>
  </si>
  <si>
    <t>40-630-1431</t>
  </si>
  <si>
    <t>61-040-9004</t>
  </si>
  <si>
    <t>8119 Homewood Drive</t>
  </si>
  <si>
    <t>15-797-4824</t>
  </si>
  <si>
    <t>46-830-4835</t>
  </si>
  <si>
    <t>Mudo</t>
  </si>
  <si>
    <t>25923 Loeprich Junction</t>
  </si>
  <si>
    <t>37-248-6266</t>
  </si>
  <si>
    <t>75-553-7424</t>
  </si>
  <si>
    <t>7051 Calypso Place</t>
  </si>
  <si>
    <t>22-760-4605</t>
  </si>
  <si>
    <t>01-495-9336</t>
  </si>
  <si>
    <t>09264 Forest Dale Drive</t>
  </si>
  <si>
    <t>80-020-8041</t>
  </si>
  <si>
    <t>66-684-1941</t>
  </si>
  <si>
    <t>662 Vernon Point</t>
  </si>
  <si>
    <t>44-634-8292</t>
  </si>
  <si>
    <t>48-557-5036</t>
  </si>
  <si>
    <t>46 Orin Drive</t>
  </si>
  <si>
    <t>19-610-2236</t>
  </si>
  <si>
    <t>53-799-3174</t>
  </si>
  <si>
    <t>8524 Shelley Way</t>
  </si>
  <si>
    <t>49-579-4325</t>
  </si>
  <si>
    <t>98-558-5813</t>
  </si>
  <si>
    <t>6 Anniversary Circle</t>
  </si>
  <si>
    <t>42-134-9798</t>
  </si>
  <si>
    <t>16-869-7328</t>
  </si>
  <si>
    <t>0087 Bluejay Plaza</t>
  </si>
  <si>
    <t>84-546-7624</t>
  </si>
  <si>
    <t>34-730-9079</t>
  </si>
  <si>
    <t>61057 Hallows Junction</t>
  </si>
  <si>
    <t>11-891-8213</t>
  </si>
  <si>
    <t>25-741-5987</t>
  </si>
  <si>
    <t>13 Westport Hill</t>
  </si>
  <si>
    <t>03-597-9488</t>
  </si>
  <si>
    <t>03-983-0515</t>
  </si>
  <si>
    <t>53 Lawn Circle</t>
  </si>
  <si>
    <t>89-624-7462</t>
  </si>
  <si>
    <t>39-506-2186</t>
  </si>
  <si>
    <t>25 Drewry Alley</t>
  </si>
  <si>
    <t>89-335-0155</t>
  </si>
  <si>
    <t>83-780-4531</t>
  </si>
  <si>
    <t>9 Kipling Road</t>
  </si>
  <si>
    <t>59-725-4038</t>
  </si>
  <si>
    <t>39-055-1703</t>
  </si>
  <si>
    <t>Zoozzy</t>
  </si>
  <si>
    <t>697 Hoepker Center</t>
  </si>
  <si>
    <t>78-953-2073</t>
  </si>
  <si>
    <t>28-465-9141</t>
  </si>
  <si>
    <t>085 Reinke Pass</t>
  </si>
  <si>
    <t>91-426-3204</t>
  </si>
  <si>
    <t>86-184-4829</t>
  </si>
  <si>
    <t>269 Dakota Trail</t>
  </si>
  <si>
    <t>40-913-9772</t>
  </si>
  <si>
    <t>51-215-2283</t>
  </si>
  <si>
    <t>553 Hooker Trail</t>
  </si>
  <si>
    <t>89-922-4773</t>
  </si>
  <si>
    <t>99-455-0707</t>
  </si>
  <si>
    <t>11 Thackeray Hill</t>
  </si>
  <si>
    <t>17-236-0566</t>
  </si>
  <si>
    <t>32-402-9679</t>
  </si>
  <si>
    <t>803 5th Alley</t>
  </si>
  <si>
    <t>74-234-0628</t>
  </si>
  <si>
    <t>49-559-7092</t>
  </si>
  <si>
    <t>2 Veith Crossing</t>
  </si>
  <si>
    <t>80-441-7249</t>
  </si>
  <si>
    <t>35-979-6839</t>
  </si>
  <si>
    <t>652 High Crossing Lane</t>
  </si>
  <si>
    <t>54-708-7327</t>
  </si>
  <si>
    <t>46-316-6919</t>
  </si>
  <si>
    <t>8182 Hazelcrest Place</t>
  </si>
  <si>
    <t>15-846-7959</t>
  </si>
  <si>
    <t>47-026-0505</t>
  </si>
  <si>
    <t>6251 Eliot Hill</t>
  </si>
  <si>
    <t>44-368-7112</t>
  </si>
  <si>
    <t>85-978-7855</t>
  </si>
  <si>
    <t>82 Hintze Court</t>
  </si>
  <si>
    <t>03-833-3577</t>
  </si>
  <si>
    <t>87-032-6971</t>
  </si>
  <si>
    <t>38 Killdeer Point</t>
  </si>
  <si>
    <t>47-548-6500</t>
  </si>
  <si>
    <t>27-061-4764</t>
  </si>
  <si>
    <t>06 Shopko Pass</t>
  </si>
  <si>
    <t>12-342-4482</t>
  </si>
  <si>
    <t>71-300-8176</t>
  </si>
  <si>
    <t>374 Blue Bill Park Point</t>
  </si>
  <si>
    <t>07-834-3320</t>
  </si>
  <si>
    <t>47-831-9154</t>
  </si>
  <si>
    <t>79 Monterey Avenue</t>
  </si>
  <si>
    <t>16-187-5729</t>
  </si>
  <si>
    <t>79-366-7207</t>
  </si>
  <si>
    <t>Zoombeat</t>
  </si>
  <si>
    <t>22555 Macpherson Plaza</t>
  </si>
  <si>
    <t>64-109-7362</t>
  </si>
  <si>
    <t>38-603-6412</t>
  </si>
  <si>
    <t>7 Harper Drive</t>
  </si>
  <si>
    <t>06-655-5498</t>
  </si>
  <si>
    <t>89-574-3430</t>
  </si>
  <si>
    <t>8569 Bashford Court</t>
  </si>
  <si>
    <t>24-975-4231</t>
  </si>
  <si>
    <t>99-145-4924</t>
  </si>
  <si>
    <t>62494 Longview Drive</t>
  </si>
  <si>
    <t>98-652-9569</t>
  </si>
  <si>
    <t>65-160-1426</t>
  </si>
  <si>
    <t>Ooba</t>
  </si>
  <si>
    <t>32 6th Lane</t>
  </si>
  <si>
    <t>25-522-6043</t>
  </si>
  <si>
    <t>29-122-7037</t>
  </si>
  <si>
    <t>890 Eggendart Pass</t>
  </si>
  <si>
    <t>28-275-5901</t>
  </si>
  <si>
    <t>44-760-4337</t>
  </si>
  <si>
    <t>4 Doe Crossing Avenue</t>
  </si>
  <si>
    <t>96-164-0607</t>
  </si>
  <si>
    <t>15-655-3923</t>
  </si>
  <si>
    <t>1275 Lawn Center</t>
  </si>
  <si>
    <t>93-815-0565</t>
  </si>
  <si>
    <t>56-422-1480</t>
  </si>
  <si>
    <t>8868 Armistice Place</t>
  </si>
  <si>
    <t>63-918-8253</t>
  </si>
  <si>
    <t>94-157-1762</t>
  </si>
  <si>
    <t>917 Westerfield Terrace</t>
  </si>
  <si>
    <t>57-167-0669</t>
  </si>
  <si>
    <t>30-934-3251</t>
  </si>
  <si>
    <t>1005 Lyons Junction</t>
  </si>
  <si>
    <t>52-402-9245</t>
  </si>
  <si>
    <t>37-519-7762</t>
  </si>
  <si>
    <t>185 Stone Corner Parkway</t>
  </si>
  <si>
    <t>17-647-0503</t>
  </si>
  <si>
    <t>69-416-9493</t>
  </si>
  <si>
    <t>0 Village Green Street</t>
  </si>
  <si>
    <t>67-984-5368</t>
  </si>
  <si>
    <t>39-714-7313</t>
  </si>
  <si>
    <t>Yakidoo</t>
  </si>
  <si>
    <t>0 Fordem Place</t>
  </si>
  <si>
    <t>77-827-0820</t>
  </si>
  <si>
    <t>46-590-7639</t>
  </si>
  <si>
    <t>8851 Superior Park</t>
  </si>
  <si>
    <t>27-387-0428</t>
  </si>
  <si>
    <t>62-312-2748</t>
  </si>
  <si>
    <t>1715 Dottie Pass</t>
  </si>
  <si>
    <t>79-350-5841</t>
  </si>
  <si>
    <t>81-676-3345</t>
  </si>
  <si>
    <t>75 Cascade Avenue</t>
  </si>
  <si>
    <t>44-128-2185</t>
  </si>
  <si>
    <t>79-091-7381</t>
  </si>
  <si>
    <t>012 Mockingbird Court</t>
  </si>
  <si>
    <t>48-789-9187</t>
  </si>
  <si>
    <t>95-944-5323</t>
  </si>
  <si>
    <t>41 Stephen Crossing</t>
  </si>
  <si>
    <t>21-809-7115</t>
  </si>
  <si>
    <t>57-774-4116</t>
  </si>
  <si>
    <t>3053 Sachs Center</t>
  </si>
  <si>
    <t>19-323-0506</t>
  </si>
  <si>
    <t>28-977-3789</t>
  </si>
  <si>
    <t>5 Ohio Lane</t>
  </si>
  <si>
    <t>04-637-8815</t>
  </si>
  <si>
    <t>60-959-6355</t>
  </si>
  <si>
    <t>537 Maple Alley</t>
  </si>
  <si>
    <t>60-644-6596</t>
  </si>
  <si>
    <t>32-745-8366</t>
  </si>
  <si>
    <t>22 Hudson Pass</t>
  </si>
  <si>
    <t>58-005-5343</t>
  </si>
  <si>
    <t>83-401-2709</t>
  </si>
  <si>
    <t>43211 Lakeland Place</t>
  </si>
  <si>
    <t>67-382-4435</t>
  </si>
  <si>
    <t>49-901-0828</t>
  </si>
  <si>
    <t>Fivespan</t>
  </si>
  <si>
    <t>92 Bartelt Terrace</t>
  </si>
  <si>
    <t>09-335-7793</t>
  </si>
  <si>
    <t>96-918-7047</t>
  </si>
  <si>
    <t>5649 Vidon Plaza</t>
  </si>
  <si>
    <t>46-496-2930</t>
  </si>
  <si>
    <t>29-295-9755</t>
  </si>
  <si>
    <t>156 Golf Course Alley</t>
  </si>
  <si>
    <t>35-353-4068</t>
  </si>
  <si>
    <t>44-199-6832</t>
  </si>
  <si>
    <t>8583 Northwestern Terrace</t>
  </si>
  <si>
    <t>45-050-4720</t>
  </si>
  <si>
    <t>98-791-5014</t>
  </si>
  <si>
    <t>7 Ridge Oak Pass</t>
  </si>
  <si>
    <t>87-104-0187</t>
  </si>
  <si>
    <t>41-881-1166</t>
  </si>
  <si>
    <t>0 Moose Lane</t>
  </si>
  <si>
    <t>85-806-8672</t>
  </si>
  <si>
    <t>44-646-7502</t>
  </si>
  <si>
    <t>24 South Trail</t>
  </si>
  <si>
    <t>54-281-3746</t>
  </si>
  <si>
    <t>08-824-4585</t>
  </si>
  <si>
    <t>00 Ridgeway Plaza</t>
  </si>
  <si>
    <t>35-257-9312</t>
  </si>
  <si>
    <t>35-927-4986</t>
  </si>
  <si>
    <t>9463 Northland Court</t>
  </si>
  <si>
    <t>63-897-8088</t>
  </si>
  <si>
    <t>82-313-4469</t>
  </si>
  <si>
    <t>7944 Elgar Alley</t>
  </si>
  <si>
    <t>24-986-5091</t>
  </si>
  <si>
    <t>51-076-1164</t>
  </si>
  <si>
    <t>88 Lighthouse Bay Crossing</t>
  </si>
  <si>
    <t>17-504-3699</t>
  </si>
  <si>
    <t>81-276-8218</t>
  </si>
  <si>
    <t>18 Daystar Parkway</t>
  </si>
  <si>
    <t>23-395-3157</t>
  </si>
  <si>
    <t>48-538-8538</t>
  </si>
  <si>
    <t>74 Sugar Plaza</t>
  </si>
  <si>
    <t>28-107-4953</t>
  </si>
  <si>
    <t>01-165-8830</t>
  </si>
  <si>
    <t>Babbleblab</t>
  </si>
  <si>
    <t>29755 Daystar Street</t>
  </si>
  <si>
    <t>46-083-7058</t>
  </si>
  <si>
    <t>26-730-0925</t>
  </si>
  <si>
    <t>21530 Prentice Place</t>
  </si>
  <si>
    <t>68-436-1268</t>
  </si>
  <si>
    <t>10-694-6636</t>
  </si>
  <si>
    <t>1 Mockingbird Parkway</t>
  </si>
  <si>
    <t>93-198-5984</t>
  </si>
  <si>
    <t>86-441-7850</t>
  </si>
  <si>
    <t>54706 Prairieview Point</t>
  </si>
  <si>
    <t>24-571-1080</t>
  </si>
  <si>
    <t>07-520-1107</t>
  </si>
  <si>
    <t>5325 Milwaukee Lane</t>
  </si>
  <si>
    <t>73-874-7534</t>
  </si>
  <si>
    <t>12-566-2563</t>
  </si>
  <si>
    <t>901 Norway Maple Crossing</t>
  </si>
  <si>
    <t>07-337-9889</t>
  </si>
  <si>
    <t>84-949-8378</t>
  </si>
  <si>
    <t>4 Loomis Way</t>
  </si>
  <si>
    <t>28-197-9246</t>
  </si>
  <si>
    <t>31-281-2352</t>
  </si>
  <si>
    <t>8499 Hanover Terrace</t>
  </si>
  <si>
    <t>83-400-9746</t>
  </si>
  <si>
    <t>02-510-0629</t>
  </si>
  <si>
    <t>40 Merchant Terrace</t>
  </si>
  <si>
    <t>24-579-6500</t>
  </si>
  <si>
    <t>60-309-5783</t>
  </si>
  <si>
    <t>4 Stang Place</t>
  </si>
  <si>
    <t>64-418-8356</t>
  </si>
  <si>
    <t>91-451-2016</t>
  </si>
  <si>
    <t>1 Green Hill</t>
  </si>
  <si>
    <t>15-884-7413</t>
  </si>
  <si>
    <t>39-412-7454</t>
  </si>
  <si>
    <t>6225 Westend Pass</t>
  </si>
  <si>
    <t>79-494-2472</t>
  </si>
  <si>
    <t>04-391-8892</t>
  </si>
  <si>
    <t>1615 Bellgrove Crossing</t>
  </si>
  <si>
    <t>36-177-0573</t>
  </si>
  <si>
    <t>62-687-0951</t>
  </si>
  <si>
    <t>35 Portage Road</t>
  </si>
  <si>
    <t>79-920-2395</t>
  </si>
  <si>
    <t>70-825-7341</t>
  </si>
  <si>
    <t>911 Merry Junction</t>
  </si>
  <si>
    <t>96-961-2193</t>
  </si>
  <si>
    <t>71-467-4910</t>
  </si>
  <si>
    <t>Babbleset</t>
  </si>
  <si>
    <t>63578 Butternut Hill</t>
  </si>
  <si>
    <t>69-578-7930</t>
  </si>
  <si>
    <t>37-728-5274</t>
  </si>
  <si>
    <t>83291 Hansons Crossing</t>
  </si>
  <si>
    <t>40-205-8252</t>
  </si>
  <si>
    <t>68-493-0378</t>
  </si>
  <si>
    <t>883 Marcy Place</t>
  </si>
  <si>
    <t>18-107-7886</t>
  </si>
  <si>
    <t>11-466-3182</t>
  </si>
  <si>
    <t>55309 6th Junction</t>
  </si>
  <si>
    <t>35-328-8392</t>
  </si>
  <si>
    <t>52-340-4509</t>
  </si>
  <si>
    <t>09 Londonderry Hill</t>
  </si>
  <si>
    <t>21-650-9319</t>
  </si>
  <si>
    <t>73-445-3017</t>
  </si>
  <si>
    <t>4 Hagan Court</t>
  </si>
  <si>
    <t>99-894-4351</t>
  </si>
  <si>
    <t>45-602-6533</t>
  </si>
  <si>
    <t>185 Saint Paul Road</t>
  </si>
  <si>
    <t>63-168-6018</t>
  </si>
  <si>
    <t>01-853-2191</t>
  </si>
  <si>
    <t>0847 Artisan Hill</t>
  </si>
  <si>
    <t>26-000-1012</t>
  </si>
  <si>
    <t>60-284-1974</t>
  </si>
  <si>
    <t>3 Bayside Point</t>
  </si>
  <si>
    <t>13-900-9016</t>
  </si>
  <si>
    <t>63-969-9608</t>
  </si>
  <si>
    <t>Meetz</t>
  </si>
  <si>
    <t>521 Burning Wood Trail</t>
  </si>
  <si>
    <t>88-408-0310</t>
  </si>
  <si>
    <t>91-002-3027</t>
  </si>
  <si>
    <t>5 Mesta Center</t>
  </si>
  <si>
    <t>73-997-6251</t>
  </si>
  <si>
    <t>17-167-4304</t>
  </si>
  <si>
    <t>1666 Dayton Terrace</t>
  </si>
  <si>
    <t>50-679-2072</t>
  </si>
  <si>
    <t>81-588-5701</t>
  </si>
  <si>
    <t>20 Butterfield Lane</t>
  </si>
  <si>
    <t>89-673-1543</t>
  </si>
  <si>
    <t>43-679-7350</t>
  </si>
  <si>
    <t>297 Petterle Way</t>
  </si>
  <si>
    <t>56-937-8675</t>
  </si>
  <si>
    <t>37-996-3243</t>
  </si>
  <si>
    <t>Trilith</t>
  </si>
  <si>
    <t>668 Claremont Place</t>
  </si>
  <si>
    <t>14-836-2894</t>
  </si>
  <si>
    <t>82-157-4299</t>
  </si>
  <si>
    <t>2 Hooker Terrace</t>
  </si>
  <si>
    <t>87-903-3486</t>
  </si>
  <si>
    <t>90-378-8463</t>
  </si>
  <si>
    <t>99 Twin Pines Alley</t>
  </si>
  <si>
    <t>07-617-6934</t>
  </si>
  <si>
    <t>48-700-8059</t>
  </si>
  <si>
    <t>9262 Sullivan Crossing</t>
  </si>
  <si>
    <t>31-403-6234</t>
  </si>
  <si>
    <t>00-258-2525</t>
  </si>
  <si>
    <t>35 Waxwing Center</t>
  </si>
  <si>
    <t>29-092-3453</t>
  </si>
  <si>
    <t>41-867-9911</t>
  </si>
  <si>
    <t>676 Redwing Trail</t>
  </si>
  <si>
    <t>34-709-9237</t>
  </si>
  <si>
    <t>66-680-8738</t>
  </si>
  <si>
    <t>1509 Hoard Circle</t>
  </si>
  <si>
    <t>13-962-6263</t>
  </si>
  <si>
    <t>26-061-5253</t>
  </si>
  <si>
    <t>7015 Ramsey Lane</t>
  </si>
  <si>
    <t>06-731-2162</t>
  </si>
  <si>
    <t>17-546-8875</t>
  </si>
  <si>
    <t>30968 Anzinger Court</t>
  </si>
  <si>
    <t>10-768-2443</t>
  </si>
  <si>
    <t>44-451-2764</t>
  </si>
  <si>
    <t>4 Orin Lane</t>
  </si>
  <si>
    <t>36-372-2295</t>
  </si>
  <si>
    <t>85-823-7428</t>
  </si>
  <si>
    <t>98 Bartillon Trail</t>
  </si>
  <si>
    <t>34-538-1180</t>
  </si>
  <si>
    <t>40-907-4937</t>
  </si>
  <si>
    <t>19 Aberg Trail</t>
  </si>
  <si>
    <t>98-148-0940</t>
  </si>
  <si>
    <t>06-175-9657</t>
  </si>
  <si>
    <t>588 Waywood Trail</t>
  </si>
  <si>
    <t>38-390-2115</t>
  </si>
  <si>
    <t>12-433-6490</t>
  </si>
  <si>
    <t>3 Del Mar Point</t>
  </si>
  <si>
    <t>02-974-8526</t>
  </si>
  <si>
    <t>09-387-1119</t>
  </si>
  <si>
    <t>42 Green Ridge Terrace</t>
  </si>
  <si>
    <t>29-377-7040</t>
  </si>
  <si>
    <t>59-979-6740</t>
  </si>
  <si>
    <t>9431 Clarendon Pass</t>
  </si>
  <si>
    <t>84-327-7787</t>
  </si>
  <si>
    <t>97-571-0561</t>
  </si>
  <si>
    <t>739 Rowland Way</t>
  </si>
  <si>
    <t>82-231-4245</t>
  </si>
  <si>
    <t>96-177-4040</t>
  </si>
  <si>
    <t>77 Monument Court</t>
  </si>
  <si>
    <t>70-005-5970</t>
  </si>
  <si>
    <t>18-490-4140</t>
  </si>
  <si>
    <t>82955 Dayton Street</t>
  </si>
  <si>
    <t>63-936-0145</t>
  </si>
  <si>
    <t>69-415-3675</t>
  </si>
  <si>
    <t>95 Kingsford Terrace</t>
  </si>
  <si>
    <t>08-196-2703</t>
  </si>
  <si>
    <t>34-315-1199</t>
  </si>
  <si>
    <t>56 Esker Park</t>
  </si>
  <si>
    <t>22-778-3553</t>
  </si>
  <si>
    <t>49-590-1752</t>
  </si>
  <si>
    <t>0782 Dapin Avenue</t>
  </si>
  <si>
    <t>37-610-1999</t>
  </si>
  <si>
    <t>19-985-9694</t>
  </si>
  <si>
    <t>3 John Wall Point</t>
  </si>
  <si>
    <t>09-618-2842</t>
  </si>
  <si>
    <t>68-415-1025</t>
  </si>
  <si>
    <t>642 Arizona Point</t>
  </si>
  <si>
    <t>28-968-4195</t>
  </si>
  <si>
    <t>17-562-1176</t>
  </si>
  <si>
    <t>5 Loftsgordon Trail</t>
  </si>
  <si>
    <t>55-680-0982</t>
  </si>
  <si>
    <t>57-412-5368</t>
  </si>
  <si>
    <t>0 Sutteridge Trail</t>
  </si>
  <si>
    <t>43-851-9440</t>
  </si>
  <si>
    <t>67-674-0287</t>
  </si>
  <si>
    <t>4033 Sloan Hill</t>
  </si>
  <si>
    <t>14-331-3739</t>
  </si>
  <si>
    <t>87-159-6467</t>
  </si>
  <si>
    <t>8 Thackeray Drive</t>
  </si>
  <si>
    <t>54-830-6971</t>
  </si>
  <si>
    <t>94-006-6480</t>
  </si>
  <si>
    <t>674 Ryan Alley</t>
  </si>
  <si>
    <t>53-008-2419</t>
  </si>
  <si>
    <t>86-841-6074</t>
  </si>
  <si>
    <t>63 Debra Park</t>
  </si>
  <si>
    <t>39-358-3340</t>
  </si>
  <si>
    <t>86-841-4440</t>
  </si>
  <si>
    <t>308 Doe Crossing Pass</t>
  </si>
  <si>
    <t>28-146-2641</t>
  </si>
  <si>
    <t>82-995-0739</t>
  </si>
  <si>
    <t>73 Graedel Street</t>
  </si>
  <si>
    <t>83-556-0996</t>
  </si>
  <si>
    <t>81-234-0741</t>
  </si>
  <si>
    <t>53 Forest Run Plaza</t>
  </si>
  <si>
    <t>53-805-9523</t>
  </si>
  <si>
    <t>99-864-0256</t>
  </si>
  <si>
    <t>94 Mallory Center</t>
  </si>
  <si>
    <t>82-977-7752</t>
  </si>
  <si>
    <t>57-473-8672</t>
  </si>
  <si>
    <t>58 Corscot Terrace</t>
  </si>
  <si>
    <t>62-393-9939</t>
  </si>
  <si>
    <t>93-877-9384</t>
  </si>
  <si>
    <t>Gabcube</t>
  </si>
  <si>
    <t>5 Oxford Pass</t>
  </si>
  <si>
    <t>31-745-6850</t>
  </si>
  <si>
    <t>96-215-2767</t>
  </si>
  <si>
    <t>081 Jana Lane</t>
  </si>
  <si>
    <t>86-692-2312</t>
  </si>
  <si>
    <t>77-783-4107</t>
  </si>
  <si>
    <t>00616 Manitowish Parkway</t>
  </si>
  <si>
    <t>28-044-4102</t>
  </si>
  <si>
    <t>93-358-1118</t>
  </si>
  <si>
    <t>309 Burning Wood Center</t>
  </si>
  <si>
    <t>Expiry Status</t>
  </si>
  <si>
    <t>Inventory Value</t>
  </si>
  <si>
    <t>Row Labels</t>
  </si>
  <si>
    <t>(blank)</t>
  </si>
  <si>
    <t>Grand Total</t>
  </si>
  <si>
    <t>Sum of Inventory Value</t>
  </si>
  <si>
    <t>Inventory Risk Calculation</t>
  </si>
  <si>
    <t>Inventory Risk %</t>
  </si>
  <si>
    <t>Risk_status</t>
  </si>
  <si>
    <t>Reorder Financial Impact Analysis</t>
  </si>
  <si>
    <t>Percentage Of Capital In Reorder-required items</t>
  </si>
  <si>
    <t>Total_Revenue_by_product</t>
  </si>
  <si>
    <t>Sum of Total_Revenue_by_product</t>
  </si>
  <si>
    <t>Inventory Distribution</t>
  </si>
  <si>
    <t>Total Profit</t>
  </si>
  <si>
    <t>Sum of Total Profit</t>
  </si>
  <si>
    <t>Total Profit Margin</t>
  </si>
  <si>
    <t>Total Revenue</t>
  </si>
  <si>
    <t>1. Product Distribution by Category</t>
  </si>
  <si>
    <t>Count of Product_ID</t>
  </si>
  <si>
    <t>2. Supplier Contribution</t>
  </si>
  <si>
    <t>3. Stock Quantity Distribution</t>
  </si>
  <si>
    <t>Sum of Stock_Quantity</t>
  </si>
  <si>
    <t xml:space="preserve"> Unit Price Distribution</t>
  </si>
  <si>
    <t>Sales Volume Distribution</t>
  </si>
  <si>
    <t>Stock Quantity vs Sales Volume Relationship</t>
  </si>
  <si>
    <t>EDA Exploratory Data Analysis</t>
  </si>
  <si>
    <t>DataSet Summary</t>
  </si>
  <si>
    <t>Total Products</t>
  </si>
  <si>
    <t>Total Categories</t>
  </si>
  <si>
    <t>Total Suppliers</t>
  </si>
  <si>
    <t>Total Stock Quantity</t>
  </si>
  <si>
    <t>Average Unit Price</t>
  </si>
  <si>
    <t xml:space="preserve">Total Sales Volume 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</si>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</sst>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9" fontId="14" fillId="0" borderId="0" xfId="42" applyFont="1"/>
    <xf numFmtId="9" fontId="0" fillId="0" borderId="0" xfId="42" applyFont="1"/>
    <xf numFmtId="43" fontId="0" fillId="0" borderId="0" xfId="43" applyFont="1"/>
    <xf numFmtId="43" fontId="14" fillId="0" borderId="0" xfId="43" applyFont="1"/>
    <xf numFmtId="0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>
          <bgColor rgb="FFFF9966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</dxfs>
  <tableStyles count="0" defaultTableStyle="TableStyleMedium2" defaultPivotStyle="PivotStyleLight16"/>
  <colors>
    <mruColors>
      <color rgb="FFFF33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[Grocery_Inventory_and_Sales_Dataset.xlsx]EDA!PivotTable1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 Product Distribution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EDA!$B$15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A2-4A1B-A96A-FCFBEE08B8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A2-4A1B-A96A-FCFBEE08B8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A2-4A1B-A96A-FCFBEE08B8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A2-4A1B-A96A-FCFBEE08B8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A2-4A1B-A96A-FCFBEE08B8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3A2-4A1B-A96A-FCFBEE08B8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3A2-4A1B-A96A-FCFBEE08B88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3A2-4A1B-A96A-FCFBEE08B88F}"/>
              </c:ext>
            </c:extLst>
          </c:dPt>
          <c:cat>
            <c:strRef>
              <c:f>EDA!$A$16:$A$24</c:f>
              <c:strCache>
                <c:ptCount val="8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Fruits &amp; Vegetables</c:v>
                </c:pt>
                <c:pt idx="4">
                  <c:v>Grains &amp; Pulses</c:v>
                </c:pt>
                <c:pt idx="5">
                  <c:v>Oils &amp; Fats</c:v>
                </c:pt>
                <c:pt idx="6">
                  <c:v>Seafood</c:v>
                </c:pt>
                <c:pt idx="7">
                  <c:v>(blank)</c:v>
                </c:pt>
              </c:strCache>
            </c:strRef>
          </c:cat>
          <c:val>
            <c:numRef>
              <c:f>EDA!$B$16:$B$24</c:f>
              <c:numCache>
                <c:formatCode>General</c:formatCode>
                <c:ptCount val="8"/>
                <c:pt idx="0">
                  <c:v>74</c:v>
                </c:pt>
                <c:pt idx="1">
                  <c:v>75</c:v>
                </c:pt>
                <c:pt idx="2">
                  <c:v>180</c:v>
                </c:pt>
                <c:pt idx="3">
                  <c:v>331</c:v>
                </c:pt>
                <c:pt idx="4">
                  <c:v>162</c:v>
                </c:pt>
                <c:pt idx="5">
                  <c:v>77</c:v>
                </c:pt>
                <c:pt idx="6">
                  <c:v>90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7-49DC-8F0A-CB09153B6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30">
      <a:fgClr>
        <a:schemeClr val="accent1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[Grocery_Inventory_and_Sales_Dataset.xlsx]EDA!PivotTable2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2. Supplier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EDA!$A$33:$A$383</c:f>
              <c:strCache>
                <c:ptCount val="350"/>
                <c:pt idx="0">
                  <c:v>Abata</c:v>
                </c:pt>
                <c:pt idx="1">
                  <c:v>Abatz</c:v>
                </c:pt>
                <c:pt idx="2">
                  <c:v>Agivu</c:v>
                </c:pt>
                <c:pt idx="3">
                  <c:v>Aibox</c:v>
                </c:pt>
                <c:pt idx="4">
                  <c:v>Aimbu</c:v>
                </c:pt>
                <c:pt idx="5">
                  <c:v>Ainyx</c:v>
                </c:pt>
                <c:pt idx="6">
                  <c:v>Aivee</c:v>
                </c:pt>
                <c:pt idx="7">
                  <c:v>Avamba</c:v>
                </c:pt>
                <c:pt idx="8">
                  <c:v>Avamm</c:v>
                </c:pt>
                <c:pt idx="9">
                  <c:v>Avavee</c:v>
                </c:pt>
                <c:pt idx="10">
                  <c:v>Avaveo</c:v>
                </c:pt>
                <c:pt idx="11">
                  <c:v>Babbleblab</c:v>
                </c:pt>
                <c:pt idx="12">
                  <c:v>Babbleopia</c:v>
                </c:pt>
                <c:pt idx="13">
                  <c:v>Babbleset</c:v>
                </c:pt>
                <c:pt idx="14">
                  <c:v>Babblestorm</c:v>
                </c:pt>
                <c:pt idx="15">
                  <c:v>Blognation</c:v>
                </c:pt>
                <c:pt idx="16">
                  <c:v>Blogpad</c:v>
                </c:pt>
                <c:pt idx="17">
                  <c:v>Blogspan</c:v>
                </c:pt>
                <c:pt idx="18">
                  <c:v>Blogtag</c:v>
                </c:pt>
                <c:pt idx="19">
                  <c:v>Blogtags</c:v>
                </c:pt>
                <c:pt idx="20">
                  <c:v>BlogXS</c:v>
                </c:pt>
                <c:pt idx="21">
                  <c:v>Bluejam</c:v>
                </c:pt>
                <c:pt idx="22">
                  <c:v>Bluezoom</c:v>
                </c:pt>
                <c:pt idx="23">
                  <c:v>Brainbox</c:v>
                </c:pt>
                <c:pt idx="24">
                  <c:v>Brainlounge</c:v>
                </c:pt>
                <c:pt idx="25">
                  <c:v>Brainsphere</c:v>
                </c:pt>
                <c:pt idx="26">
                  <c:v>Brainverse</c:v>
                </c:pt>
                <c:pt idx="27">
                  <c:v>Brightbean</c:v>
                </c:pt>
                <c:pt idx="28">
                  <c:v>Brightdog</c:v>
                </c:pt>
                <c:pt idx="29">
                  <c:v>Browseblab</c:v>
                </c:pt>
                <c:pt idx="30">
                  <c:v>Browsebug</c:v>
                </c:pt>
                <c:pt idx="31">
                  <c:v>Browsecat</c:v>
                </c:pt>
                <c:pt idx="32">
                  <c:v>Browsedrive</c:v>
                </c:pt>
                <c:pt idx="33">
                  <c:v>Browsetype</c:v>
                </c:pt>
                <c:pt idx="34">
                  <c:v>Browsezoom</c:v>
                </c:pt>
                <c:pt idx="35">
                  <c:v>Bubblebox</c:v>
                </c:pt>
                <c:pt idx="36">
                  <c:v>Bubblemix</c:v>
                </c:pt>
                <c:pt idx="37">
                  <c:v>Buzzbean</c:v>
                </c:pt>
                <c:pt idx="38">
                  <c:v>Buzzdog</c:v>
                </c:pt>
                <c:pt idx="39">
                  <c:v>Buzzshare</c:v>
                </c:pt>
                <c:pt idx="40">
                  <c:v>Buzzster</c:v>
                </c:pt>
                <c:pt idx="41">
                  <c:v>Camido</c:v>
                </c:pt>
                <c:pt idx="42">
                  <c:v>Camimbo</c:v>
                </c:pt>
                <c:pt idx="43">
                  <c:v>Centidel</c:v>
                </c:pt>
                <c:pt idx="44">
                  <c:v>Centimia</c:v>
                </c:pt>
                <c:pt idx="45">
                  <c:v>Centizu</c:v>
                </c:pt>
                <c:pt idx="46">
                  <c:v>Chatterbridge</c:v>
                </c:pt>
                <c:pt idx="47">
                  <c:v>Chatterpoint</c:v>
                </c:pt>
                <c:pt idx="48">
                  <c:v>Cogibox</c:v>
                </c:pt>
                <c:pt idx="49">
                  <c:v>Cogidoo</c:v>
                </c:pt>
                <c:pt idx="50">
                  <c:v>Cogilith</c:v>
                </c:pt>
                <c:pt idx="51">
                  <c:v>Dabfeed</c:v>
                </c:pt>
                <c:pt idx="52">
                  <c:v>Dabjam</c:v>
                </c:pt>
                <c:pt idx="53">
                  <c:v>Dabshots</c:v>
                </c:pt>
                <c:pt idx="54">
                  <c:v>Dabtype</c:v>
                </c:pt>
                <c:pt idx="55">
                  <c:v>Dabvine</c:v>
                </c:pt>
                <c:pt idx="56">
                  <c:v>DabZ</c:v>
                </c:pt>
                <c:pt idx="57">
                  <c:v>Dazzlesphere</c:v>
                </c:pt>
                <c:pt idx="58">
                  <c:v>Demimbu</c:v>
                </c:pt>
                <c:pt idx="59">
                  <c:v>Demivee</c:v>
                </c:pt>
                <c:pt idx="60">
                  <c:v>Demizz</c:v>
                </c:pt>
                <c:pt idx="61">
                  <c:v>Devbug</c:v>
                </c:pt>
                <c:pt idx="62">
                  <c:v>Devcast</c:v>
                </c:pt>
                <c:pt idx="63">
                  <c:v>Devpoint</c:v>
                </c:pt>
                <c:pt idx="64">
                  <c:v>Devpulse</c:v>
                </c:pt>
                <c:pt idx="65">
                  <c:v>Devshare</c:v>
                </c:pt>
                <c:pt idx="66">
                  <c:v>Digitube</c:v>
                </c:pt>
                <c:pt idx="67">
                  <c:v>Divanoodle</c:v>
                </c:pt>
                <c:pt idx="68">
                  <c:v>Divape</c:v>
                </c:pt>
                <c:pt idx="69">
                  <c:v>Dynabox</c:v>
                </c:pt>
                <c:pt idx="70">
                  <c:v>Dynava</c:v>
                </c:pt>
                <c:pt idx="71">
                  <c:v>Dynazzy</c:v>
                </c:pt>
                <c:pt idx="72">
                  <c:v>Eabox</c:v>
                </c:pt>
                <c:pt idx="73">
                  <c:v>Eadel</c:v>
                </c:pt>
                <c:pt idx="74">
                  <c:v>Eamia</c:v>
                </c:pt>
                <c:pt idx="75">
                  <c:v>Eare</c:v>
                </c:pt>
                <c:pt idx="76">
                  <c:v>Eayo</c:v>
                </c:pt>
                <c:pt idx="77">
                  <c:v>Eazzy</c:v>
                </c:pt>
                <c:pt idx="78">
                  <c:v>Edgeclub</c:v>
                </c:pt>
                <c:pt idx="79">
                  <c:v>Edgeify</c:v>
                </c:pt>
                <c:pt idx="80">
                  <c:v>Edgepulse</c:v>
                </c:pt>
                <c:pt idx="81">
                  <c:v>Edgetag</c:v>
                </c:pt>
                <c:pt idx="82">
                  <c:v>Edgewire</c:v>
                </c:pt>
                <c:pt idx="83">
                  <c:v>Eidel</c:v>
                </c:pt>
                <c:pt idx="84">
                  <c:v>Eimbee</c:v>
                </c:pt>
                <c:pt idx="85">
                  <c:v>Einti</c:v>
                </c:pt>
                <c:pt idx="86">
                  <c:v>Eire</c:v>
                </c:pt>
                <c:pt idx="87">
                  <c:v>Fadeo</c:v>
                </c:pt>
                <c:pt idx="88">
                  <c:v>Fanoodle</c:v>
                </c:pt>
                <c:pt idx="89">
                  <c:v>Fatz</c:v>
                </c:pt>
                <c:pt idx="90">
                  <c:v>Feedbug</c:v>
                </c:pt>
                <c:pt idx="91">
                  <c:v>Feedfire</c:v>
                </c:pt>
                <c:pt idx="92">
                  <c:v>Feedfish</c:v>
                </c:pt>
                <c:pt idx="93">
                  <c:v>Feedmix</c:v>
                </c:pt>
                <c:pt idx="94">
                  <c:v>Feednation</c:v>
                </c:pt>
                <c:pt idx="95">
                  <c:v>Feedspan</c:v>
                </c:pt>
                <c:pt idx="96">
                  <c:v>Fivebridge</c:v>
                </c:pt>
                <c:pt idx="97">
                  <c:v>Fiveclub</c:v>
                </c:pt>
                <c:pt idx="98">
                  <c:v>Fivespan</c:v>
                </c:pt>
                <c:pt idx="99">
                  <c:v>Flashdog</c:v>
                </c:pt>
                <c:pt idx="100">
                  <c:v>Flashset</c:v>
                </c:pt>
                <c:pt idx="101">
                  <c:v>Flashspan</c:v>
                </c:pt>
                <c:pt idx="102">
                  <c:v>Flipbug</c:v>
                </c:pt>
                <c:pt idx="103">
                  <c:v>Flipopia</c:v>
                </c:pt>
                <c:pt idx="104">
                  <c:v>Fliptune</c:v>
                </c:pt>
                <c:pt idx="105">
                  <c:v>Gabcube</c:v>
                </c:pt>
                <c:pt idx="106">
                  <c:v>Gabspot</c:v>
                </c:pt>
                <c:pt idx="107">
                  <c:v>Gabvine</c:v>
                </c:pt>
                <c:pt idx="108">
                  <c:v>Geba</c:v>
                </c:pt>
                <c:pt idx="109">
                  <c:v>Gevee</c:v>
                </c:pt>
                <c:pt idx="110">
                  <c:v>Gigabox</c:v>
                </c:pt>
                <c:pt idx="111">
                  <c:v>Gigaclub</c:v>
                </c:pt>
                <c:pt idx="112">
                  <c:v>Gigashots</c:v>
                </c:pt>
                <c:pt idx="113">
                  <c:v>Gigazoom</c:v>
                </c:pt>
                <c:pt idx="114">
                  <c:v>Innojam</c:v>
                </c:pt>
                <c:pt idx="115">
                  <c:v>Innotype</c:v>
                </c:pt>
                <c:pt idx="116">
                  <c:v>InnoZ</c:v>
                </c:pt>
                <c:pt idx="117">
                  <c:v>Izio</c:v>
                </c:pt>
                <c:pt idx="118">
                  <c:v>Jabbercube</c:v>
                </c:pt>
                <c:pt idx="119">
                  <c:v>Jabbersphere</c:v>
                </c:pt>
                <c:pt idx="120">
                  <c:v>Jabberstorm</c:v>
                </c:pt>
                <c:pt idx="121">
                  <c:v>Jabbertype</c:v>
                </c:pt>
                <c:pt idx="122">
                  <c:v>Jaloo</c:v>
                </c:pt>
                <c:pt idx="123">
                  <c:v>Jamia</c:v>
                </c:pt>
                <c:pt idx="124">
                  <c:v>Janyx</c:v>
                </c:pt>
                <c:pt idx="125">
                  <c:v>Jatri</c:v>
                </c:pt>
                <c:pt idx="126">
                  <c:v>Jaxbean</c:v>
                </c:pt>
                <c:pt idx="127">
                  <c:v>Jaxnation</c:v>
                </c:pt>
                <c:pt idx="128">
                  <c:v>Jaxspan</c:v>
                </c:pt>
                <c:pt idx="129">
                  <c:v>Jaxworks</c:v>
                </c:pt>
                <c:pt idx="130">
                  <c:v>Jayo</c:v>
                </c:pt>
                <c:pt idx="131">
                  <c:v>Jazzy</c:v>
                </c:pt>
                <c:pt idx="132">
                  <c:v>Jetpulse</c:v>
                </c:pt>
                <c:pt idx="133">
                  <c:v>Jetwire</c:v>
                </c:pt>
                <c:pt idx="134">
                  <c:v>JumpXS</c:v>
                </c:pt>
                <c:pt idx="135">
                  <c:v>Kamba</c:v>
                </c:pt>
                <c:pt idx="136">
                  <c:v>Kanoodle</c:v>
                </c:pt>
                <c:pt idx="137">
                  <c:v>Kare</c:v>
                </c:pt>
                <c:pt idx="138">
                  <c:v>Katz</c:v>
                </c:pt>
                <c:pt idx="139">
                  <c:v>Kaymbo</c:v>
                </c:pt>
                <c:pt idx="140">
                  <c:v>Kayveo</c:v>
                </c:pt>
                <c:pt idx="141">
                  <c:v>Kazio</c:v>
                </c:pt>
                <c:pt idx="142">
                  <c:v>Kazu</c:v>
                </c:pt>
                <c:pt idx="143">
                  <c:v>Kimia</c:v>
                </c:pt>
                <c:pt idx="144">
                  <c:v>Kwideo</c:v>
                </c:pt>
                <c:pt idx="145">
                  <c:v>Kwilith</c:v>
                </c:pt>
                <c:pt idx="146">
                  <c:v>Kwimbee</c:v>
                </c:pt>
                <c:pt idx="147">
                  <c:v>Kwinu</c:v>
                </c:pt>
                <c:pt idx="148">
                  <c:v>Lajo</c:v>
                </c:pt>
                <c:pt idx="149">
                  <c:v>Latz</c:v>
                </c:pt>
                <c:pt idx="150">
                  <c:v>Layo</c:v>
                </c:pt>
                <c:pt idx="151">
                  <c:v>Lazz</c:v>
                </c:pt>
                <c:pt idx="152">
                  <c:v>Leenti</c:v>
                </c:pt>
                <c:pt idx="153">
                  <c:v>Linkbridge</c:v>
                </c:pt>
                <c:pt idx="154">
                  <c:v>Linklinks</c:v>
                </c:pt>
                <c:pt idx="155">
                  <c:v>Linktype</c:v>
                </c:pt>
                <c:pt idx="156">
                  <c:v>Livefish</c:v>
                </c:pt>
                <c:pt idx="157">
                  <c:v>Livepath</c:v>
                </c:pt>
                <c:pt idx="158">
                  <c:v>Livetube</c:v>
                </c:pt>
                <c:pt idx="159">
                  <c:v>LiveZ</c:v>
                </c:pt>
                <c:pt idx="160">
                  <c:v>Meedoo</c:v>
                </c:pt>
                <c:pt idx="161">
                  <c:v>Meejo</c:v>
                </c:pt>
                <c:pt idx="162">
                  <c:v>Meembee</c:v>
                </c:pt>
                <c:pt idx="163">
                  <c:v>Meemm</c:v>
                </c:pt>
                <c:pt idx="164">
                  <c:v>Meetz</c:v>
                </c:pt>
                <c:pt idx="165">
                  <c:v>Meevee</c:v>
                </c:pt>
                <c:pt idx="166">
                  <c:v>Meeveo</c:v>
                </c:pt>
                <c:pt idx="167">
                  <c:v>Meezzy</c:v>
                </c:pt>
                <c:pt idx="168">
                  <c:v>Miboo</c:v>
                </c:pt>
                <c:pt idx="169">
                  <c:v>Midel</c:v>
                </c:pt>
                <c:pt idx="170">
                  <c:v>Mudo</c:v>
                </c:pt>
                <c:pt idx="171">
                  <c:v>Muxo</c:v>
                </c:pt>
                <c:pt idx="172">
                  <c:v>Mybuzz</c:v>
                </c:pt>
                <c:pt idx="173">
                  <c:v>Mycat</c:v>
                </c:pt>
                <c:pt idx="174">
                  <c:v>Mydeo</c:v>
                </c:pt>
                <c:pt idx="175">
                  <c:v>Mydo</c:v>
                </c:pt>
                <c:pt idx="176">
                  <c:v>Mymm</c:v>
                </c:pt>
                <c:pt idx="177">
                  <c:v>Mynte</c:v>
                </c:pt>
                <c:pt idx="178">
                  <c:v>Myworks</c:v>
                </c:pt>
                <c:pt idx="179">
                  <c:v>Npath</c:v>
                </c:pt>
                <c:pt idx="180">
                  <c:v>Ntag</c:v>
                </c:pt>
                <c:pt idx="181">
                  <c:v>Ntags</c:v>
                </c:pt>
                <c:pt idx="182">
                  <c:v>Oba</c:v>
                </c:pt>
                <c:pt idx="183">
                  <c:v>Oloo</c:v>
                </c:pt>
                <c:pt idx="184">
                  <c:v>Omba</c:v>
                </c:pt>
                <c:pt idx="185">
                  <c:v>Ooba</c:v>
                </c:pt>
                <c:pt idx="186">
                  <c:v>Oozz</c:v>
                </c:pt>
                <c:pt idx="187">
                  <c:v>Oyoba</c:v>
                </c:pt>
                <c:pt idx="188">
                  <c:v>Oyoloo</c:v>
                </c:pt>
                <c:pt idx="189">
                  <c:v>Oyonder</c:v>
                </c:pt>
                <c:pt idx="190">
                  <c:v>Oyondu</c:v>
                </c:pt>
                <c:pt idx="191">
                  <c:v>Oyoyo</c:v>
                </c:pt>
                <c:pt idx="192">
                  <c:v>Ozu</c:v>
                </c:pt>
                <c:pt idx="193">
                  <c:v>Photobean</c:v>
                </c:pt>
                <c:pt idx="194">
                  <c:v>Photobug</c:v>
                </c:pt>
                <c:pt idx="195">
                  <c:v>Photofeed</c:v>
                </c:pt>
                <c:pt idx="196">
                  <c:v>Photojam</c:v>
                </c:pt>
                <c:pt idx="197">
                  <c:v>Photolist</c:v>
                </c:pt>
                <c:pt idx="198">
                  <c:v>Photospace</c:v>
                </c:pt>
                <c:pt idx="199">
                  <c:v>Pixoboo</c:v>
                </c:pt>
                <c:pt idx="200">
                  <c:v>Pixonyx</c:v>
                </c:pt>
                <c:pt idx="201">
                  <c:v>Pixope</c:v>
                </c:pt>
                <c:pt idx="202">
                  <c:v>Plajo</c:v>
                </c:pt>
                <c:pt idx="203">
                  <c:v>Podcat</c:v>
                </c:pt>
                <c:pt idx="204">
                  <c:v>Quamba</c:v>
                </c:pt>
                <c:pt idx="205">
                  <c:v>Quatz</c:v>
                </c:pt>
                <c:pt idx="206">
                  <c:v>Quaxo</c:v>
                </c:pt>
                <c:pt idx="207">
                  <c:v>Quimm</c:v>
                </c:pt>
                <c:pt idx="208">
                  <c:v>Quinu</c:v>
                </c:pt>
                <c:pt idx="209">
                  <c:v>Quire</c:v>
                </c:pt>
                <c:pt idx="210">
                  <c:v>Realblab</c:v>
                </c:pt>
                <c:pt idx="211">
                  <c:v>Realbridge</c:v>
                </c:pt>
                <c:pt idx="212">
                  <c:v>Realcube</c:v>
                </c:pt>
                <c:pt idx="213">
                  <c:v>Realfire</c:v>
                </c:pt>
                <c:pt idx="214">
                  <c:v>Reallinks</c:v>
                </c:pt>
                <c:pt idx="215">
                  <c:v>Realmix</c:v>
                </c:pt>
                <c:pt idx="216">
                  <c:v>Realpoint</c:v>
                </c:pt>
                <c:pt idx="217">
                  <c:v>Rhybox</c:v>
                </c:pt>
                <c:pt idx="218">
                  <c:v>Rhycero</c:v>
                </c:pt>
                <c:pt idx="219">
                  <c:v>Rhyloo</c:v>
                </c:pt>
                <c:pt idx="220">
                  <c:v>Rhynoodle</c:v>
                </c:pt>
                <c:pt idx="221">
                  <c:v>Rhynyx</c:v>
                </c:pt>
                <c:pt idx="222">
                  <c:v>Rhyzio</c:v>
                </c:pt>
                <c:pt idx="223">
                  <c:v>Riffpedia</c:v>
                </c:pt>
                <c:pt idx="224">
                  <c:v>Riffwire</c:v>
                </c:pt>
                <c:pt idx="225">
                  <c:v>Roodel</c:v>
                </c:pt>
                <c:pt idx="226">
                  <c:v>Roombo</c:v>
                </c:pt>
                <c:pt idx="227">
                  <c:v>Roomm</c:v>
                </c:pt>
                <c:pt idx="228">
                  <c:v>Rooxo</c:v>
                </c:pt>
                <c:pt idx="229">
                  <c:v>Shufflebeat</c:v>
                </c:pt>
                <c:pt idx="230">
                  <c:v>Shuffledrive</c:v>
                </c:pt>
                <c:pt idx="231">
                  <c:v>Shufflester</c:v>
                </c:pt>
                <c:pt idx="232">
                  <c:v>Shuffletag</c:v>
                </c:pt>
                <c:pt idx="233">
                  <c:v>Skaboo</c:v>
                </c:pt>
                <c:pt idx="234">
                  <c:v>Skajo</c:v>
                </c:pt>
                <c:pt idx="235">
                  <c:v>Skalith</c:v>
                </c:pt>
                <c:pt idx="236">
                  <c:v>Skiba</c:v>
                </c:pt>
                <c:pt idx="237">
                  <c:v>Skibox</c:v>
                </c:pt>
                <c:pt idx="238">
                  <c:v>Skidoo</c:v>
                </c:pt>
                <c:pt idx="239">
                  <c:v>Skilith</c:v>
                </c:pt>
                <c:pt idx="240">
                  <c:v>Skimia</c:v>
                </c:pt>
                <c:pt idx="241">
                  <c:v>Skinix</c:v>
                </c:pt>
                <c:pt idx="242">
                  <c:v>Skinte</c:v>
                </c:pt>
                <c:pt idx="243">
                  <c:v>Skipfire</c:v>
                </c:pt>
                <c:pt idx="244">
                  <c:v>Skippad</c:v>
                </c:pt>
                <c:pt idx="245">
                  <c:v>Skipstorm</c:v>
                </c:pt>
                <c:pt idx="246">
                  <c:v>Skiptube</c:v>
                </c:pt>
                <c:pt idx="247">
                  <c:v>Skivee</c:v>
                </c:pt>
                <c:pt idx="248">
                  <c:v>Skyba</c:v>
                </c:pt>
                <c:pt idx="249">
                  <c:v>Skyble</c:v>
                </c:pt>
                <c:pt idx="250">
                  <c:v>Skyndu</c:v>
                </c:pt>
                <c:pt idx="251">
                  <c:v>Skynoodle</c:v>
                </c:pt>
                <c:pt idx="252">
                  <c:v>Skyvu</c:v>
                </c:pt>
                <c:pt idx="253">
                  <c:v>Snaptags</c:v>
                </c:pt>
                <c:pt idx="254">
                  <c:v>Tagcat</c:v>
                </c:pt>
                <c:pt idx="255">
                  <c:v>Tagchat</c:v>
                </c:pt>
                <c:pt idx="256">
                  <c:v>Tagfeed</c:v>
                </c:pt>
                <c:pt idx="257">
                  <c:v>Tagopia</c:v>
                </c:pt>
                <c:pt idx="258">
                  <c:v>Tagpad</c:v>
                </c:pt>
                <c:pt idx="259">
                  <c:v>Tagtune</c:v>
                </c:pt>
                <c:pt idx="260">
                  <c:v>Talane</c:v>
                </c:pt>
                <c:pt idx="261">
                  <c:v>Tambee</c:v>
                </c:pt>
                <c:pt idx="262">
                  <c:v>Tanoodle</c:v>
                </c:pt>
                <c:pt idx="263">
                  <c:v>Tavu</c:v>
                </c:pt>
                <c:pt idx="264">
                  <c:v>Tazz</c:v>
                </c:pt>
                <c:pt idx="265">
                  <c:v>Tekfly</c:v>
                </c:pt>
                <c:pt idx="266">
                  <c:v>Teklist</c:v>
                </c:pt>
                <c:pt idx="267">
                  <c:v>Thoughtbeat</c:v>
                </c:pt>
                <c:pt idx="268">
                  <c:v>Thoughtblab</c:v>
                </c:pt>
                <c:pt idx="269">
                  <c:v>Thoughtbridge</c:v>
                </c:pt>
                <c:pt idx="270">
                  <c:v>Thoughtmix</c:v>
                </c:pt>
                <c:pt idx="271">
                  <c:v>Thoughtsphere</c:v>
                </c:pt>
                <c:pt idx="272">
                  <c:v>Thoughtstorm</c:v>
                </c:pt>
                <c:pt idx="273">
                  <c:v>Thoughtworks</c:v>
                </c:pt>
                <c:pt idx="274">
                  <c:v>Topdrive</c:v>
                </c:pt>
                <c:pt idx="275">
                  <c:v>Topicblab</c:v>
                </c:pt>
                <c:pt idx="276">
                  <c:v>Topiclounge</c:v>
                </c:pt>
                <c:pt idx="277">
                  <c:v>Topicshots</c:v>
                </c:pt>
                <c:pt idx="278">
                  <c:v>Topicstorm</c:v>
                </c:pt>
                <c:pt idx="279">
                  <c:v>Topicware</c:v>
                </c:pt>
                <c:pt idx="280">
                  <c:v>Topiczoom</c:v>
                </c:pt>
                <c:pt idx="281">
                  <c:v>Trilia</c:v>
                </c:pt>
                <c:pt idx="282">
                  <c:v>Trilith</c:v>
                </c:pt>
                <c:pt idx="283">
                  <c:v>Trudeo</c:v>
                </c:pt>
                <c:pt idx="284">
                  <c:v>Trudoo</c:v>
                </c:pt>
                <c:pt idx="285">
                  <c:v>Trunyx</c:v>
                </c:pt>
                <c:pt idx="286">
                  <c:v>Trupe</c:v>
                </c:pt>
                <c:pt idx="287">
                  <c:v>Twimm</c:v>
                </c:pt>
                <c:pt idx="288">
                  <c:v>Twinte</c:v>
                </c:pt>
                <c:pt idx="289">
                  <c:v>Twitterbeat</c:v>
                </c:pt>
                <c:pt idx="290">
                  <c:v>Twitterbridge</c:v>
                </c:pt>
                <c:pt idx="291">
                  <c:v>Twitterlist</c:v>
                </c:pt>
                <c:pt idx="292">
                  <c:v>Twitternation</c:v>
                </c:pt>
                <c:pt idx="293">
                  <c:v>Twitterwire</c:v>
                </c:pt>
                <c:pt idx="294">
                  <c:v>Twitterworks</c:v>
                </c:pt>
                <c:pt idx="295">
                  <c:v>Twiyo</c:v>
                </c:pt>
                <c:pt idx="296">
                  <c:v>Vidoo</c:v>
                </c:pt>
                <c:pt idx="297">
                  <c:v>Vimbo</c:v>
                </c:pt>
                <c:pt idx="298">
                  <c:v>Vinder</c:v>
                </c:pt>
                <c:pt idx="299">
                  <c:v>Vinte</c:v>
                </c:pt>
                <c:pt idx="300">
                  <c:v>Vipe</c:v>
                </c:pt>
                <c:pt idx="301">
                  <c:v>Vitz</c:v>
                </c:pt>
                <c:pt idx="302">
                  <c:v>Viva</c:v>
                </c:pt>
                <c:pt idx="303">
                  <c:v>Voolia</c:v>
                </c:pt>
                <c:pt idx="304">
                  <c:v>Voolith</c:v>
                </c:pt>
                <c:pt idx="305">
                  <c:v>Voomm</c:v>
                </c:pt>
                <c:pt idx="306">
                  <c:v>Voonder</c:v>
                </c:pt>
                <c:pt idx="307">
                  <c:v>Voonix</c:v>
                </c:pt>
                <c:pt idx="308">
                  <c:v>Voonte</c:v>
                </c:pt>
                <c:pt idx="309">
                  <c:v>Voonyx</c:v>
                </c:pt>
                <c:pt idx="310">
                  <c:v>Wikibox</c:v>
                </c:pt>
                <c:pt idx="311">
                  <c:v>Wikido</c:v>
                </c:pt>
                <c:pt idx="312">
                  <c:v>Wikivu</c:v>
                </c:pt>
                <c:pt idx="313">
                  <c:v>Wikizz</c:v>
                </c:pt>
                <c:pt idx="314">
                  <c:v>Wordify</c:v>
                </c:pt>
                <c:pt idx="315">
                  <c:v>Wordpedia</c:v>
                </c:pt>
                <c:pt idx="316">
                  <c:v>Wordtune</c:v>
                </c:pt>
                <c:pt idx="317">
                  <c:v>Wordware</c:v>
                </c:pt>
                <c:pt idx="318">
                  <c:v>Yabox</c:v>
                </c:pt>
                <c:pt idx="319">
                  <c:v>Yadel</c:v>
                </c:pt>
                <c:pt idx="320">
                  <c:v>Yakidoo</c:v>
                </c:pt>
                <c:pt idx="321">
                  <c:v>Yakijo</c:v>
                </c:pt>
                <c:pt idx="322">
                  <c:v>Yakitri</c:v>
                </c:pt>
                <c:pt idx="323">
                  <c:v>Yambee</c:v>
                </c:pt>
                <c:pt idx="324">
                  <c:v>Yamia</c:v>
                </c:pt>
                <c:pt idx="325">
                  <c:v>Yata</c:v>
                </c:pt>
                <c:pt idx="326">
                  <c:v>Yodel</c:v>
                </c:pt>
                <c:pt idx="327">
                  <c:v>Yodo</c:v>
                </c:pt>
                <c:pt idx="328">
                  <c:v>Yodoo</c:v>
                </c:pt>
                <c:pt idx="329">
                  <c:v>Yombu</c:v>
                </c:pt>
                <c:pt idx="330">
                  <c:v>Yotz</c:v>
                </c:pt>
                <c:pt idx="331">
                  <c:v>Youbridge</c:v>
                </c:pt>
                <c:pt idx="332">
                  <c:v>Youfeed</c:v>
                </c:pt>
                <c:pt idx="333">
                  <c:v>Youopia</c:v>
                </c:pt>
                <c:pt idx="334">
                  <c:v>Youspan</c:v>
                </c:pt>
                <c:pt idx="335">
                  <c:v>Youtags</c:v>
                </c:pt>
                <c:pt idx="336">
                  <c:v>Yoveo</c:v>
                </c:pt>
                <c:pt idx="337">
                  <c:v>Yozio</c:v>
                </c:pt>
                <c:pt idx="338">
                  <c:v>Zava</c:v>
                </c:pt>
                <c:pt idx="339">
                  <c:v>Zazio</c:v>
                </c:pt>
                <c:pt idx="340">
                  <c:v>Zoombeat</c:v>
                </c:pt>
                <c:pt idx="341">
                  <c:v>Zoombox</c:v>
                </c:pt>
                <c:pt idx="342">
                  <c:v>Zoomlounge</c:v>
                </c:pt>
                <c:pt idx="343">
                  <c:v>Zoomzone</c:v>
                </c:pt>
                <c:pt idx="344">
                  <c:v>Zoonder</c:v>
                </c:pt>
                <c:pt idx="345">
                  <c:v>Zoonoodle</c:v>
                </c:pt>
                <c:pt idx="346">
                  <c:v>Zooveo</c:v>
                </c:pt>
                <c:pt idx="347">
                  <c:v>Zoovu</c:v>
                </c:pt>
                <c:pt idx="348">
                  <c:v>Zooxo</c:v>
                </c:pt>
                <c:pt idx="349">
                  <c:v>Zoozzy</c:v>
                </c:pt>
              </c:strCache>
            </c:strRef>
          </c:cat>
          <c:val>
            <c:numRef>
              <c:f>EDA!$B$33:$B$383</c:f>
              <c:numCache>
                <c:formatCode>General</c:formatCode>
                <c:ptCount val="350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7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5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5</c:v>
                </c:pt>
                <c:pt idx="27">
                  <c:v>5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2</c:v>
                </c:pt>
                <c:pt idx="39">
                  <c:v>4</c:v>
                </c:pt>
                <c:pt idx="40">
                  <c:v>2</c:v>
                </c:pt>
                <c:pt idx="41">
                  <c:v>5</c:v>
                </c:pt>
                <c:pt idx="42">
                  <c:v>2</c:v>
                </c:pt>
                <c:pt idx="43">
                  <c:v>2</c:v>
                </c:pt>
                <c:pt idx="44">
                  <c:v>5</c:v>
                </c:pt>
                <c:pt idx="45">
                  <c:v>4</c:v>
                </c:pt>
                <c:pt idx="46">
                  <c:v>4</c:v>
                </c:pt>
                <c:pt idx="47">
                  <c:v>3</c:v>
                </c:pt>
                <c:pt idx="48">
                  <c:v>2</c:v>
                </c:pt>
                <c:pt idx="49">
                  <c:v>1</c:v>
                </c:pt>
                <c:pt idx="50">
                  <c:v>3</c:v>
                </c:pt>
                <c:pt idx="51">
                  <c:v>1</c:v>
                </c:pt>
                <c:pt idx="52">
                  <c:v>4</c:v>
                </c:pt>
                <c:pt idx="53">
                  <c:v>2</c:v>
                </c:pt>
                <c:pt idx="54">
                  <c:v>4</c:v>
                </c:pt>
                <c:pt idx="55">
                  <c:v>1</c:v>
                </c:pt>
                <c:pt idx="56">
                  <c:v>2</c:v>
                </c:pt>
                <c:pt idx="57">
                  <c:v>4</c:v>
                </c:pt>
                <c:pt idx="58">
                  <c:v>3</c:v>
                </c:pt>
                <c:pt idx="59">
                  <c:v>5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6</c:v>
                </c:pt>
                <c:pt idx="65">
                  <c:v>6</c:v>
                </c:pt>
                <c:pt idx="66">
                  <c:v>3</c:v>
                </c:pt>
                <c:pt idx="67">
                  <c:v>1</c:v>
                </c:pt>
                <c:pt idx="68">
                  <c:v>1</c:v>
                </c:pt>
                <c:pt idx="69">
                  <c:v>4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3</c:v>
                </c:pt>
                <c:pt idx="83">
                  <c:v>5</c:v>
                </c:pt>
                <c:pt idx="84">
                  <c:v>7</c:v>
                </c:pt>
                <c:pt idx="85">
                  <c:v>3</c:v>
                </c:pt>
                <c:pt idx="86">
                  <c:v>3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3</c:v>
                </c:pt>
                <c:pt idx="91">
                  <c:v>5</c:v>
                </c:pt>
                <c:pt idx="92">
                  <c:v>3</c:v>
                </c:pt>
                <c:pt idx="93">
                  <c:v>5</c:v>
                </c:pt>
                <c:pt idx="94">
                  <c:v>1</c:v>
                </c:pt>
                <c:pt idx="95">
                  <c:v>2</c:v>
                </c:pt>
                <c:pt idx="96">
                  <c:v>6</c:v>
                </c:pt>
                <c:pt idx="97">
                  <c:v>3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4</c:v>
                </c:pt>
                <c:pt idx="102">
                  <c:v>5</c:v>
                </c:pt>
                <c:pt idx="103">
                  <c:v>6</c:v>
                </c:pt>
                <c:pt idx="104">
                  <c:v>2</c:v>
                </c:pt>
                <c:pt idx="105">
                  <c:v>1</c:v>
                </c:pt>
                <c:pt idx="106">
                  <c:v>3</c:v>
                </c:pt>
                <c:pt idx="107">
                  <c:v>2</c:v>
                </c:pt>
                <c:pt idx="108">
                  <c:v>5</c:v>
                </c:pt>
                <c:pt idx="109">
                  <c:v>4</c:v>
                </c:pt>
                <c:pt idx="110">
                  <c:v>3</c:v>
                </c:pt>
                <c:pt idx="111">
                  <c:v>3</c:v>
                </c:pt>
                <c:pt idx="112">
                  <c:v>6</c:v>
                </c:pt>
                <c:pt idx="113">
                  <c:v>5</c:v>
                </c:pt>
                <c:pt idx="114">
                  <c:v>4</c:v>
                </c:pt>
                <c:pt idx="115">
                  <c:v>1</c:v>
                </c:pt>
                <c:pt idx="116">
                  <c:v>2</c:v>
                </c:pt>
                <c:pt idx="117">
                  <c:v>4</c:v>
                </c:pt>
                <c:pt idx="118">
                  <c:v>2</c:v>
                </c:pt>
                <c:pt idx="119">
                  <c:v>6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1</c:v>
                </c:pt>
                <c:pt idx="124">
                  <c:v>3</c:v>
                </c:pt>
                <c:pt idx="125">
                  <c:v>3</c:v>
                </c:pt>
                <c:pt idx="126">
                  <c:v>1</c:v>
                </c:pt>
                <c:pt idx="127">
                  <c:v>3</c:v>
                </c:pt>
                <c:pt idx="128">
                  <c:v>6</c:v>
                </c:pt>
                <c:pt idx="129">
                  <c:v>3</c:v>
                </c:pt>
                <c:pt idx="130">
                  <c:v>4</c:v>
                </c:pt>
                <c:pt idx="131">
                  <c:v>3</c:v>
                </c:pt>
                <c:pt idx="132">
                  <c:v>4</c:v>
                </c:pt>
                <c:pt idx="133">
                  <c:v>2</c:v>
                </c:pt>
                <c:pt idx="134">
                  <c:v>1</c:v>
                </c:pt>
                <c:pt idx="135">
                  <c:v>5</c:v>
                </c:pt>
                <c:pt idx="136">
                  <c:v>5</c:v>
                </c:pt>
                <c:pt idx="137">
                  <c:v>2</c:v>
                </c:pt>
                <c:pt idx="138">
                  <c:v>12</c:v>
                </c:pt>
                <c:pt idx="139">
                  <c:v>1</c:v>
                </c:pt>
                <c:pt idx="140">
                  <c:v>4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4</c:v>
                </c:pt>
                <c:pt idx="149">
                  <c:v>2</c:v>
                </c:pt>
                <c:pt idx="150">
                  <c:v>4</c:v>
                </c:pt>
                <c:pt idx="151">
                  <c:v>4</c:v>
                </c:pt>
                <c:pt idx="152">
                  <c:v>1</c:v>
                </c:pt>
                <c:pt idx="153">
                  <c:v>2</c:v>
                </c:pt>
                <c:pt idx="154">
                  <c:v>5</c:v>
                </c:pt>
                <c:pt idx="155">
                  <c:v>3</c:v>
                </c:pt>
                <c:pt idx="156">
                  <c:v>1</c:v>
                </c:pt>
                <c:pt idx="157">
                  <c:v>3</c:v>
                </c:pt>
                <c:pt idx="158">
                  <c:v>5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3</c:v>
                </c:pt>
                <c:pt idx="163">
                  <c:v>2</c:v>
                </c:pt>
                <c:pt idx="164">
                  <c:v>1</c:v>
                </c:pt>
                <c:pt idx="165">
                  <c:v>10</c:v>
                </c:pt>
                <c:pt idx="166">
                  <c:v>4</c:v>
                </c:pt>
                <c:pt idx="167">
                  <c:v>1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1</c:v>
                </c:pt>
                <c:pt idx="172">
                  <c:v>6</c:v>
                </c:pt>
                <c:pt idx="173">
                  <c:v>1</c:v>
                </c:pt>
                <c:pt idx="174">
                  <c:v>4</c:v>
                </c:pt>
                <c:pt idx="175">
                  <c:v>3</c:v>
                </c:pt>
                <c:pt idx="176">
                  <c:v>1</c:v>
                </c:pt>
                <c:pt idx="177">
                  <c:v>3</c:v>
                </c:pt>
                <c:pt idx="178">
                  <c:v>1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5</c:v>
                </c:pt>
                <c:pt idx="185">
                  <c:v>2</c:v>
                </c:pt>
                <c:pt idx="186">
                  <c:v>2</c:v>
                </c:pt>
                <c:pt idx="187">
                  <c:v>1</c:v>
                </c:pt>
                <c:pt idx="188">
                  <c:v>3</c:v>
                </c:pt>
                <c:pt idx="189">
                  <c:v>1</c:v>
                </c:pt>
                <c:pt idx="190">
                  <c:v>4</c:v>
                </c:pt>
                <c:pt idx="191">
                  <c:v>2</c:v>
                </c:pt>
                <c:pt idx="192">
                  <c:v>4</c:v>
                </c:pt>
                <c:pt idx="193">
                  <c:v>4</c:v>
                </c:pt>
                <c:pt idx="194">
                  <c:v>7</c:v>
                </c:pt>
                <c:pt idx="195">
                  <c:v>2</c:v>
                </c:pt>
                <c:pt idx="196">
                  <c:v>1</c:v>
                </c:pt>
                <c:pt idx="197">
                  <c:v>1</c:v>
                </c:pt>
                <c:pt idx="198">
                  <c:v>3</c:v>
                </c:pt>
                <c:pt idx="199">
                  <c:v>1</c:v>
                </c:pt>
                <c:pt idx="200">
                  <c:v>4</c:v>
                </c:pt>
                <c:pt idx="201">
                  <c:v>1</c:v>
                </c:pt>
                <c:pt idx="202">
                  <c:v>3</c:v>
                </c:pt>
                <c:pt idx="203">
                  <c:v>1</c:v>
                </c:pt>
                <c:pt idx="204">
                  <c:v>3</c:v>
                </c:pt>
                <c:pt idx="205">
                  <c:v>9</c:v>
                </c:pt>
                <c:pt idx="206">
                  <c:v>3</c:v>
                </c:pt>
                <c:pt idx="207">
                  <c:v>1</c:v>
                </c:pt>
                <c:pt idx="208">
                  <c:v>7</c:v>
                </c:pt>
                <c:pt idx="209">
                  <c:v>3</c:v>
                </c:pt>
                <c:pt idx="210">
                  <c:v>4</c:v>
                </c:pt>
                <c:pt idx="211">
                  <c:v>1</c:v>
                </c:pt>
                <c:pt idx="212">
                  <c:v>3</c:v>
                </c:pt>
                <c:pt idx="213">
                  <c:v>1</c:v>
                </c:pt>
                <c:pt idx="214">
                  <c:v>2</c:v>
                </c:pt>
                <c:pt idx="215">
                  <c:v>3</c:v>
                </c:pt>
                <c:pt idx="216">
                  <c:v>3</c:v>
                </c:pt>
                <c:pt idx="217">
                  <c:v>2</c:v>
                </c:pt>
                <c:pt idx="218">
                  <c:v>3</c:v>
                </c:pt>
                <c:pt idx="219">
                  <c:v>5</c:v>
                </c:pt>
                <c:pt idx="220">
                  <c:v>2</c:v>
                </c:pt>
                <c:pt idx="221">
                  <c:v>2</c:v>
                </c:pt>
                <c:pt idx="222">
                  <c:v>3</c:v>
                </c:pt>
                <c:pt idx="223">
                  <c:v>1</c:v>
                </c:pt>
                <c:pt idx="224">
                  <c:v>3</c:v>
                </c:pt>
                <c:pt idx="225">
                  <c:v>2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2</c:v>
                </c:pt>
                <c:pt idx="230">
                  <c:v>6</c:v>
                </c:pt>
                <c:pt idx="231">
                  <c:v>4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1</c:v>
                </c:pt>
                <c:pt idx="237">
                  <c:v>4</c:v>
                </c:pt>
                <c:pt idx="238">
                  <c:v>6</c:v>
                </c:pt>
                <c:pt idx="239">
                  <c:v>2</c:v>
                </c:pt>
                <c:pt idx="240">
                  <c:v>6</c:v>
                </c:pt>
                <c:pt idx="241">
                  <c:v>4</c:v>
                </c:pt>
                <c:pt idx="242">
                  <c:v>2</c:v>
                </c:pt>
                <c:pt idx="243">
                  <c:v>6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5</c:v>
                </c:pt>
                <c:pt idx="251">
                  <c:v>4</c:v>
                </c:pt>
                <c:pt idx="252">
                  <c:v>1</c:v>
                </c:pt>
                <c:pt idx="253">
                  <c:v>2</c:v>
                </c:pt>
                <c:pt idx="254">
                  <c:v>3</c:v>
                </c:pt>
                <c:pt idx="255">
                  <c:v>2</c:v>
                </c:pt>
                <c:pt idx="256">
                  <c:v>2</c:v>
                </c:pt>
                <c:pt idx="257">
                  <c:v>4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1</c:v>
                </c:pt>
                <c:pt idx="262">
                  <c:v>5</c:v>
                </c:pt>
                <c:pt idx="263">
                  <c:v>2</c:v>
                </c:pt>
                <c:pt idx="264">
                  <c:v>3</c:v>
                </c:pt>
                <c:pt idx="265">
                  <c:v>1</c:v>
                </c:pt>
                <c:pt idx="266">
                  <c:v>1</c:v>
                </c:pt>
                <c:pt idx="267">
                  <c:v>4</c:v>
                </c:pt>
                <c:pt idx="268">
                  <c:v>5</c:v>
                </c:pt>
                <c:pt idx="269">
                  <c:v>1</c:v>
                </c:pt>
                <c:pt idx="270">
                  <c:v>2</c:v>
                </c:pt>
                <c:pt idx="271">
                  <c:v>2</c:v>
                </c:pt>
                <c:pt idx="272">
                  <c:v>4</c:v>
                </c:pt>
                <c:pt idx="273">
                  <c:v>1</c:v>
                </c:pt>
                <c:pt idx="274">
                  <c:v>4</c:v>
                </c:pt>
                <c:pt idx="275">
                  <c:v>4</c:v>
                </c:pt>
                <c:pt idx="276">
                  <c:v>3</c:v>
                </c:pt>
                <c:pt idx="277">
                  <c:v>3</c:v>
                </c:pt>
                <c:pt idx="278">
                  <c:v>4</c:v>
                </c:pt>
                <c:pt idx="279">
                  <c:v>2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2</c:v>
                </c:pt>
                <c:pt idx="284">
                  <c:v>1</c:v>
                </c:pt>
                <c:pt idx="285">
                  <c:v>3</c:v>
                </c:pt>
                <c:pt idx="286">
                  <c:v>2</c:v>
                </c:pt>
                <c:pt idx="287">
                  <c:v>2</c:v>
                </c:pt>
                <c:pt idx="288">
                  <c:v>1</c:v>
                </c:pt>
                <c:pt idx="289">
                  <c:v>4</c:v>
                </c:pt>
                <c:pt idx="290">
                  <c:v>2</c:v>
                </c:pt>
                <c:pt idx="291">
                  <c:v>1</c:v>
                </c:pt>
                <c:pt idx="292">
                  <c:v>2</c:v>
                </c:pt>
                <c:pt idx="293">
                  <c:v>7</c:v>
                </c:pt>
                <c:pt idx="294">
                  <c:v>1</c:v>
                </c:pt>
                <c:pt idx="295">
                  <c:v>1</c:v>
                </c:pt>
                <c:pt idx="296">
                  <c:v>4</c:v>
                </c:pt>
                <c:pt idx="297">
                  <c:v>4</c:v>
                </c:pt>
                <c:pt idx="298">
                  <c:v>7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4</c:v>
                </c:pt>
                <c:pt idx="303">
                  <c:v>3</c:v>
                </c:pt>
                <c:pt idx="304">
                  <c:v>4</c:v>
                </c:pt>
                <c:pt idx="305">
                  <c:v>4</c:v>
                </c:pt>
                <c:pt idx="306">
                  <c:v>3</c:v>
                </c:pt>
                <c:pt idx="307">
                  <c:v>1</c:v>
                </c:pt>
                <c:pt idx="308">
                  <c:v>1</c:v>
                </c:pt>
                <c:pt idx="309">
                  <c:v>2</c:v>
                </c:pt>
                <c:pt idx="310">
                  <c:v>3</c:v>
                </c:pt>
                <c:pt idx="311">
                  <c:v>3</c:v>
                </c:pt>
                <c:pt idx="312">
                  <c:v>1</c:v>
                </c:pt>
                <c:pt idx="313">
                  <c:v>3</c:v>
                </c:pt>
                <c:pt idx="314">
                  <c:v>2</c:v>
                </c:pt>
                <c:pt idx="315">
                  <c:v>3</c:v>
                </c:pt>
                <c:pt idx="316">
                  <c:v>2</c:v>
                </c:pt>
                <c:pt idx="317">
                  <c:v>2</c:v>
                </c:pt>
                <c:pt idx="318">
                  <c:v>3</c:v>
                </c:pt>
                <c:pt idx="319">
                  <c:v>3</c:v>
                </c:pt>
                <c:pt idx="320">
                  <c:v>1</c:v>
                </c:pt>
                <c:pt idx="321">
                  <c:v>2</c:v>
                </c:pt>
                <c:pt idx="322">
                  <c:v>3</c:v>
                </c:pt>
                <c:pt idx="323">
                  <c:v>2</c:v>
                </c:pt>
                <c:pt idx="324">
                  <c:v>3</c:v>
                </c:pt>
                <c:pt idx="325">
                  <c:v>3</c:v>
                </c:pt>
                <c:pt idx="326">
                  <c:v>1</c:v>
                </c:pt>
                <c:pt idx="327">
                  <c:v>5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5</c:v>
                </c:pt>
                <c:pt idx="332">
                  <c:v>5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3</c:v>
                </c:pt>
                <c:pt idx="337">
                  <c:v>2</c:v>
                </c:pt>
                <c:pt idx="338">
                  <c:v>4</c:v>
                </c:pt>
                <c:pt idx="339">
                  <c:v>2</c:v>
                </c:pt>
                <c:pt idx="340">
                  <c:v>1</c:v>
                </c:pt>
                <c:pt idx="341">
                  <c:v>3</c:v>
                </c:pt>
                <c:pt idx="342">
                  <c:v>1</c:v>
                </c:pt>
                <c:pt idx="343">
                  <c:v>1</c:v>
                </c:pt>
                <c:pt idx="344">
                  <c:v>3</c:v>
                </c:pt>
                <c:pt idx="345">
                  <c:v>1</c:v>
                </c:pt>
                <c:pt idx="346">
                  <c:v>1</c:v>
                </c:pt>
                <c:pt idx="347">
                  <c:v>4</c:v>
                </c:pt>
                <c:pt idx="348">
                  <c:v>2</c:v>
                </c:pt>
                <c:pt idx="3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C-4360-9755-25D366076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4509487"/>
        <c:axId val="2074511407"/>
      </c:barChart>
      <c:catAx>
        <c:axId val="207450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11407"/>
        <c:crosses val="autoZero"/>
        <c:auto val="1"/>
        <c:lblAlgn val="ctr"/>
        <c:lblOffset val="100"/>
        <c:noMultiLvlLbl val="0"/>
      </c:catAx>
      <c:valAx>
        <c:axId val="207451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0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25">
      <a:fgClr>
        <a:schemeClr val="accent1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[Grocery_Inventory_and_Sales_Dataset.xlsx]EDA!PivotTable3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EDA!$B$387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EDA!$A$388:$A$509</c:f>
              <c:strCache>
                <c:ptCount val="121"/>
                <c:pt idx="0">
                  <c:v>All-Purpose Flour</c:v>
                </c:pt>
                <c:pt idx="1">
                  <c:v>Almond Flour</c:v>
                </c:pt>
                <c:pt idx="2">
                  <c:v>Anchovies</c:v>
                </c:pt>
                <c:pt idx="3">
                  <c:v>Apple</c:v>
                </c:pt>
                <c:pt idx="4">
                  <c:v>Apricot</c:v>
                </c:pt>
                <c:pt idx="5">
                  <c:v>Arabica Coffee</c:v>
                </c:pt>
                <c:pt idx="6">
                  <c:v>Arborio Rice</c:v>
                </c:pt>
                <c:pt idx="7">
                  <c:v>Asparagus</c:v>
                </c:pt>
                <c:pt idx="8">
                  <c:v>Avocado Oil</c:v>
                </c:pt>
                <c:pt idx="9">
                  <c:v>Banana</c:v>
                </c:pt>
                <c:pt idx="10">
                  <c:v>Basmati Rice</c:v>
                </c:pt>
                <c:pt idx="11">
                  <c:v>Bell Pepper</c:v>
                </c:pt>
                <c:pt idx="12">
                  <c:v>Black Coffee</c:v>
                </c:pt>
                <c:pt idx="13">
                  <c:v>Black Rice</c:v>
                </c:pt>
                <c:pt idx="14">
                  <c:v>Black Tea</c:v>
                </c:pt>
                <c:pt idx="15">
                  <c:v>Blueberries</c:v>
                </c:pt>
                <c:pt idx="16">
                  <c:v>Bread Flour</c:v>
                </c:pt>
                <c:pt idx="17">
                  <c:v>Broccoli</c:v>
                </c:pt>
                <c:pt idx="18">
                  <c:v>Brown Rice</c:v>
                </c:pt>
                <c:pt idx="19">
                  <c:v>Butter</c:v>
                </c:pt>
                <c:pt idx="20">
                  <c:v>Butter Biscuit</c:v>
                </c:pt>
                <c:pt idx="21">
                  <c:v>Buttermilk</c:v>
                </c:pt>
                <c:pt idx="22">
                  <c:v>Cabbage</c:v>
                </c:pt>
                <c:pt idx="23">
                  <c:v>Canola Oil</c:v>
                </c:pt>
                <c:pt idx="24">
                  <c:v>Carrot</c:v>
                </c:pt>
                <c:pt idx="25">
                  <c:v>Cauliflower</c:v>
                </c:pt>
                <c:pt idx="26">
                  <c:v>Cheddar Cheese</c:v>
                </c:pt>
                <c:pt idx="27">
                  <c:v>Cheese</c:v>
                </c:pt>
                <c:pt idx="28">
                  <c:v>Cherry</c:v>
                </c:pt>
                <c:pt idx="29">
                  <c:v>Chocolate Biscuit</c:v>
                </c:pt>
                <c:pt idx="30">
                  <c:v>Coconut</c:v>
                </c:pt>
                <c:pt idx="31">
                  <c:v>Coconut Oil</c:v>
                </c:pt>
                <c:pt idx="32">
                  <c:v>Coconut Sugar</c:v>
                </c:pt>
                <c:pt idx="33">
                  <c:v>Cod</c:v>
                </c:pt>
                <c:pt idx="34">
                  <c:v>Corn Oil</c:v>
                </c:pt>
                <c:pt idx="35">
                  <c:v>Cottage Cheese</c:v>
                </c:pt>
                <c:pt idx="36">
                  <c:v>Cream</c:v>
                </c:pt>
                <c:pt idx="37">
                  <c:v>Cucumber</c:v>
                </c:pt>
                <c:pt idx="38">
                  <c:v>Digestive Biscuit</c:v>
                </c:pt>
                <c:pt idx="39">
                  <c:v>Egg (Chicken)</c:v>
                </c:pt>
                <c:pt idx="40">
                  <c:v>Egg (Duck)</c:v>
                </c:pt>
                <c:pt idx="41">
                  <c:v>Egg (Goose)</c:v>
                </c:pt>
                <c:pt idx="42">
                  <c:v>Egg (Quail)</c:v>
                </c:pt>
                <c:pt idx="43">
                  <c:v>Egg (Turkey)</c:v>
                </c:pt>
                <c:pt idx="44">
                  <c:v>Eggplant</c:v>
                </c:pt>
                <c:pt idx="45">
                  <c:v>Evaporated Milk</c:v>
                </c:pt>
                <c:pt idx="46">
                  <c:v>Feta Cheese</c:v>
                </c:pt>
                <c:pt idx="47">
                  <c:v>Garlic</c:v>
                </c:pt>
                <c:pt idx="48">
                  <c:v>Gouda Cheese</c:v>
                </c:pt>
                <c:pt idx="49">
                  <c:v>Grapes</c:v>
                </c:pt>
                <c:pt idx="50">
                  <c:v>Greek Yogurt</c:v>
                </c:pt>
                <c:pt idx="51">
                  <c:v>Green Beans</c:v>
                </c:pt>
                <c:pt idx="52">
                  <c:v>Green Coffee</c:v>
                </c:pt>
                <c:pt idx="53">
                  <c:v>Green Tea</c:v>
                </c:pt>
                <c:pt idx="54">
                  <c:v>Haddock</c:v>
                </c:pt>
                <c:pt idx="55">
                  <c:v>Halibut</c:v>
                </c:pt>
                <c:pt idx="56">
                  <c:v>Heavy Cream</c:v>
                </c:pt>
                <c:pt idx="57">
                  <c:v>Herbal Tea</c:v>
                </c:pt>
                <c:pt idx="58">
                  <c:v>Jasmine Rice</c:v>
                </c:pt>
                <c:pt idx="59">
                  <c:v>Kale</c:v>
                </c:pt>
                <c:pt idx="60">
                  <c:v>Kiwi</c:v>
                </c:pt>
                <c:pt idx="61">
                  <c:v>Lemon</c:v>
                </c:pt>
                <c:pt idx="62">
                  <c:v>Lettuce</c:v>
                </c:pt>
                <c:pt idx="63">
                  <c:v>Lime</c:v>
                </c:pt>
                <c:pt idx="64">
                  <c:v>Long Grain Rice</c:v>
                </c:pt>
                <c:pt idx="65">
                  <c:v>Mackerel</c:v>
                </c:pt>
                <c:pt idx="66">
                  <c:v>Mango</c:v>
                </c:pt>
                <c:pt idx="67">
                  <c:v>Milk</c:v>
                </c:pt>
                <c:pt idx="68">
                  <c:v>Mozzarella Cheese</c:v>
                </c:pt>
                <c:pt idx="69">
                  <c:v>Multigrain Bread</c:v>
                </c:pt>
                <c:pt idx="70">
                  <c:v>Mushrooms</c:v>
                </c:pt>
                <c:pt idx="71">
                  <c:v>Oatmeal Biscuit</c:v>
                </c:pt>
                <c:pt idx="72">
                  <c:v>Olive Oil</c:v>
                </c:pt>
                <c:pt idx="73">
                  <c:v>Onion</c:v>
                </c:pt>
                <c:pt idx="74">
                  <c:v>Orange</c:v>
                </c:pt>
                <c:pt idx="75">
                  <c:v>Palm Oil</c:v>
                </c:pt>
                <c:pt idx="76">
                  <c:v>Papaya</c:v>
                </c:pt>
                <c:pt idx="77">
                  <c:v>Parmesan Cheese</c:v>
                </c:pt>
                <c:pt idx="78">
                  <c:v>Peach</c:v>
                </c:pt>
                <c:pt idx="79">
                  <c:v>Peanut Oil</c:v>
                </c:pt>
                <c:pt idx="80">
                  <c:v>Pear</c:v>
                </c:pt>
                <c:pt idx="81">
                  <c:v>Peas</c:v>
                </c:pt>
                <c:pt idx="82">
                  <c:v>Pineapple</c:v>
                </c:pt>
                <c:pt idx="83">
                  <c:v>Plum</c:v>
                </c:pt>
                <c:pt idx="84">
                  <c:v>Pomegranate</c:v>
                </c:pt>
                <c:pt idx="85">
                  <c:v>Potato</c:v>
                </c:pt>
                <c:pt idx="86">
                  <c:v>Powdered Sugar</c:v>
                </c:pt>
                <c:pt idx="87">
                  <c:v>Raw Sugar</c:v>
                </c:pt>
                <c:pt idx="88">
                  <c:v>Rice Flour</c:v>
                </c:pt>
                <c:pt idx="89">
                  <c:v>Ricotta Cheese</c:v>
                </c:pt>
                <c:pt idx="90">
                  <c:v>Robusta Coffee</c:v>
                </c:pt>
                <c:pt idx="91">
                  <c:v>Rye Bread</c:v>
                </c:pt>
                <c:pt idx="92">
                  <c:v>Salmon</c:v>
                </c:pt>
                <c:pt idx="93">
                  <c:v>Sardines</c:v>
                </c:pt>
                <c:pt idx="94">
                  <c:v>Sesame Oil</c:v>
                </c:pt>
                <c:pt idx="95">
                  <c:v>Short Grain Rice</c:v>
                </c:pt>
                <c:pt idx="96">
                  <c:v>Sour Cream</c:v>
                </c:pt>
                <c:pt idx="97">
                  <c:v>Sourdough Bread</c:v>
                </c:pt>
                <c:pt idx="98">
                  <c:v>Spinach</c:v>
                </c:pt>
                <c:pt idx="99">
                  <c:v>Strawberries</c:v>
                </c:pt>
                <c:pt idx="100">
                  <c:v>Sunflower Oil</c:v>
                </c:pt>
                <c:pt idx="101">
                  <c:v>Sushi Rice</c:v>
                </c:pt>
                <c:pt idx="102">
                  <c:v>Sweet Potato</c:v>
                </c:pt>
                <c:pt idx="103">
                  <c:v>Swiss Cheese</c:v>
                </c:pt>
                <c:pt idx="104">
                  <c:v>Tilapia</c:v>
                </c:pt>
                <c:pt idx="105">
                  <c:v>Tomato</c:v>
                </c:pt>
                <c:pt idx="106">
                  <c:v>Trout</c:v>
                </c:pt>
                <c:pt idx="107">
                  <c:v>Tuna</c:v>
                </c:pt>
                <c:pt idx="108">
                  <c:v>Vanilla Biscuit</c:v>
                </c:pt>
                <c:pt idx="109">
                  <c:v>Vegetable Oil</c:v>
                </c:pt>
                <c:pt idx="110">
                  <c:v>Watermelon</c:v>
                </c:pt>
                <c:pt idx="111">
                  <c:v>Whipped Cream</c:v>
                </c:pt>
                <c:pt idx="112">
                  <c:v>White Bread</c:v>
                </c:pt>
                <c:pt idx="113">
                  <c:v>White Rice</c:v>
                </c:pt>
                <c:pt idx="114">
                  <c:v>White Sugar</c:v>
                </c:pt>
                <c:pt idx="115">
                  <c:v>White Tea</c:v>
                </c:pt>
                <c:pt idx="116">
                  <c:v>Whole Wheat Bread</c:v>
                </c:pt>
                <c:pt idx="117">
                  <c:v>Whole Wheat Flour</c:v>
                </c:pt>
                <c:pt idx="118">
                  <c:v>Wild Rice</c:v>
                </c:pt>
                <c:pt idx="119">
                  <c:v>Yogurt</c:v>
                </c:pt>
                <c:pt idx="120">
                  <c:v>Zucchini</c:v>
                </c:pt>
              </c:strCache>
            </c:strRef>
          </c:cat>
          <c:val>
            <c:numRef>
              <c:f>EDA!$B$388:$B$509</c:f>
              <c:numCache>
                <c:formatCode>0</c:formatCode>
                <c:ptCount val="121"/>
                <c:pt idx="0">
                  <c:v>159</c:v>
                </c:pt>
                <c:pt idx="1">
                  <c:v>582</c:v>
                </c:pt>
                <c:pt idx="2">
                  <c:v>816</c:v>
                </c:pt>
                <c:pt idx="3">
                  <c:v>417</c:v>
                </c:pt>
                <c:pt idx="4">
                  <c:v>477</c:v>
                </c:pt>
                <c:pt idx="5">
                  <c:v>854</c:v>
                </c:pt>
                <c:pt idx="6">
                  <c:v>342</c:v>
                </c:pt>
                <c:pt idx="7">
                  <c:v>438</c:v>
                </c:pt>
                <c:pt idx="8">
                  <c:v>280</c:v>
                </c:pt>
                <c:pt idx="9">
                  <c:v>272</c:v>
                </c:pt>
                <c:pt idx="10">
                  <c:v>234</c:v>
                </c:pt>
                <c:pt idx="11">
                  <c:v>867</c:v>
                </c:pt>
                <c:pt idx="12">
                  <c:v>517</c:v>
                </c:pt>
                <c:pt idx="13">
                  <c:v>680</c:v>
                </c:pt>
                <c:pt idx="14">
                  <c:v>278</c:v>
                </c:pt>
                <c:pt idx="15">
                  <c:v>428</c:v>
                </c:pt>
                <c:pt idx="16">
                  <c:v>1120</c:v>
                </c:pt>
                <c:pt idx="17">
                  <c:v>604</c:v>
                </c:pt>
                <c:pt idx="18">
                  <c:v>440</c:v>
                </c:pt>
                <c:pt idx="19">
                  <c:v>241</c:v>
                </c:pt>
                <c:pt idx="20">
                  <c:v>263</c:v>
                </c:pt>
                <c:pt idx="21">
                  <c:v>365</c:v>
                </c:pt>
                <c:pt idx="22">
                  <c:v>522</c:v>
                </c:pt>
                <c:pt idx="23">
                  <c:v>575</c:v>
                </c:pt>
                <c:pt idx="24">
                  <c:v>443</c:v>
                </c:pt>
                <c:pt idx="25">
                  <c:v>909</c:v>
                </c:pt>
                <c:pt idx="26">
                  <c:v>585</c:v>
                </c:pt>
                <c:pt idx="27">
                  <c:v>514</c:v>
                </c:pt>
                <c:pt idx="28">
                  <c:v>159</c:v>
                </c:pt>
                <c:pt idx="29">
                  <c:v>562</c:v>
                </c:pt>
                <c:pt idx="30">
                  <c:v>396</c:v>
                </c:pt>
                <c:pt idx="31">
                  <c:v>266</c:v>
                </c:pt>
                <c:pt idx="32">
                  <c:v>228</c:v>
                </c:pt>
                <c:pt idx="33">
                  <c:v>359</c:v>
                </c:pt>
                <c:pt idx="34">
                  <c:v>414</c:v>
                </c:pt>
                <c:pt idx="35">
                  <c:v>261</c:v>
                </c:pt>
                <c:pt idx="36">
                  <c:v>304</c:v>
                </c:pt>
                <c:pt idx="37">
                  <c:v>476</c:v>
                </c:pt>
                <c:pt idx="38">
                  <c:v>577</c:v>
                </c:pt>
                <c:pt idx="39">
                  <c:v>306</c:v>
                </c:pt>
                <c:pt idx="40">
                  <c:v>450</c:v>
                </c:pt>
                <c:pt idx="41">
                  <c:v>748</c:v>
                </c:pt>
                <c:pt idx="42">
                  <c:v>425</c:v>
                </c:pt>
                <c:pt idx="43">
                  <c:v>540</c:v>
                </c:pt>
                <c:pt idx="44">
                  <c:v>567</c:v>
                </c:pt>
                <c:pt idx="45">
                  <c:v>342</c:v>
                </c:pt>
                <c:pt idx="46">
                  <c:v>534</c:v>
                </c:pt>
                <c:pt idx="47">
                  <c:v>179</c:v>
                </c:pt>
                <c:pt idx="48">
                  <c:v>492</c:v>
                </c:pt>
                <c:pt idx="49">
                  <c:v>820</c:v>
                </c:pt>
                <c:pt idx="50">
                  <c:v>398</c:v>
                </c:pt>
                <c:pt idx="51">
                  <c:v>415</c:v>
                </c:pt>
                <c:pt idx="52">
                  <c:v>407</c:v>
                </c:pt>
                <c:pt idx="53">
                  <c:v>484</c:v>
                </c:pt>
                <c:pt idx="54">
                  <c:v>799</c:v>
                </c:pt>
                <c:pt idx="55">
                  <c:v>392</c:v>
                </c:pt>
                <c:pt idx="56">
                  <c:v>546</c:v>
                </c:pt>
                <c:pt idx="57">
                  <c:v>292</c:v>
                </c:pt>
                <c:pt idx="58">
                  <c:v>620</c:v>
                </c:pt>
                <c:pt idx="59">
                  <c:v>324</c:v>
                </c:pt>
                <c:pt idx="60">
                  <c:v>258</c:v>
                </c:pt>
                <c:pt idx="61">
                  <c:v>602</c:v>
                </c:pt>
                <c:pt idx="62">
                  <c:v>268</c:v>
                </c:pt>
                <c:pt idx="63">
                  <c:v>308</c:v>
                </c:pt>
                <c:pt idx="64">
                  <c:v>455</c:v>
                </c:pt>
                <c:pt idx="65">
                  <c:v>484</c:v>
                </c:pt>
                <c:pt idx="66">
                  <c:v>725</c:v>
                </c:pt>
                <c:pt idx="67">
                  <c:v>160</c:v>
                </c:pt>
                <c:pt idx="68">
                  <c:v>330</c:v>
                </c:pt>
                <c:pt idx="69">
                  <c:v>517</c:v>
                </c:pt>
                <c:pt idx="70">
                  <c:v>441</c:v>
                </c:pt>
                <c:pt idx="71">
                  <c:v>294</c:v>
                </c:pt>
                <c:pt idx="72">
                  <c:v>346</c:v>
                </c:pt>
                <c:pt idx="73">
                  <c:v>543</c:v>
                </c:pt>
                <c:pt idx="74">
                  <c:v>735</c:v>
                </c:pt>
                <c:pt idx="75">
                  <c:v>430</c:v>
                </c:pt>
                <c:pt idx="76">
                  <c:v>429</c:v>
                </c:pt>
                <c:pt idx="77">
                  <c:v>593</c:v>
                </c:pt>
                <c:pt idx="78">
                  <c:v>438</c:v>
                </c:pt>
                <c:pt idx="79">
                  <c:v>413</c:v>
                </c:pt>
                <c:pt idx="80">
                  <c:v>537</c:v>
                </c:pt>
                <c:pt idx="81">
                  <c:v>383</c:v>
                </c:pt>
                <c:pt idx="82">
                  <c:v>420</c:v>
                </c:pt>
                <c:pt idx="83">
                  <c:v>411</c:v>
                </c:pt>
                <c:pt idx="84">
                  <c:v>766</c:v>
                </c:pt>
                <c:pt idx="85">
                  <c:v>194</c:v>
                </c:pt>
                <c:pt idx="86">
                  <c:v>491</c:v>
                </c:pt>
                <c:pt idx="87">
                  <c:v>312</c:v>
                </c:pt>
                <c:pt idx="88">
                  <c:v>288</c:v>
                </c:pt>
                <c:pt idx="89">
                  <c:v>604</c:v>
                </c:pt>
                <c:pt idx="90">
                  <c:v>398</c:v>
                </c:pt>
                <c:pt idx="91">
                  <c:v>431</c:v>
                </c:pt>
                <c:pt idx="92">
                  <c:v>605</c:v>
                </c:pt>
                <c:pt idx="93">
                  <c:v>371</c:v>
                </c:pt>
                <c:pt idx="94">
                  <c:v>723</c:v>
                </c:pt>
                <c:pt idx="95">
                  <c:v>314</c:v>
                </c:pt>
                <c:pt idx="96">
                  <c:v>278</c:v>
                </c:pt>
                <c:pt idx="97">
                  <c:v>480</c:v>
                </c:pt>
                <c:pt idx="98">
                  <c:v>330</c:v>
                </c:pt>
                <c:pt idx="99">
                  <c:v>279</c:v>
                </c:pt>
                <c:pt idx="100">
                  <c:v>341</c:v>
                </c:pt>
                <c:pt idx="101">
                  <c:v>470</c:v>
                </c:pt>
                <c:pt idx="102">
                  <c:v>433</c:v>
                </c:pt>
                <c:pt idx="103">
                  <c:v>636</c:v>
                </c:pt>
                <c:pt idx="104">
                  <c:v>656</c:v>
                </c:pt>
                <c:pt idx="105">
                  <c:v>271</c:v>
                </c:pt>
                <c:pt idx="106">
                  <c:v>517</c:v>
                </c:pt>
                <c:pt idx="107">
                  <c:v>602</c:v>
                </c:pt>
                <c:pt idx="108">
                  <c:v>263</c:v>
                </c:pt>
                <c:pt idx="109">
                  <c:v>335</c:v>
                </c:pt>
                <c:pt idx="110">
                  <c:v>461</c:v>
                </c:pt>
                <c:pt idx="111">
                  <c:v>364</c:v>
                </c:pt>
                <c:pt idx="112">
                  <c:v>586</c:v>
                </c:pt>
                <c:pt idx="113">
                  <c:v>172</c:v>
                </c:pt>
                <c:pt idx="114">
                  <c:v>429</c:v>
                </c:pt>
                <c:pt idx="115">
                  <c:v>592</c:v>
                </c:pt>
                <c:pt idx="116">
                  <c:v>202</c:v>
                </c:pt>
                <c:pt idx="117">
                  <c:v>472</c:v>
                </c:pt>
                <c:pt idx="118">
                  <c:v>392</c:v>
                </c:pt>
                <c:pt idx="119">
                  <c:v>608</c:v>
                </c:pt>
                <c:pt idx="120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1-44AA-A3B2-FF864D35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8163999"/>
        <c:axId val="2038164959"/>
      </c:barChart>
      <c:catAx>
        <c:axId val="203816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164959"/>
        <c:crosses val="autoZero"/>
        <c:auto val="1"/>
        <c:lblAlgn val="ctr"/>
        <c:lblOffset val="100"/>
        <c:noMultiLvlLbl val="0"/>
      </c:catAx>
      <c:valAx>
        <c:axId val="203816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16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10">
      <a:fgClr>
        <a:schemeClr val="accent1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</a:t>
            </a:r>
            <a:r>
              <a:rPr lang="en-IN" sz="1400" b="0" i="0" u="none" strike="noStrike" cap="none" baseline="0"/>
              <a:t>tock Quantity vs Sales Volume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Grocery_Inventory_and_Sales_Dat!$W$1</c:f>
              <c:strCache>
                <c:ptCount val="1"/>
                <c:pt idx="0">
                  <c:v>Sales_Volume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Grocery_Inventory_and_Sales_Dat!$G$2:$G$1009</c:f>
              <c:numCache>
                <c:formatCode>0</c:formatCode>
                <c:ptCount val="1008"/>
                <c:pt idx="0">
                  <c:v>22</c:v>
                </c:pt>
                <c:pt idx="1">
                  <c:v>45</c:v>
                </c:pt>
                <c:pt idx="2">
                  <c:v>30</c:v>
                </c:pt>
                <c:pt idx="3">
                  <c:v>12</c:v>
                </c:pt>
                <c:pt idx="4">
                  <c:v>37</c:v>
                </c:pt>
                <c:pt idx="5">
                  <c:v>55</c:v>
                </c:pt>
                <c:pt idx="6">
                  <c:v>96</c:v>
                </c:pt>
                <c:pt idx="7">
                  <c:v>44</c:v>
                </c:pt>
                <c:pt idx="8">
                  <c:v>91</c:v>
                </c:pt>
                <c:pt idx="9">
                  <c:v>43</c:v>
                </c:pt>
                <c:pt idx="10">
                  <c:v>62</c:v>
                </c:pt>
                <c:pt idx="11">
                  <c:v>91</c:v>
                </c:pt>
                <c:pt idx="12">
                  <c:v>26</c:v>
                </c:pt>
                <c:pt idx="13">
                  <c:v>95</c:v>
                </c:pt>
                <c:pt idx="14">
                  <c:v>54</c:v>
                </c:pt>
                <c:pt idx="15">
                  <c:v>94</c:v>
                </c:pt>
                <c:pt idx="16">
                  <c:v>27</c:v>
                </c:pt>
                <c:pt idx="17">
                  <c:v>49</c:v>
                </c:pt>
                <c:pt idx="18">
                  <c:v>55</c:v>
                </c:pt>
                <c:pt idx="19">
                  <c:v>65</c:v>
                </c:pt>
                <c:pt idx="20">
                  <c:v>72</c:v>
                </c:pt>
                <c:pt idx="21">
                  <c:v>49</c:v>
                </c:pt>
                <c:pt idx="22">
                  <c:v>81</c:v>
                </c:pt>
                <c:pt idx="23">
                  <c:v>88</c:v>
                </c:pt>
                <c:pt idx="24">
                  <c:v>63</c:v>
                </c:pt>
                <c:pt idx="25">
                  <c:v>31</c:v>
                </c:pt>
                <c:pt idx="26">
                  <c:v>97</c:v>
                </c:pt>
                <c:pt idx="27">
                  <c:v>72</c:v>
                </c:pt>
                <c:pt idx="28">
                  <c:v>16</c:v>
                </c:pt>
                <c:pt idx="29">
                  <c:v>77</c:v>
                </c:pt>
                <c:pt idx="30">
                  <c:v>19</c:v>
                </c:pt>
                <c:pt idx="31">
                  <c:v>18</c:v>
                </c:pt>
                <c:pt idx="32">
                  <c:v>47</c:v>
                </c:pt>
                <c:pt idx="33">
                  <c:v>77</c:v>
                </c:pt>
                <c:pt idx="34">
                  <c:v>46</c:v>
                </c:pt>
                <c:pt idx="35">
                  <c:v>39</c:v>
                </c:pt>
                <c:pt idx="36">
                  <c:v>75</c:v>
                </c:pt>
                <c:pt idx="37">
                  <c:v>48</c:v>
                </c:pt>
                <c:pt idx="38">
                  <c:v>61</c:v>
                </c:pt>
                <c:pt idx="39">
                  <c:v>60</c:v>
                </c:pt>
                <c:pt idx="40">
                  <c:v>24</c:v>
                </c:pt>
                <c:pt idx="41">
                  <c:v>12</c:v>
                </c:pt>
                <c:pt idx="42">
                  <c:v>84</c:v>
                </c:pt>
                <c:pt idx="43">
                  <c:v>51</c:v>
                </c:pt>
                <c:pt idx="44">
                  <c:v>65</c:v>
                </c:pt>
                <c:pt idx="45">
                  <c:v>67</c:v>
                </c:pt>
                <c:pt idx="46">
                  <c:v>14</c:v>
                </c:pt>
                <c:pt idx="47">
                  <c:v>45</c:v>
                </c:pt>
                <c:pt idx="48">
                  <c:v>92</c:v>
                </c:pt>
                <c:pt idx="49">
                  <c:v>41</c:v>
                </c:pt>
                <c:pt idx="50">
                  <c:v>41</c:v>
                </c:pt>
                <c:pt idx="51">
                  <c:v>85</c:v>
                </c:pt>
                <c:pt idx="52">
                  <c:v>44</c:v>
                </c:pt>
                <c:pt idx="53">
                  <c:v>92</c:v>
                </c:pt>
                <c:pt idx="54">
                  <c:v>62</c:v>
                </c:pt>
                <c:pt idx="55">
                  <c:v>26</c:v>
                </c:pt>
                <c:pt idx="56">
                  <c:v>59</c:v>
                </c:pt>
                <c:pt idx="57">
                  <c:v>88</c:v>
                </c:pt>
                <c:pt idx="58">
                  <c:v>91</c:v>
                </c:pt>
                <c:pt idx="59">
                  <c:v>28</c:v>
                </c:pt>
                <c:pt idx="60">
                  <c:v>51</c:v>
                </c:pt>
                <c:pt idx="61">
                  <c:v>46</c:v>
                </c:pt>
                <c:pt idx="62">
                  <c:v>82</c:v>
                </c:pt>
                <c:pt idx="63">
                  <c:v>100</c:v>
                </c:pt>
                <c:pt idx="64">
                  <c:v>51</c:v>
                </c:pt>
                <c:pt idx="65">
                  <c:v>61</c:v>
                </c:pt>
                <c:pt idx="66">
                  <c:v>99</c:v>
                </c:pt>
                <c:pt idx="67">
                  <c:v>13</c:v>
                </c:pt>
                <c:pt idx="68">
                  <c:v>45</c:v>
                </c:pt>
                <c:pt idx="69">
                  <c:v>73</c:v>
                </c:pt>
                <c:pt idx="70">
                  <c:v>39</c:v>
                </c:pt>
                <c:pt idx="71">
                  <c:v>29</c:v>
                </c:pt>
                <c:pt idx="72">
                  <c:v>12</c:v>
                </c:pt>
                <c:pt idx="73">
                  <c:v>96</c:v>
                </c:pt>
                <c:pt idx="74">
                  <c:v>35</c:v>
                </c:pt>
                <c:pt idx="75">
                  <c:v>89</c:v>
                </c:pt>
                <c:pt idx="76">
                  <c:v>60</c:v>
                </c:pt>
                <c:pt idx="77">
                  <c:v>20</c:v>
                </c:pt>
                <c:pt idx="78">
                  <c:v>28</c:v>
                </c:pt>
                <c:pt idx="79">
                  <c:v>20</c:v>
                </c:pt>
                <c:pt idx="80">
                  <c:v>38</c:v>
                </c:pt>
                <c:pt idx="81">
                  <c:v>99</c:v>
                </c:pt>
                <c:pt idx="82">
                  <c:v>92</c:v>
                </c:pt>
                <c:pt idx="83">
                  <c:v>41</c:v>
                </c:pt>
                <c:pt idx="84">
                  <c:v>44</c:v>
                </c:pt>
                <c:pt idx="85">
                  <c:v>47</c:v>
                </c:pt>
                <c:pt idx="86">
                  <c:v>21</c:v>
                </c:pt>
                <c:pt idx="87">
                  <c:v>85</c:v>
                </c:pt>
                <c:pt idx="88">
                  <c:v>29</c:v>
                </c:pt>
                <c:pt idx="89">
                  <c:v>64</c:v>
                </c:pt>
                <c:pt idx="90">
                  <c:v>66</c:v>
                </c:pt>
                <c:pt idx="91">
                  <c:v>75</c:v>
                </c:pt>
                <c:pt idx="92">
                  <c:v>53</c:v>
                </c:pt>
                <c:pt idx="93">
                  <c:v>43</c:v>
                </c:pt>
                <c:pt idx="94">
                  <c:v>74</c:v>
                </c:pt>
                <c:pt idx="95">
                  <c:v>27</c:v>
                </c:pt>
                <c:pt idx="96">
                  <c:v>91</c:v>
                </c:pt>
                <c:pt idx="97">
                  <c:v>52</c:v>
                </c:pt>
                <c:pt idx="98">
                  <c:v>43</c:v>
                </c:pt>
                <c:pt idx="99">
                  <c:v>56</c:v>
                </c:pt>
                <c:pt idx="100">
                  <c:v>66</c:v>
                </c:pt>
                <c:pt idx="101">
                  <c:v>84</c:v>
                </c:pt>
                <c:pt idx="102">
                  <c:v>37</c:v>
                </c:pt>
                <c:pt idx="103">
                  <c:v>29</c:v>
                </c:pt>
                <c:pt idx="104">
                  <c:v>13</c:v>
                </c:pt>
                <c:pt idx="105">
                  <c:v>63</c:v>
                </c:pt>
                <c:pt idx="106">
                  <c:v>95</c:v>
                </c:pt>
                <c:pt idx="107">
                  <c:v>58</c:v>
                </c:pt>
                <c:pt idx="108">
                  <c:v>57</c:v>
                </c:pt>
                <c:pt idx="109">
                  <c:v>33</c:v>
                </c:pt>
                <c:pt idx="110">
                  <c:v>62</c:v>
                </c:pt>
                <c:pt idx="111">
                  <c:v>89</c:v>
                </c:pt>
                <c:pt idx="112">
                  <c:v>23</c:v>
                </c:pt>
                <c:pt idx="113">
                  <c:v>56</c:v>
                </c:pt>
                <c:pt idx="114">
                  <c:v>86</c:v>
                </c:pt>
                <c:pt idx="115">
                  <c:v>60</c:v>
                </c:pt>
                <c:pt idx="116">
                  <c:v>70</c:v>
                </c:pt>
                <c:pt idx="117">
                  <c:v>47</c:v>
                </c:pt>
                <c:pt idx="118">
                  <c:v>95</c:v>
                </c:pt>
                <c:pt idx="119">
                  <c:v>20</c:v>
                </c:pt>
                <c:pt idx="120">
                  <c:v>19</c:v>
                </c:pt>
                <c:pt idx="121">
                  <c:v>74</c:v>
                </c:pt>
                <c:pt idx="122">
                  <c:v>61</c:v>
                </c:pt>
                <c:pt idx="123">
                  <c:v>34</c:v>
                </c:pt>
                <c:pt idx="124">
                  <c:v>29</c:v>
                </c:pt>
                <c:pt idx="125">
                  <c:v>14</c:v>
                </c:pt>
                <c:pt idx="126">
                  <c:v>20</c:v>
                </c:pt>
                <c:pt idx="127">
                  <c:v>40</c:v>
                </c:pt>
                <c:pt idx="128">
                  <c:v>91</c:v>
                </c:pt>
                <c:pt idx="129">
                  <c:v>99</c:v>
                </c:pt>
                <c:pt idx="130">
                  <c:v>34</c:v>
                </c:pt>
                <c:pt idx="131">
                  <c:v>100</c:v>
                </c:pt>
                <c:pt idx="132">
                  <c:v>79</c:v>
                </c:pt>
                <c:pt idx="133">
                  <c:v>62</c:v>
                </c:pt>
                <c:pt idx="134">
                  <c:v>25</c:v>
                </c:pt>
                <c:pt idx="135">
                  <c:v>47</c:v>
                </c:pt>
                <c:pt idx="136">
                  <c:v>15</c:v>
                </c:pt>
                <c:pt idx="137">
                  <c:v>19</c:v>
                </c:pt>
                <c:pt idx="138">
                  <c:v>58</c:v>
                </c:pt>
                <c:pt idx="139">
                  <c:v>11</c:v>
                </c:pt>
                <c:pt idx="140">
                  <c:v>99</c:v>
                </c:pt>
                <c:pt idx="141">
                  <c:v>26</c:v>
                </c:pt>
                <c:pt idx="142">
                  <c:v>70</c:v>
                </c:pt>
                <c:pt idx="143">
                  <c:v>50</c:v>
                </c:pt>
                <c:pt idx="144">
                  <c:v>55</c:v>
                </c:pt>
                <c:pt idx="145">
                  <c:v>31</c:v>
                </c:pt>
                <c:pt idx="146">
                  <c:v>63</c:v>
                </c:pt>
                <c:pt idx="147">
                  <c:v>73</c:v>
                </c:pt>
                <c:pt idx="148">
                  <c:v>12</c:v>
                </c:pt>
                <c:pt idx="149">
                  <c:v>53</c:v>
                </c:pt>
                <c:pt idx="150">
                  <c:v>68</c:v>
                </c:pt>
                <c:pt idx="151">
                  <c:v>80</c:v>
                </c:pt>
                <c:pt idx="152">
                  <c:v>92</c:v>
                </c:pt>
                <c:pt idx="153">
                  <c:v>31</c:v>
                </c:pt>
                <c:pt idx="154">
                  <c:v>31</c:v>
                </c:pt>
                <c:pt idx="155">
                  <c:v>76</c:v>
                </c:pt>
                <c:pt idx="156">
                  <c:v>57</c:v>
                </c:pt>
                <c:pt idx="157">
                  <c:v>92</c:v>
                </c:pt>
                <c:pt idx="158">
                  <c:v>88</c:v>
                </c:pt>
                <c:pt idx="159">
                  <c:v>99</c:v>
                </c:pt>
                <c:pt idx="160">
                  <c:v>44</c:v>
                </c:pt>
                <c:pt idx="161">
                  <c:v>48</c:v>
                </c:pt>
                <c:pt idx="162">
                  <c:v>27</c:v>
                </c:pt>
                <c:pt idx="163">
                  <c:v>34</c:v>
                </c:pt>
                <c:pt idx="164">
                  <c:v>41</c:v>
                </c:pt>
                <c:pt idx="165">
                  <c:v>56</c:v>
                </c:pt>
                <c:pt idx="166">
                  <c:v>22</c:v>
                </c:pt>
                <c:pt idx="167">
                  <c:v>40</c:v>
                </c:pt>
                <c:pt idx="168">
                  <c:v>50</c:v>
                </c:pt>
                <c:pt idx="169">
                  <c:v>89</c:v>
                </c:pt>
                <c:pt idx="170">
                  <c:v>76</c:v>
                </c:pt>
                <c:pt idx="171">
                  <c:v>67</c:v>
                </c:pt>
                <c:pt idx="172">
                  <c:v>62</c:v>
                </c:pt>
                <c:pt idx="173">
                  <c:v>75</c:v>
                </c:pt>
                <c:pt idx="174">
                  <c:v>75</c:v>
                </c:pt>
                <c:pt idx="175">
                  <c:v>29</c:v>
                </c:pt>
                <c:pt idx="176">
                  <c:v>34</c:v>
                </c:pt>
                <c:pt idx="177">
                  <c:v>15</c:v>
                </c:pt>
                <c:pt idx="178">
                  <c:v>88</c:v>
                </c:pt>
                <c:pt idx="179">
                  <c:v>40</c:v>
                </c:pt>
                <c:pt idx="180">
                  <c:v>10</c:v>
                </c:pt>
                <c:pt idx="181">
                  <c:v>21</c:v>
                </c:pt>
                <c:pt idx="182">
                  <c:v>75</c:v>
                </c:pt>
                <c:pt idx="183">
                  <c:v>56</c:v>
                </c:pt>
                <c:pt idx="184">
                  <c:v>69</c:v>
                </c:pt>
                <c:pt idx="185">
                  <c:v>56</c:v>
                </c:pt>
                <c:pt idx="186">
                  <c:v>24</c:v>
                </c:pt>
                <c:pt idx="187">
                  <c:v>30</c:v>
                </c:pt>
                <c:pt idx="188">
                  <c:v>36</c:v>
                </c:pt>
                <c:pt idx="189">
                  <c:v>93</c:v>
                </c:pt>
                <c:pt idx="190">
                  <c:v>96</c:v>
                </c:pt>
                <c:pt idx="191">
                  <c:v>60</c:v>
                </c:pt>
                <c:pt idx="192">
                  <c:v>97</c:v>
                </c:pt>
                <c:pt idx="193">
                  <c:v>11</c:v>
                </c:pt>
                <c:pt idx="194">
                  <c:v>14</c:v>
                </c:pt>
                <c:pt idx="195">
                  <c:v>88</c:v>
                </c:pt>
                <c:pt idx="196">
                  <c:v>24</c:v>
                </c:pt>
                <c:pt idx="197">
                  <c:v>93</c:v>
                </c:pt>
                <c:pt idx="198">
                  <c:v>68</c:v>
                </c:pt>
                <c:pt idx="199">
                  <c:v>28</c:v>
                </c:pt>
                <c:pt idx="200">
                  <c:v>21</c:v>
                </c:pt>
                <c:pt idx="201">
                  <c:v>92</c:v>
                </c:pt>
                <c:pt idx="202">
                  <c:v>68</c:v>
                </c:pt>
                <c:pt idx="203">
                  <c:v>46</c:v>
                </c:pt>
                <c:pt idx="204">
                  <c:v>47</c:v>
                </c:pt>
                <c:pt idx="205">
                  <c:v>52</c:v>
                </c:pt>
                <c:pt idx="206">
                  <c:v>51</c:v>
                </c:pt>
                <c:pt idx="207">
                  <c:v>14</c:v>
                </c:pt>
                <c:pt idx="208">
                  <c:v>62</c:v>
                </c:pt>
                <c:pt idx="209">
                  <c:v>40</c:v>
                </c:pt>
                <c:pt idx="210">
                  <c:v>50</c:v>
                </c:pt>
                <c:pt idx="211">
                  <c:v>77</c:v>
                </c:pt>
                <c:pt idx="212">
                  <c:v>31</c:v>
                </c:pt>
                <c:pt idx="213">
                  <c:v>35</c:v>
                </c:pt>
                <c:pt idx="214">
                  <c:v>31</c:v>
                </c:pt>
                <c:pt idx="215">
                  <c:v>56</c:v>
                </c:pt>
                <c:pt idx="216">
                  <c:v>90</c:v>
                </c:pt>
                <c:pt idx="217">
                  <c:v>79</c:v>
                </c:pt>
                <c:pt idx="218">
                  <c:v>29</c:v>
                </c:pt>
                <c:pt idx="219">
                  <c:v>46</c:v>
                </c:pt>
                <c:pt idx="220">
                  <c:v>42</c:v>
                </c:pt>
                <c:pt idx="221">
                  <c:v>16</c:v>
                </c:pt>
                <c:pt idx="222">
                  <c:v>89</c:v>
                </c:pt>
                <c:pt idx="223">
                  <c:v>20</c:v>
                </c:pt>
                <c:pt idx="224">
                  <c:v>37</c:v>
                </c:pt>
                <c:pt idx="225">
                  <c:v>97</c:v>
                </c:pt>
                <c:pt idx="226">
                  <c:v>98</c:v>
                </c:pt>
                <c:pt idx="227">
                  <c:v>37</c:v>
                </c:pt>
                <c:pt idx="228">
                  <c:v>97</c:v>
                </c:pt>
                <c:pt idx="229">
                  <c:v>97</c:v>
                </c:pt>
                <c:pt idx="230">
                  <c:v>90</c:v>
                </c:pt>
                <c:pt idx="231">
                  <c:v>46</c:v>
                </c:pt>
                <c:pt idx="232">
                  <c:v>40</c:v>
                </c:pt>
                <c:pt idx="233">
                  <c:v>77</c:v>
                </c:pt>
                <c:pt idx="234">
                  <c:v>62</c:v>
                </c:pt>
                <c:pt idx="235">
                  <c:v>59</c:v>
                </c:pt>
                <c:pt idx="236">
                  <c:v>23</c:v>
                </c:pt>
                <c:pt idx="237">
                  <c:v>39</c:v>
                </c:pt>
                <c:pt idx="238">
                  <c:v>68</c:v>
                </c:pt>
                <c:pt idx="239">
                  <c:v>75</c:v>
                </c:pt>
                <c:pt idx="240">
                  <c:v>96</c:v>
                </c:pt>
                <c:pt idx="241">
                  <c:v>17</c:v>
                </c:pt>
                <c:pt idx="242">
                  <c:v>23</c:v>
                </c:pt>
                <c:pt idx="243">
                  <c:v>15</c:v>
                </c:pt>
                <c:pt idx="244">
                  <c:v>71</c:v>
                </c:pt>
                <c:pt idx="245">
                  <c:v>97</c:v>
                </c:pt>
                <c:pt idx="246">
                  <c:v>29</c:v>
                </c:pt>
                <c:pt idx="247">
                  <c:v>46</c:v>
                </c:pt>
                <c:pt idx="248">
                  <c:v>76</c:v>
                </c:pt>
                <c:pt idx="249">
                  <c:v>59</c:v>
                </c:pt>
                <c:pt idx="250">
                  <c:v>92</c:v>
                </c:pt>
                <c:pt idx="251">
                  <c:v>28</c:v>
                </c:pt>
                <c:pt idx="252">
                  <c:v>19</c:v>
                </c:pt>
                <c:pt idx="253">
                  <c:v>85</c:v>
                </c:pt>
                <c:pt idx="254">
                  <c:v>57</c:v>
                </c:pt>
                <c:pt idx="255">
                  <c:v>95</c:v>
                </c:pt>
                <c:pt idx="256">
                  <c:v>84</c:v>
                </c:pt>
                <c:pt idx="257">
                  <c:v>31</c:v>
                </c:pt>
                <c:pt idx="258">
                  <c:v>41</c:v>
                </c:pt>
                <c:pt idx="259">
                  <c:v>97</c:v>
                </c:pt>
                <c:pt idx="260">
                  <c:v>43</c:v>
                </c:pt>
                <c:pt idx="261">
                  <c:v>74</c:v>
                </c:pt>
                <c:pt idx="262">
                  <c:v>70</c:v>
                </c:pt>
                <c:pt idx="263">
                  <c:v>69</c:v>
                </c:pt>
                <c:pt idx="264">
                  <c:v>67</c:v>
                </c:pt>
                <c:pt idx="265">
                  <c:v>18</c:v>
                </c:pt>
                <c:pt idx="266">
                  <c:v>22</c:v>
                </c:pt>
                <c:pt idx="267">
                  <c:v>88</c:v>
                </c:pt>
                <c:pt idx="268">
                  <c:v>78</c:v>
                </c:pt>
                <c:pt idx="269">
                  <c:v>83</c:v>
                </c:pt>
                <c:pt idx="270">
                  <c:v>42</c:v>
                </c:pt>
                <c:pt idx="271">
                  <c:v>49</c:v>
                </c:pt>
                <c:pt idx="272">
                  <c:v>17</c:v>
                </c:pt>
                <c:pt idx="273">
                  <c:v>52</c:v>
                </c:pt>
                <c:pt idx="274">
                  <c:v>79</c:v>
                </c:pt>
                <c:pt idx="275">
                  <c:v>35</c:v>
                </c:pt>
                <c:pt idx="276">
                  <c:v>76</c:v>
                </c:pt>
                <c:pt idx="277">
                  <c:v>93</c:v>
                </c:pt>
                <c:pt idx="278">
                  <c:v>40</c:v>
                </c:pt>
                <c:pt idx="279">
                  <c:v>19</c:v>
                </c:pt>
                <c:pt idx="280">
                  <c:v>70</c:v>
                </c:pt>
                <c:pt idx="281">
                  <c:v>90</c:v>
                </c:pt>
                <c:pt idx="282">
                  <c:v>77</c:v>
                </c:pt>
                <c:pt idx="283">
                  <c:v>38</c:v>
                </c:pt>
                <c:pt idx="284">
                  <c:v>93</c:v>
                </c:pt>
                <c:pt idx="285">
                  <c:v>23</c:v>
                </c:pt>
                <c:pt idx="286">
                  <c:v>51</c:v>
                </c:pt>
                <c:pt idx="287">
                  <c:v>57</c:v>
                </c:pt>
                <c:pt idx="288">
                  <c:v>59</c:v>
                </c:pt>
                <c:pt idx="289">
                  <c:v>89</c:v>
                </c:pt>
                <c:pt idx="290">
                  <c:v>53</c:v>
                </c:pt>
                <c:pt idx="291">
                  <c:v>11</c:v>
                </c:pt>
                <c:pt idx="292">
                  <c:v>59</c:v>
                </c:pt>
                <c:pt idx="293">
                  <c:v>34</c:v>
                </c:pt>
                <c:pt idx="294">
                  <c:v>25</c:v>
                </c:pt>
                <c:pt idx="295">
                  <c:v>81</c:v>
                </c:pt>
                <c:pt idx="296">
                  <c:v>81</c:v>
                </c:pt>
                <c:pt idx="297">
                  <c:v>71</c:v>
                </c:pt>
                <c:pt idx="298">
                  <c:v>52</c:v>
                </c:pt>
                <c:pt idx="299">
                  <c:v>26</c:v>
                </c:pt>
                <c:pt idx="300">
                  <c:v>84</c:v>
                </c:pt>
                <c:pt idx="301">
                  <c:v>28</c:v>
                </c:pt>
                <c:pt idx="302">
                  <c:v>94</c:v>
                </c:pt>
                <c:pt idx="303">
                  <c:v>47</c:v>
                </c:pt>
                <c:pt idx="304">
                  <c:v>20</c:v>
                </c:pt>
                <c:pt idx="305">
                  <c:v>84</c:v>
                </c:pt>
                <c:pt idx="306">
                  <c:v>100</c:v>
                </c:pt>
                <c:pt idx="307">
                  <c:v>74</c:v>
                </c:pt>
                <c:pt idx="308">
                  <c:v>27</c:v>
                </c:pt>
                <c:pt idx="309">
                  <c:v>91</c:v>
                </c:pt>
                <c:pt idx="310">
                  <c:v>82</c:v>
                </c:pt>
                <c:pt idx="311">
                  <c:v>84</c:v>
                </c:pt>
                <c:pt idx="312">
                  <c:v>18</c:v>
                </c:pt>
                <c:pt idx="313">
                  <c:v>12</c:v>
                </c:pt>
                <c:pt idx="314">
                  <c:v>85</c:v>
                </c:pt>
                <c:pt idx="315">
                  <c:v>33</c:v>
                </c:pt>
                <c:pt idx="316">
                  <c:v>59</c:v>
                </c:pt>
                <c:pt idx="317">
                  <c:v>22</c:v>
                </c:pt>
                <c:pt idx="318">
                  <c:v>67</c:v>
                </c:pt>
                <c:pt idx="319">
                  <c:v>78</c:v>
                </c:pt>
                <c:pt idx="320">
                  <c:v>72</c:v>
                </c:pt>
                <c:pt idx="321">
                  <c:v>63</c:v>
                </c:pt>
                <c:pt idx="322">
                  <c:v>30</c:v>
                </c:pt>
                <c:pt idx="323">
                  <c:v>36</c:v>
                </c:pt>
                <c:pt idx="324">
                  <c:v>88</c:v>
                </c:pt>
                <c:pt idx="325">
                  <c:v>95</c:v>
                </c:pt>
                <c:pt idx="326">
                  <c:v>30</c:v>
                </c:pt>
                <c:pt idx="327">
                  <c:v>31</c:v>
                </c:pt>
                <c:pt idx="328">
                  <c:v>16</c:v>
                </c:pt>
                <c:pt idx="329">
                  <c:v>14</c:v>
                </c:pt>
                <c:pt idx="330">
                  <c:v>44</c:v>
                </c:pt>
                <c:pt idx="331">
                  <c:v>69</c:v>
                </c:pt>
                <c:pt idx="332">
                  <c:v>71</c:v>
                </c:pt>
                <c:pt idx="333">
                  <c:v>92</c:v>
                </c:pt>
                <c:pt idx="334">
                  <c:v>49</c:v>
                </c:pt>
                <c:pt idx="335">
                  <c:v>52</c:v>
                </c:pt>
                <c:pt idx="336">
                  <c:v>56</c:v>
                </c:pt>
                <c:pt idx="337">
                  <c:v>16</c:v>
                </c:pt>
                <c:pt idx="338">
                  <c:v>52</c:v>
                </c:pt>
                <c:pt idx="339">
                  <c:v>91</c:v>
                </c:pt>
                <c:pt idx="340">
                  <c:v>58</c:v>
                </c:pt>
                <c:pt idx="341">
                  <c:v>47</c:v>
                </c:pt>
                <c:pt idx="342">
                  <c:v>50</c:v>
                </c:pt>
                <c:pt idx="343">
                  <c:v>43</c:v>
                </c:pt>
                <c:pt idx="344">
                  <c:v>68</c:v>
                </c:pt>
                <c:pt idx="345">
                  <c:v>19</c:v>
                </c:pt>
                <c:pt idx="346">
                  <c:v>70</c:v>
                </c:pt>
                <c:pt idx="347">
                  <c:v>97</c:v>
                </c:pt>
                <c:pt idx="348">
                  <c:v>87</c:v>
                </c:pt>
                <c:pt idx="349">
                  <c:v>58</c:v>
                </c:pt>
                <c:pt idx="350">
                  <c:v>16</c:v>
                </c:pt>
                <c:pt idx="351">
                  <c:v>65</c:v>
                </c:pt>
                <c:pt idx="352">
                  <c:v>15</c:v>
                </c:pt>
                <c:pt idx="353">
                  <c:v>75</c:v>
                </c:pt>
                <c:pt idx="354">
                  <c:v>80</c:v>
                </c:pt>
                <c:pt idx="355">
                  <c:v>84</c:v>
                </c:pt>
                <c:pt idx="356">
                  <c:v>17</c:v>
                </c:pt>
                <c:pt idx="357">
                  <c:v>64</c:v>
                </c:pt>
                <c:pt idx="358">
                  <c:v>76</c:v>
                </c:pt>
                <c:pt idx="359">
                  <c:v>77</c:v>
                </c:pt>
                <c:pt idx="360">
                  <c:v>18</c:v>
                </c:pt>
                <c:pt idx="361">
                  <c:v>51</c:v>
                </c:pt>
                <c:pt idx="362">
                  <c:v>68</c:v>
                </c:pt>
                <c:pt idx="363">
                  <c:v>46</c:v>
                </c:pt>
                <c:pt idx="364">
                  <c:v>98</c:v>
                </c:pt>
                <c:pt idx="365">
                  <c:v>50</c:v>
                </c:pt>
                <c:pt idx="366">
                  <c:v>88</c:v>
                </c:pt>
                <c:pt idx="367">
                  <c:v>26</c:v>
                </c:pt>
                <c:pt idx="368">
                  <c:v>43</c:v>
                </c:pt>
                <c:pt idx="369">
                  <c:v>46</c:v>
                </c:pt>
                <c:pt idx="370">
                  <c:v>19</c:v>
                </c:pt>
                <c:pt idx="371">
                  <c:v>61</c:v>
                </c:pt>
                <c:pt idx="372">
                  <c:v>43</c:v>
                </c:pt>
                <c:pt idx="373">
                  <c:v>80</c:v>
                </c:pt>
                <c:pt idx="374">
                  <c:v>34</c:v>
                </c:pt>
                <c:pt idx="375">
                  <c:v>88</c:v>
                </c:pt>
                <c:pt idx="376">
                  <c:v>89</c:v>
                </c:pt>
                <c:pt idx="377">
                  <c:v>26</c:v>
                </c:pt>
                <c:pt idx="378">
                  <c:v>26</c:v>
                </c:pt>
                <c:pt idx="379">
                  <c:v>37</c:v>
                </c:pt>
                <c:pt idx="380">
                  <c:v>76</c:v>
                </c:pt>
                <c:pt idx="381">
                  <c:v>80</c:v>
                </c:pt>
                <c:pt idx="382">
                  <c:v>100</c:v>
                </c:pt>
                <c:pt idx="383">
                  <c:v>21</c:v>
                </c:pt>
                <c:pt idx="384">
                  <c:v>33</c:v>
                </c:pt>
                <c:pt idx="385">
                  <c:v>43</c:v>
                </c:pt>
                <c:pt idx="386">
                  <c:v>34</c:v>
                </c:pt>
                <c:pt idx="387">
                  <c:v>82</c:v>
                </c:pt>
                <c:pt idx="388">
                  <c:v>17</c:v>
                </c:pt>
                <c:pt idx="389">
                  <c:v>36</c:v>
                </c:pt>
                <c:pt idx="390">
                  <c:v>65</c:v>
                </c:pt>
                <c:pt idx="391">
                  <c:v>45</c:v>
                </c:pt>
                <c:pt idx="392">
                  <c:v>35</c:v>
                </c:pt>
                <c:pt idx="393">
                  <c:v>96</c:v>
                </c:pt>
                <c:pt idx="394">
                  <c:v>56</c:v>
                </c:pt>
                <c:pt idx="395">
                  <c:v>49</c:v>
                </c:pt>
                <c:pt idx="396">
                  <c:v>100</c:v>
                </c:pt>
                <c:pt idx="397">
                  <c:v>30</c:v>
                </c:pt>
                <c:pt idx="398">
                  <c:v>20</c:v>
                </c:pt>
                <c:pt idx="399">
                  <c:v>85</c:v>
                </c:pt>
                <c:pt idx="400">
                  <c:v>86</c:v>
                </c:pt>
                <c:pt idx="401">
                  <c:v>65</c:v>
                </c:pt>
                <c:pt idx="402">
                  <c:v>67</c:v>
                </c:pt>
                <c:pt idx="403">
                  <c:v>88</c:v>
                </c:pt>
                <c:pt idx="404">
                  <c:v>14</c:v>
                </c:pt>
                <c:pt idx="405">
                  <c:v>85</c:v>
                </c:pt>
                <c:pt idx="406">
                  <c:v>74</c:v>
                </c:pt>
                <c:pt idx="407">
                  <c:v>21</c:v>
                </c:pt>
                <c:pt idx="408">
                  <c:v>22</c:v>
                </c:pt>
                <c:pt idx="409">
                  <c:v>91</c:v>
                </c:pt>
                <c:pt idx="410">
                  <c:v>85</c:v>
                </c:pt>
                <c:pt idx="411">
                  <c:v>12</c:v>
                </c:pt>
                <c:pt idx="412">
                  <c:v>43</c:v>
                </c:pt>
                <c:pt idx="413">
                  <c:v>92</c:v>
                </c:pt>
                <c:pt idx="414">
                  <c:v>23</c:v>
                </c:pt>
                <c:pt idx="415">
                  <c:v>77</c:v>
                </c:pt>
                <c:pt idx="416">
                  <c:v>65</c:v>
                </c:pt>
                <c:pt idx="417">
                  <c:v>82</c:v>
                </c:pt>
                <c:pt idx="418">
                  <c:v>20</c:v>
                </c:pt>
                <c:pt idx="419">
                  <c:v>31</c:v>
                </c:pt>
                <c:pt idx="420">
                  <c:v>36</c:v>
                </c:pt>
                <c:pt idx="421">
                  <c:v>59</c:v>
                </c:pt>
                <c:pt idx="422">
                  <c:v>11</c:v>
                </c:pt>
                <c:pt idx="423">
                  <c:v>24</c:v>
                </c:pt>
                <c:pt idx="424">
                  <c:v>75</c:v>
                </c:pt>
                <c:pt idx="425">
                  <c:v>11</c:v>
                </c:pt>
                <c:pt idx="426">
                  <c:v>60</c:v>
                </c:pt>
                <c:pt idx="427">
                  <c:v>91</c:v>
                </c:pt>
                <c:pt idx="428">
                  <c:v>43</c:v>
                </c:pt>
                <c:pt idx="429">
                  <c:v>25</c:v>
                </c:pt>
                <c:pt idx="430">
                  <c:v>96</c:v>
                </c:pt>
                <c:pt idx="431">
                  <c:v>30</c:v>
                </c:pt>
                <c:pt idx="432">
                  <c:v>56</c:v>
                </c:pt>
                <c:pt idx="433">
                  <c:v>91</c:v>
                </c:pt>
                <c:pt idx="434">
                  <c:v>27</c:v>
                </c:pt>
                <c:pt idx="435">
                  <c:v>28</c:v>
                </c:pt>
                <c:pt idx="436">
                  <c:v>92</c:v>
                </c:pt>
                <c:pt idx="437">
                  <c:v>37</c:v>
                </c:pt>
                <c:pt idx="438">
                  <c:v>28</c:v>
                </c:pt>
                <c:pt idx="439">
                  <c:v>30</c:v>
                </c:pt>
                <c:pt idx="440">
                  <c:v>98</c:v>
                </c:pt>
                <c:pt idx="441">
                  <c:v>65</c:v>
                </c:pt>
                <c:pt idx="442">
                  <c:v>42</c:v>
                </c:pt>
                <c:pt idx="443">
                  <c:v>63</c:v>
                </c:pt>
                <c:pt idx="444">
                  <c:v>85</c:v>
                </c:pt>
                <c:pt idx="445">
                  <c:v>44</c:v>
                </c:pt>
                <c:pt idx="446">
                  <c:v>26</c:v>
                </c:pt>
                <c:pt idx="447">
                  <c:v>49</c:v>
                </c:pt>
                <c:pt idx="448">
                  <c:v>59</c:v>
                </c:pt>
                <c:pt idx="449">
                  <c:v>19</c:v>
                </c:pt>
                <c:pt idx="450">
                  <c:v>47</c:v>
                </c:pt>
                <c:pt idx="451">
                  <c:v>98</c:v>
                </c:pt>
                <c:pt idx="452">
                  <c:v>51</c:v>
                </c:pt>
                <c:pt idx="453">
                  <c:v>100</c:v>
                </c:pt>
                <c:pt idx="454">
                  <c:v>55</c:v>
                </c:pt>
                <c:pt idx="455">
                  <c:v>14</c:v>
                </c:pt>
                <c:pt idx="456">
                  <c:v>29</c:v>
                </c:pt>
                <c:pt idx="457">
                  <c:v>100</c:v>
                </c:pt>
                <c:pt idx="458">
                  <c:v>49</c:v>
                </c:pt>
                <c:pt idx="459">
                  <c:v>75</c:v>
                </c:pt>
                <c:pt idx="460">
                  <c:v>82</c:v>
                </c:pt>
                <c:pt idx="461">
                  <c:v>68</c:v>
                </c:pt>
                <c:pt idx="462">
                  <c:v>70</c:v>
                </c:pt>
                <c:pt idx="463">
                  <c:v>49</c:v>
                </c:pt>
                <c:pt idx="464">
                  <c:v>89</c:v>
                </c:pt>
                <c:pt idx="465">
                  <c:v>88</c:v>
                </c:pt>
                <c:pt idx="466">
                  <c:v>39</c:v>
                </c:pt>
                <c:pt idx="467">
                  <c:v>87</c:v>
                </c:pt>
                <c:pt idx="468">
                  <c:v>93</c:v>
                </c:pt>
                <c:pt idx="469">
                  <c:v>23</c:v>
                </c:pt>
                <c:pt idx="470">
                  <c:v>94</c:v>
                </c:pt>
                <c:pt idx="471">
                  <c:v>38</c:v>
                </c:pt>
                <c:pt idx="472">
                  <c:v>11</c:v>
                </c:pt>
                <c:pt idx="473">
                  <c:v>60</c:v>
                </c:pt>
                <c:pt idx="474">
                  <c:v>50</c:v>
                </c:pt>
                <c:pt idx="475">
                  <c:v>90</c:v>
                </c:pt>
                <c:pt idx="476">
                  <c:v>86</c:v>
                </c:pt>
                <c:pt idx="477">
                  <c:v>86</c:v>
                </c:pt>
                <c:pt idx="478">
                  <c:v>54</c:v>
                </c:pt>
                <c:pt idx="479">
                  <c:v>27</c:v>
                </c:pt>
                <c:pt idx="480">
                  <c:v>50</c:v>
                </c:pt>
                <c:pt idx="481">
                  <c:v>68</c:v>
                </c:pt>
                <c:pt idx="482">
                  <c:v>22</c:v>
                </c:pt>
                <c:pt idx="483">
                  <c:v>50</c:v>
                </c:pt>
                <c:pt idx="484">
                  <c:v>26</c:v>
                </c:pt>
                <c:pt idx="485">
                  <c:v>62</c:v>
                </c:pt>
                <c:pt idx="486">
                  <c:v>79</c:v>
                </c:pt>
                <c:pt idx="487">
                  <c:v>73</c:v>
                </c:pt>
                <c:pt idx="488">
                  <c:v>18</c:v>
                </c:pt>
                <c:pt idx="489">
                  <c:v>79</c:v>
                </c:pt>
                <c:pt idx="490">
                  <c:v>23</c:v>
                </c:pt>
                <c:pt idx="491">
                  <c:v>18</c:v>
                </c:pt>
                <c:pt idx="492">
                  <c:v>24</c:v>
                </c:pt>
                <c:pt idx="493">
                  <c:v>53</c:v>
                </c:pt>
                <c:pt idx="494">
                  <c:v>85</c:v>
                </c:pt>
                <c:pt idx="495">
                  <c:v>15</c:v>
                </c:pt>
                <c:pt idx="496">
                  <c:v>66</c:v>
                </c:pt>
                <c:pt idx="497">
                  <c:v>17</c:v>
                </c:pt>
                <c:pt idx="498">
                  <c:v>13</c:v>
                </c:pt>
                <c:pt idx="499">
                  <c:v>34</c:v>
                </c:pt>
                <c:pt idx="500">
                  <c:v>85</c:v>
                </c:pt>
                <c:pt idx="501">
                  <c:v>12</c:v>
                </c:pt>
                <c:pt idx="502">
                  <c:v>82</c:v>
                </c:pt>
                <c:pt idx="503">
                  <c:v>71</c:v>
                </c:pt>
                <c:pt idx="504">
                  <c:v>58</c:v>
                </c:pt>
                <c:pt idx="505">
                  <c:v>15</c:v>
                </c:pt>
                <c:pt idx="506">
                  <c:v>68</c:v>
                </c:pt>
                <c:pt idx="507">
                  <c:v>13</c:v>
                </c:pt>
                <c:pt idx="508">
                  <c:v>45</c:v>
                </c:pt>
                <c:pt idx="509">
                  <c:v>40</c:v>
                </c:pt>
                <c:pt idx="510">
                  <c:v>62</c:v>
                </c:pt>
                <c:pt idx="511">
                  <c:v>79</c:v>
                </c:pt>
                <c:pt idx="512">
                  <c:v>75</c:v>
                </c:pt>
                <c:pt idx="513">
                  <c:v>76</c:v>
                </c:pt>
                <c:pt idx="514">
                  <c:v>96</c:v>
                </c:pt>
                <c:pt idx="515">
                  <c:v>69</c:v>
                </c:pt>
                <c:pt idx="516">
                  <c:v>48</c:v>
                </c:pt>
                <c:pt idx="517">
                  <c:v>82</c:v>
                </c:pt>
                <c:pt idx="518">
                  <c:v>43</c:v>
                </c:pt>
                <c:pt idx="519">
                  <c:v>90</c:v>
                </c:pt>
                <c:pt idx="520">
                  <c:v>13</c:v>
                </c:pt>
                <c:pt idx="521">
                  <c:v>62</c:v>
                </c:pt>
                <c:pt idx="522">
                  <c:v>17</c:v>
                </c:pt>
                <c:pt idx="523">
                  <c:v>100</c:v>
                </c:pt>
                <c:pt idx="524">
                  <c:v>54</c:v>
                </c:pt>
                <c:pt idx="525">
                  <c:v>98</c:v>
                </c:pt>
                <c:pt idx="526">
                  <c:v>20</c:v>
                </c:pt>
                <c:pt idx="527">
                  <c:v>43</c:v>
                </c:pt>
                <c:pt idx="528">
                  <c:v>29</c:v>
                </c:pt>
                <c:pt idx="529">
                  <c:v>37</c:v>
                </c:pt>
                <c:pt idx="530">
                  <c:v>85</c:v>
                </c:pt>
                <c:pt idx="531">
                  <c:v>26</c:v>
                </c:pt>
                <c:pt idx="532">
                  <c:v>91</c:v>
                </c:pt>
                <c:pt idx="533">
                  <c:v>50</c:v>
                </c:pt>
                <c:pt idx="534">
                  <c:v>98</c:v>
                </c:pt>
                <c:pt idx="535">
                  <c:v>37</c:v>
                </c:pt>
                <c:pt idx="536">
                  <c:v>78</c:v>
                </c:pt>
                <c:pt idx="537">
                  <c:v>48</c:v>
                </c:pt>
                <c:pt idx="538">
                  <c:v>74</c:v>
                </c:pt>
                <c:pt idx="539">
                  <c:v>18</c:v>
                </c:pt>
                <c:pt idx="540">
                  <c:v>95</c:v>
                </c:pt>
                <c:pt idx="541">
                  <c:v>39</c:v>
                </c:pt>
                <c:pt idx="542">
                  <c:v>48</c:v>
                </c:pt>
                <c:pt idx="543">
                  <c:v>58</c:v>
                </c:pt>
                <c:pt idx="544">
                  <c:v>39</c:v>
                </c:pt>
                <c:pt idx="545">
                  <c:v>84</c:v>
                </c:pt>
                <c:pt idx="546">
                  <c:v>30</c:v>
                </c:pt>
                <c:pt idx="547">
                  <c:v>14</c:v>
                </c:pt>
                <c:pt idx="548">
                  <c:v>21</c:v>
                </c:pt>
                <c:pt idx="549">
                  <c:v>17</c:v>
                </c:pt>
                <c:pt idx="550">
                  <c:v>34</c:v>
                </c:pt>
                <c:pt idx="551">
                  <c:v>56</c:v>
                </c:pt>
                <c:pt idx="552">
                  <c:v>64</c:v>
                </c:pt>
                <c:pt idx="553">
                  <c:v>87</c:v>
                </c:pt>
                <c:pt idx="554">
                  <c:v>24</c:v>
                </c:pt>
                <c:pt idx="555">
                  <c:v>47</c:v>
                </c:pt>
                <c:pt idx="556">
                  <c:v>61</c:v>
                </c:pt>
                <c:pt idx="557">
                  <c:v>48</c:v>
                </c:pt>
                <c:pt idx="558">
                  <c:v>37</c:v>
                </c:pt>
                <c:pt idx="559">
                  <c:v>45</c:v>
                </c:pt>
                <c:pt idx="560">
                  <c:v>87</c:v>
                </c:pt>
                <c:pt idx="561">
                  <c:v>37</c:v>
                </c:pt>
                <c:pt idx="562">
                  <c:v>59</c:v>
                </c:pt>
                <c:pt idx="563">
                  <c:v>62</c:v>
                </c:pt>
                <c:pt idx="564">
                  <c:v>63</c:v>
                </c:pt>
                <c:pt idx="565">
                  <c:v>38</c:v>
                </c:pt>
                <c:pt idx="566">
                  <c:v>76</c:v>
                </c:pt>
                <c:pt idx="567">
                  <c:v>34</c:v>
                </c:pt>
                <c:pt idx="568">
                  <c:v>25</c:v>
                </c:pt>
                <c:pt idx="569">
                  <c:v>86</c:v>
                </c:pt>
                <c:pt idx="570">
                  <c:v>41</c:v>
                </c:pt>
                <c:pt idx="571">
                  <c:v>77</c:v>
                </c:pt>
                <c:pt idx="572">
                  <c:v>41</c:v>
                </c:pt>
                <c:pt idx="573">
                  <c:v>44</c:v>
                </c:pt>
                <c:pt idx="574">
                  <c:v>53</c:v>
                </c:pt>
                <c:pt idx="575">
                  <c:v>68</c:v>
                </c:pt>
                <c:pt idx="576">
                  <c:v>96</c:v>
                </c:pt>
                <c:pt idx="577">
                  <c:v>33</c:v>
                </c:pt>
                <c:pt idx="578">
                  <c:v>33</c:v>
                </c:pt>
                <c:pt idx="579">
                  <c:v>90</c:v>
                </c:pt>
                <c:pt idx="580">
                  <c:v>31</c:v>
                </c:pt>
                <c:pt idx="581">
                  <c:v>92</c:v>
                </c:pt>
                <c:pt idx="582">
                  <c:v>66</c:v>
                </c:pt>
                <c:pt idx="583">
                  <c:v>83</c:v>
                </c:pt>
                <c:pt idx="584">
                  <c:v>84</c:v>
                </c:pt>
                <c:pt idx="585">
                  <c:v>76</c:v>
                </c:pt>
                <c:pt idx="586">
                  <c:v>26</c:v>
                </c:pt>
                <c:pt idx="587">
                  <c:v>61</c:v>
                </c:pt>
                <c:pt idx="588">
                  <c:v>15</c:v>
                </c:pt>
                <c:pt idx="589">
                  <c:v>73</c:v>
                </c:pt>
                <c:pt idx="590">
                  <c:v>41</c:v>
                </c:pt>
                <c:pt idx="591">
                  <c:v>14</c:v>
                </c:pt>
                <c:pt idx="592">
                  <c:v>99</c:v>
                </c:pt>
                <c:pt idx="593">
                  <c:v>80</c:v>
                </c:pt>
                <c:pt idx="594">
                  <c:v>49</c:v>
                </c:pt>
                <c:pt idx="595">
                  <c:v>25</c:v>
                </c:pt>
                <c:pt idx="596">
                  <c:v>39</c:v>
                </c:pt>
                <c:pt idx="597">
                  <c:v>94</c:v>
                </c:pt>
                <c:pt idx="598">
                  <c:v>11</c:v>
                </c:pt>
                <c:pt idx="599">
                  <c:v>21</c:v>
                </c:pt>
                <c:pt idx="600">
                  <c:v>38</c:v>
                </c:pt>
                <c:pt idx="601">
                  <c:v>58</c:v>
                </c:pt>
                <c:pt idx="602">
                  <c:v>85</c:v>
                </c:pt>
                <c:pt idx="603">
                  <c:v>63</c:v>
                </c:pt>
                <c:pt idx="604">
                  <c:v>54</c:v>
                </c:pt>
                <c:pt idx="605">
                  <c:v>30</c:v>
                </c:pt>
                <c:pt idx="606">
                  <c:v>57</c:v>
                </c:pt>
                <c:pt idx="607">
                  <c:v>18</c:v>
                </c:pt>
                <c:pt idx="608">
                  <c:v>16</c:v>
                </c:pt>
                <c:pt idx="609">
                  <c:v>39</c:v>
                </c:pt>
                <c:pt idx="610">
                  <c:v>59</c:v>
                </c:pt>
                <c:pt idx="611">
                  <c:v>79</c:v>
                </c:pt>
                <c:pt idx="612">
                  <c:v>78</c:v>
                </c:pt>
                <c:pt idx="613">
                  <c:v>22</c:v>
                </c:pt>
                <c:pt idx="614">
                  <c:v>10</c:v>
                </c:pt>
                <c:pt idx="615">
                  <c:v>34</c:v>
                </c:pt>
                <c:pt idx="616">
                  <c:v>74</c:v>
                </c:pt>
                <c:pt idx="617">
                  <c:v>10</c:v>
                </c:pt>
                <c:pt idx="618">
                  <c:v>11</c:v>
                </c:pt>
                <c:pt idx="619">
                  <c:v>99</c:v>
                </c:pt>
                <c:pt idx="620">
                  <c:v>64</c:v>
                </c:pt>
                <c:pt idx="621">
                  <c:v>58</c:v>
                </c:pt>
                <c:pt idx="622">
                  <c:v>26</c:v>
                </c:pt>
                <c:pt idx="623">
                  <c:v>72</c:v>
                </c:pt>
                <c:pt idx="624">
                  <c:v>36</c:v>
                </c:pt>
                <c:pt idx="625">
                  <c:v>24</c:v>
                </c:pt>
                <c:pt idx="626">
                  <c:v>16</c:v>
                </c:pt>
                <c:pt idx="627">
                  <c:v>39</c:v>
                </c:pt>
                <c:pt idx="628">
                  <c:v>89</c:v>
                </c:pt>
                <c:pt idx="629">
                  <c:v>57</c:v>
                </c:pt>
                <c:pt idx="630">
                  <c:v>61</c:v>
                </c:pt>
                <c:pt idx="631">
                  <c:v>56</c:v>
                </c:pt>
                <c:pt idx="632">
                  <c:v>21</c:v>
                </c:pt>
                <c:pt idx="633">
                  <c:v>59</c:v>
                </c:pt>
                <c:pt idx="634">
                  <c:v>20</c:v>
                </c:pt>
                <c:pt idx="635">
                  <c:v>99</c:v>
                </c:pt>
                <c:pt idx="636">
                  <c:v>24</c:v>
                </c:pt>
                <c:pt idx="637">
                  <c:v>78</c:v>
                </c:pt>
                <c:pt idx="638">
                  <c:v>52</c:v>
                </c:pt>
                <c:pt idx="639">
                  <c:v>45</c:v>
                </c:pt>
                <c:pt idx="640">
                  <c:v>89</c:v>
                </c:pt>
                <c:pt idx="641">
                  <c:v>63</c:v>
                </c:pt>
                <c:pt idx="642">
                  <c:v>49</c:v>
                </c:pt>
                <c:pt idx="643">
                  <c:v>26</c:v>
                </c:pt>
                <c:pt idx="644">
                  <c:v>93</c:v>
                </c:pt>
                <c:pt idx="645">
                  <c:v>81</c:v>
                </c:pt>
                <c:pt idx="646">
                  <c:v>74</c:v>
                </c:pt>
                <c:pt idx="647">
                  <c:v>19</c:v>
                </c:pt>
                <c:pt idx="648">
                  <c:v>64</c:v>
                </c:pt>
                <c:pt idx="649">
                  <c:v>49</c:v>
                </c:pt>
                <c:pt idx="650">
                  <c:v>99</c:v>
                </c:pt>
                <c:pt idx="651">
                  <c:v>60</c:v>
                </c:pt>
                <c:pt idx="652">
                  <c:v>90</c:v>
                </c:pt>
                <c:pt idx="653">
                  <c:v>79</c:v>
                </c:pt>
                <c:pt idx="654">
                  <c:v>22</c:v>
                </c:pt>
                <c:pt idx="655">
                  <c:v>51</c:v>
                </c:pt>
                <c:pt idx="656">
                  <c:v>65</c:v>
                </c:pt>
                <c:pt idx="657">
                  <c:v>55</c:v>
                </c:pt>
                <c:pt idx="658">
                  <c:v>18</c:v>
                </c:pt>
                <c:pt idx="659">
                  <c:v>37</c:v>
                </c:pt>
                <c:pt idx="660">
                  <c:v>88</c:v>
                </c:pt>
                <c:pt idx="661">
                  <c:v>20</c:v>
                </c:pt>
                <c:pt idx="662">
                  <c:v>99</c:v>
                </c:pt>
                <c:pt idx="663">
                  <c:v>46</c:v>
                </c:pt>
                <c:pt idx="664">
                  <c:v>19</c:v>
                </c:pt>
                <c:pt idx="665">
                  <c:v>12</c:v>
                </c:pt>
                <c:pt idx="666">
                  <c:v>69</c:v>
                </c:pt>
                <c:pt idx="667">
                  <c:v>63</c:v>
                </c:pt>
                <c:pt idx="668">
                  <c:v>78</c:v>
                </c:pt>
                <c:pt idx="669">
                  <c:v>72</c:v>
                </c:pt>
                <c:pt idx="670">
                  <c:v>58</c:v>
                </c:pt>
                <c:pt idx="671">
                  <c:v>88</c:v>
                </c:pt>
                <c:pt idx="672">
                  <c:v>54</c:v>
                </c:pt>
                <c:pt idx="673">
                  <c:v>64</c:v>
                </c:pt>
                <c:pt idx="674">
                  <c:v>12</c:v>
                </c:pt>
                <c:pt idx="675">
                  <c:v>61</c:v>
                </c:pt>
                <c:pt idx="676">
                  <c:v>28</c:v>
                </c:pt>
                <c:pt idx="677">
                  <c:v>23</c:v>
                </c:pt>
                <c:pt idx="678">
                  <c:v>87</c:v>
                </c:pt>
                <c:pt idx="679">
                  <c:v>59</c:v>
                </c:pt>
                <c:pt idx="680">
                  <c:v>13</c:v>
                </c:pt>
                <c:pt idx="681">
                  <c:v>81</c:v>
                </c:pt>
                <c:pt idx="682">
                  <c:v>61</c:v>
                </c:pt>
                <c:pt idx="683">
                  <c:v>80</c:v>
                </c:pt>
                <c:pt idx="684">
                  <c:v>39</c:v>
                </c:pt>
                <c:pt idx="685">
                  <c:v>69</c:v>
                </c:pt>
                <c:pt idx="686">
                  <c:v>60</c:v>
                </c:pt>
                <c:pt idx="687">
                  <c:v>22</c:v>
                </c:pt>
                <c:pt idx="688">
                  <c:v>79</c:v>
                </c:pt>
                <c:pt idx="689">
                  <c:v>47</c:v>
                </c:pt>
                <c:pt idx="690">
                  <c:v>20</c:v>
                </c:pt>
                <c:pt idx="691">
                  <c:v>41</c:v>
                </c:pt>
                <c:pt idx="692">
                  <c:v>46</c:v>
                </c:pt>
                <c:pt idx="693">
                  <c:v>67</c:v>
                </c:pt>
                <c:pt idx="694">
                  <c:v>51</c:v>
                </c:pt>
                <c:pt idx="695">
                  <c:v>42</c:v>
                </c:pt>
                <c:pt idx="696">
                  <c:v>85</c:v>
                </c:pt>
                <c:pt idx="697">
                  <c:v>23</c:v>
                </c:pt>
                <c:pt idx="698">
                  <c:v>84</c:v>
                </c:pt>
                <c:pt idx="699">
                  <c:v>28</c:v>
                </c:pt>
                <c:pt idx="700">
                  <c:v>62</c:v>
                </c:pt>
                <c:pt idx="701">
                  <c:v>65</c:v>
                </c:pt>
                <c:pt idx="702">
                  <c:v>18</c:v>
                </c:pt>
                <c:pt idx="703">
                  <c:v>70</c:v>
                </c:pt>
                <c:pt idx="704">
                  <c:v>23</c:v>
                </c:pt>
                <c:pt idx="705">
                  <c:v>26</c:v>
                </c:pt>
                <c:pt idx="706">
                  <c:v>20</c:v>
                </c:pt>
                <c:pt idx="707">
                  <c:v>55</c:v>
                </c:pt>
                <c:pt idx="708">
                  <c:v>82</c:v>
                </c:pt>
                <c:pt idx="709">
                  <c:v>73</c:v>
                </c:pt>
                <c:pt idx="710">
                  <c:v>81</c:v>
                </c:pt>
                <c:pt idx="711">
                  <c:v>20</c:v>
                </c:pt>
                <c:pt idx="712">
                  <c:v>78</c:v>
                </c:pt>
                <c:pt idx="713">
                  <c:v>84</c:v>
                </c:pt>
                <c:pt idx="714">
                  <c:v>32</c:v>
                </c:pt>
                <c:pt idx="715">
                  <c:v>90</c:v>
                </c:pt>
                <c:pt idx="716">
                  <c:v>70</c:v>
                </c:pt>
                <c:pt idx="717">
                  <c:v>90</c:v>
                </c:pt>
                <c:pt idx="718">
                  <c:v>100</c:v>
                </c:pt>
                <c:pt idx="719">
                  <c:v>89</c:v>
                </c:pt>
                <c:pt idx="720">
                  <c:v>38</c:v>
                </c:pt>
                <c:pt idx="721">
                  <c:v>61</c:v>
                </c:pt>
                <c:pt idx="722">
                  <c:v>75</c:v>
                </c:pt>
                <c:pt idx="723">
                  <c:v>87</c:v>
                </c:pt>
                <c:pt idx="724">
                  <c:v>71</c:v>
                </c:pt>
                <c:pt idx="725">
                  <c:v>98</c:v>
                </c:pt>
                <c:pt idx="726">
                  <c:v>19</c:v>
                </c:pt>
                <c:pt idx="727">
                  <c:v>85</c:v>
                </c:pt>
                <c:pt idx="728">
                  <c:v>71</c:v>
                </c:pt>
                <c:pt idx="729">
                  <c:v>44</c:v>
                </c:pt>
                <c:pt idx="730">
                  <c:v>25</c:v>
                </c:pt>
                <c:pt idx="731">
                  <c:v>24</c:v>
                </c:pt>
                <c:pt idx="732">
                  <c:v>44</c:v>
                </c:pt>
                <c:pt idx="733">
                  <c:v>63</c:v>
                </c:pt>
                <c:pt idx="734">
                  <c:v>69</c:v>
                </c:pt>
                <c:pt idx="735">
                  <c:v>88</c:v>
                </c:pt>
                <c:pt idx="736">
                  <c:v>74</c:v>
                </c:pt>
                <c:pt idx="737">
                  <c:v>98</c:v>
                </c:pt>
                <c:pt idx="738">
                  <c:v>22</c:v>
                </c:pt>
                <c:pt idx="739">
                  <c:v>55</c:v>
                </c:pt>
                <c:pt idx="740">
                  <c:v>96</c:v>
                </c:pt>
                <c:pt idx="741">
                  <c:v>91</c:v>
                </c:pt>
                <c:pt idx="742">
                  <c:v>40</c:v>
                </c:pt>
                <c:pt idx="743">
                  <c:v>52</c:v>
                </c:pt>
                <c:pt idx="744">
                  <c:v>22</c:v>
                </c:pt>
                <c:pt idx="745">
                  <c:v>98</c:v>
                </c:pt>
                <c:pt idx="746">
                  <c:v>59</c:v>
                </c:pt>
                <c:pt idx="747">
                  <c:v>99</c:v>
                </c:pt>
                <c:pt idx="748">
                  <c:v>18</c:v>
                </c:pt>
                <c:pt idx="749">
                  <c:v>58</c:v>
                </c:pt>
                <c:pt idx="750">
                  <c:v>30</c:v>
                </c:pt>
                <c:pt idx="751">
                  <c:v>97</c:v>
                </c:pt>
                <c:pt idx="752">
                  <c:v>50</c:v>
                </c:pt>
                <c:pt idx="753">
                  <c:v>70</c:v>
                </c:pt>
                <c:pt idx="754">
                  <c:v>40</c:v>
                </c:pt>
                <c:pt idx="755">
                  <c:v>75</c:v>
                </c:pt>
                <c:pt idx="756">
                  <c:v>26</c:v>
                </c:pt>
                <c:pt idx="757">
                  <c:v>13</c:v>
                </c:pt>
                <c:pt idx="758">
                  <c:v>11</c:v>
                </c:pt>
                <c:pt idx="759">
                  <c:v>98</c:v>
                </c:pt>
                <c:pt idx="760">
                  <c:v>35</c:v>
                </c:pt>
                <c:pt idx="761">
                  <c:v>45</c:v>
                </c:pt>
                <c:pt idx="762">
                  <c:v>47</c:v>
                </c:pt>
                <c:pt idx="763">
                  <c:v>89</c:v>
                </c:pt>
                <c:pt idx="764">
                  <c:v>33</c:v>
                </c:pt>
                <c:pt idx="765">
                  <c:v>90</c:v>
                </c:pt>
                <c:pt idx="766">
                  <c:v>44</c:v>
                </c:pt>
                <c:pt idx="767">
                  <c:v>41</c:v>
                </c:pt>
                <c:pt idx="768">
                  <c:v>72</c:v>
                </c:pt>
                <c:pt idx="769">
                  <c:v>72</c:v>
                </c:pt>
                <c:pt idx="770">
                  <c:v>40</c:v>
                </c:pt>
                <c:pt idx="771">
                  <c:v>36</c:v>
                </c:pt>
                <c:pt idx="772">
                  <c:v>51</c:v>
                </c:pt>
                <c:pt idx="773">
                  <c:v>87</c:v>
                </c:pt>
                <c:pt idx="774">
                  <c:v>79</c:v>
                </c:pt>
                <c:pt idx="775">
                  <c:v>14</c:v>
                </c:pt>
                <c:pt idx="776">
                  <c:v>81</c:v>
                </c:pt>
                <c:pt idx="777">
                  <c:v>75</c:v>
                </c:pt>
                <c:pt idx="778">
                  <c:v>48</c:v>
                </c:pt>
                <c:pt idx="779">
                  <c:v>50</c:v>
                </c:pt>
                <c:pt idx="780">
                  <c:v>11</c:v>
                </c:pt>
                <c:pt idx="781">
                  <c:v>74</c:v>
                </c:pt>
                <c:pt idx="782">
                  <c:v>11</c:v>
                </c:pt>
                <c:pt idx="783">
                  <c:v>85</c:v>
                </c:pt>
                <c:pt idx="784">
                  <c:v>57</c:v>
                </c:pt>
                <c:pt idx="785">
                  <c:v>75</c:v>
                </c:pt>
                <c:pt idx="786">
                  <c:v>63</c:v>
                </c:pt>
                <c:pt idx="787">
                  <c:v>35</c:v>
                </c:pt>
                <c:pt idx="788">
                  <c:v>24</c:v>
                </c:pt>
                <c:pt idx="789">
                  <c:v>53</c:v>
                </c:pt>
                <c:pt idx="790">
                  <c:v>74</c:v>
                </c:pt>
                <c:pt idx="791">
                  <c:v>79</c:v>
                </c:pt>
                <c:pt idx="792">
                  <c:v>54</c:v>
                </c:pt>
                <c:pt idx="793">
                  <c:v>44</c:v>
                </c:pt>
                <c:pt idx="794">
                  <c:v>77</c:v>
                </c:pt>
                <c:pt idx="795">
                  <c:v>42</c:v>
                </c:pt>
                <c:pt idx="796">
                  <c:v>44</c:v>
                </c:pt>
                <c:pt idx="797">
                  <c:v>81</c:v>
                </c:pt>
                <c:pt idx="798">
                  <c:v>92</c:v>
                </c:pt>
                <c:pt idx="799">
                  <c:v>78</c:v>
                </c:pt>
                <c:pt idx="800">
                  <c:v>85</c:v>
                </c:pt>
                <c:pt idx="801">
                  <c:v>65</c:v>
                </c:pt>
                <c:pt idx="802">
                  <c:v>36</c:v>
                </c:pt>
                <c:pt idx="803">
                  <c:v>26</c:v>
                </c:pt>
                <c:pt idx="804">
                  <c:v>39</c:v>
                </c:pt>
                <c:pt idx="805">
                  <c:v>39</c:v>
                </c:pt>
                <c:pt idx="806">
                  <c:v>83</c:v>
                </c:pt>
                <c:pt idx="807">
                  <c:v>28</c:v>
                </c:pt>
                <c:pt idx="808">
                  <c:v>85</c:v>
                </c:pt>
                <c:pt idx="809">
                  <c:v>76</c:v>
                </c:pt>
                <c:pt idx="810">
                  <c:v>100</c:v>
                </c:pt>
                <c:pt idx="811">
                  <c:v>17</c:v>
                </c:pt>
                <c:pt idx="812">
                  <c:v>51</c:v>
                </c:pt>
                <c:pt idx="813">
                  <c:v>54</c:v>
                </c:pt>
                <c:pt idx="814">
                  <c:v>94</c:v>
                </c:pt>
                <c:pt idx="815">
                  <c:v>34</c:v>
                </c:pt>
                <c:pt idx="816">
                  <c:v>27</c:v>
                </c:pt>
                <c:pt idx="817">
                  <c:v>50</c:v>
                </c:pt>
                <c:pt idx="818">
                  <c:v>85</c:v>
                </c:pt>
                <c:pt idx="819">
                  <c:v>24</c:v>
                </c:pt>
                <c:pt idx="820">
                  <c:v>82</c:v>
                </c:pt>
                <c:pt idx="821">
                  <c:v>17</c:v>
                </c:pt>
                <c:pt idx="822">
                  <c:v>25</c:v>
                </c:pt>
                <c:pt idx="823">
                  <c:v>56</c:v>
                </c:pt>
                <c:pt idx="824">
                  <c:v>72</c:v>
                </c:pt>
                <c:pt idx="825">
                  <c:v>65</c:v>
                </c:pt>
                <c:pt idx="826">
                  <c:v>30</c:v>
                </c:pt>
                <c:pt idx="827">
                  <c:v>39</c:v>
                </c:pt>
                <c:pt idx="828">
                  <c:v>14</c:v>
                </c:pt>
                <c:pt idx="829">
                  <c:v>74</c:v>
                </c:pt>
                <c:pt idx="830">
                  <c:v>63</c:v>
                </c:pt>
                <c:pt idx="831">
                  <c:v>47</c:v>
                </c:pt>
                <c:pt idx="832">
                  <c:v>42</c:v>
                </c:pt>
                <c:pt idx="833">
                  <c:v>32</c:v>
                </c:pt>
                <c:pt idx="834">
                  <c:v>88</c:v>
                </c:pt>
                <c:pt idx="835">
                  <c:v>80</c:v>
                </c:pt>
                <c:pt idx="836">
                  <c:v>36</c:v>
                </c:pt>
                <c:pt idx="837">
                  <c:v>11</c:v>
                </c:pt>
                <c:pt idx="838">
                  <c:v>40</c:v>
                </c:pt>
                <c:pt idx="839">
                  <c:v>63</c:v>
                </c:pt>
                <c:pt idx="840">
                  <c:v>90</c:v>
                </c:pt>
                <c:pt idx="841">
                  <c:v>47</c:v>
                </c:pt>
                <c:pt idx="842">
                  <c:v>29</c:v>
                </c:pt>
                <c:pt idx="843">
                  <c:v>94</c:v>
                </c:pt>
                <c:pt idx="844">
                  <c:v>32</c:v>
                </c:pt>
                <c:pt idx="845">
                  <c:v>40</c:v>
                </c:pt>
                <c:pt idx="846">
                  <c:v>50</c:v>
                </c:pt>
                <c:pt idx="847">
                  <c:v>72</c:v>
                </c:pt>
                <c:pt idx="848">
                  <c:v>22</c:v>
                </c:pt>
                <c:pt idx="849">
                  <c:v>23</c:v>
                </c:pt>
                <c:pt idx="850">
                  <c:v>35</c:v>
                </c:pt>
                <c:pt idx="851">
                  <c:v>12</c:v>
                </c:pt>
                <c:pt idx="852">
                  <c:v>86</c:v>
                </c:pt>
                <c:pt idx="853">
                  <c:v>91</c:v>
                </c:pt>
                <c:pt idx="854">
                  <c:v>23</c:v>
                </c:pt>
                <c:pt idx="855">
                  <c:v>98</c:v>
                </c:pt>
                <c:pt idx="856">
                  <c:v>29</c:v>
                </c:pt>
                <c:pt idx="857">
                  <c:v>32</c:v>
                </c:pt>
                <c:pt idx="858">
                  <c:v>84</c:v>
                </c:pt>
                <c:pt idx="859">
                  <c:v>86</c:v>
                </c:pt>
                <c:pt idx="860">
                  <c:v>11</c:v>
                </c:pt>
                <c:pt idx="861">
                  <c:v>60</c:v>
                </c:pt>
                <c:pt idx="862">
                  <c:v>58</c:v>
                </c:pt>
                <c:pt idx="863">
                  <c:v>64</c:v>
                </c:pt>
                <c:pt idx="864">
                  <c:v>19</c:v>
                </c:pt>
                <c:pt idx="865">
                  <c:v>43</c:v>
                </c:pt>
                <c:pt idx="866">
                  <c:v>38</c:v>
                </c:pt>
                <c:pt idx="867">
                  <c:v>70</c:v>
                </c:pt>
                <c:pt idx="868">
                  <c:v>18</c:v>
                </c:pt>
                <c:pt idx="869">
                  <c:v>46</c:v>
                </c:pt>
                <c:pt idx="870">
                  <c:v>78</c:v>
                </c:pt>
                <c:pt idx="871">
                  <c:v>53</c:v>
                </c:pt>
                <c:pt idx="872">
                  <c:v>67</c:v>
                </c:pt>
                <c:pt idx="873">
                  <c:v>36</c:v>
                </c:pt>
                <c:pt idx="874">
                  <c:v>39</c:v>
                </c:pt>
                <c:pt idx="875">
                  <c:v>95</c:v>
                </c:pt>
                <c:pt idx="876">
                  <c:v>12</c:v>
                </c:pt>
                <c:pt idx="877">
                  <c:v>98</c:v>
                </c:pt>
                <c:pt idx="878">
                  <c:v>50</c:v>
                </c:pt>
                <c:pt idx="879">
                  <c:v>98</c:v>
                </c:pt>
                <c:pt idx="880">
                  <c:v>28</c:v>
                </c:pt>
                <c:pt idx="881">
                  <c:v>67</c:v>
                </c:pt>
                <c:pt idx="882">
                  <c:v>20</c:v>
                </c:pt>
                <c:pt idx="883">
                  <c:v>67</c:v>
                </c:pt>
                <c:pt idx="884">
                  <c:v>94</c:v>
                </c:pt>
                <c:pt idx="885">
                  <c:v>45</c:v>
                </c:pt>
                <c:pt idx="886">
                  <c:v>86</c:v>
                </c:pt>
                <c:pt idx="887">
                  <c:v>72</c:v>
                </c:pt>
                <c:pt idx="888">
                  <c:v>31</c:v>
                </c:pt>
                <c:pt idx="889">
                  <c:v>12</c:v>
                </c:pt>
                <c:pt idx="890">
                  <c:v>71</c:v>
                </c:pt>
                <c:pt idx="891">
                  <c:v>64</c:v>
                </c:pt>
                <c:pt idx="892">
                  <c:v>89</c:v>
                </c:pt>
                <c:pt idx="893">
                  <c:v>50</c:v>
                </c:pt>
                <c:pt idx="894">
                  <c:v>53</c:v>
                </c:pt>
                <c:pt idx="895">
                  <c:v>19</c:v>
                </c:pt>
                <c:pt idx="896">
                  <c:v>89</c:v>
                </c:pt>
                <c:pt idx="897">
                  <c:v>96</c:v>
                </c:pt>
                <c:pt idx="898">
                  <c:v>52</c:v>
                </c:pt>
                <c:pt idx="899">
                  <c:v>97</c:v>
                </c:pt>
                <c:pt idx="900">
                  <c:v>88</c:v>
                </c:pt>
                <c:pt idx="901">
                  <c:v>33</c:v>
                </c:pt>
                <c:pt idx="902">
                  <c:v>98</c:v>
                </c:pt>
                <c:pt idx="903">
                  <c:v>45</c:v>
                </c:pt>
                <c:pt idx="904">
                  <c:v>80</c:v>
                </c:pt>
                <c:pt idx="905">
                  <c:v>68</c:v>
                </c:pt>
                <c:pt idx="906">
                  <c:v>90</c:v>
                </c:pt>
                <c:pt idx="907">
                  <c:v>89</c:v>
                </c:pt>
                <c:pt idx="908">
                  <c:v>38</c:v>
                </c:pt>
                <c:pt idx="909">
                  <c:v>99</c:v>
                </c:pt>
                <c:pt idx="910">
                  <c:v>66</c:v>
                </c:pt>
                <c:pt idx="911">
                  <c:v>66</c:v>
                </c:pt>
                <c:pt idx="912">
                  <c:v>64</c:v>
                </c:pt>
                <c:pt idx="913">
                  <c:v>18</c:v>
                </c:pt>
                <c:pt idx="914">
                  <c:v>86</c:v>
                </c:pt>
                <c:pt idx="915">
                  <c:v>35</c:v>
                </c:pt>
                <c:pt idx="916">
                  <c:v>26</c:v>
                </c:pt>
                <c:pt idx="917">
                  <c:v>80</c:v>
                </c:pt>
                <c:pt idx="918">
                  <c:v>63</c:v>
                </c:pt>
                <c:pt idx="919">
                  <c:v>89</c:v>
                </c:pt>
                <c:pt idx="920">
                  <c:v>80</c:v>
                </c:pt>
                <c:pt idx="921">
                  <c:v>41</c:v>
                </c:pt>
                <c:pt idx="922">
                  <c:v>53</c:v>
                </c:pt>
                <c:pt idx="923">
                  <c:v>61</c:v>
                </c:pt>
                <c:pt idx="924">
                  <c:v>70</c:v>
                </c:pt>
                <c:pt idx="925">
                  <c:v>73</c:v>
                </c:pt>
                <c:pt idx="926">
                  <c:v>60</c:v>
                </c:pt>
                <c:pt idx="927">
                  <c:v>88</c:v>
                </c:pt>
                <c:pt idx="928">
                  <c:v>95</c:v>
                </c:pt>
                <c:pt idx="929">
                  <c:v>47</c:v>
                </c:pt>
                <c:pt idx="930">
                  <c:v>24</c:v>
                </c:pt>
                <c:pt idx="931">
                  <c:v>93</c:v>
                </c:pt>
                <c:pt idx="932">
                  <c:v>80</c:v>
                </c:pt>
                <c:pt idx="933">
                  <c:v>77</c:v>
                </c:pt>
                <c:pt idx="934">
                  <c:v>42</c:v>
                </c:pt>
                <c:pt idx="935">
                  <c:v>92</c:v>
                </c:pt>
                <c:pt idx="936">
                  <c:v>81</c:v>
                </c:pt>
                <c:pt idx="937">
                  <c:v>46</c:v>
                </c:pt>
                <c:pt idx="938">
                  <c:v>44</c:v>
                </c:pt>
                <c:pt idx="939">
                  <c:v>38</c:v>
                </c:pt>
                <c:pt idx="940">
                  <c:v>64</c:v>
                </c:pt>
                <c:pt idx="941">
                  <c:v>39</c:v>
                </c:pt>
                <c:pt idx="942">
                  <c:v>42</c:v>
                </c:pt>
                <c:pt idx="943">
                  <c:v>29</c:v>
                </c:pt>
                <c:pt idx="944">
                  <c:v>60</c:v>
                </c:pt>
                <c:pt idx="945">
                  <c:v>65</c:v>
                </c:pt>
                <c:pt idx="946">
                  <c:v>89</c:v>
                </c:pt>
                <c:pt idx="947">
                  <c:v>50</c:v>
                </c:pt>
                <c:pt idx="948">
                  <c:v>94</c:v>
                </c:pt>
                <c:pt idx="949">
                  <c:v>97</c:v>
                </c:pt>
                <c:pt idx="950">
                  <c:v>72</c:v>
                </c:pt>
                <c:pt idx="951">
                  <c:v>62</c:v>
                </c:pt>
                <c:pt idx="952">
                  <c:v>44</c:v>
                </c:pt>
                <c:pt idx="953">
                  <c:v>21</c:v>
                </c:pt>
                <c:pt idx="954">
                  <c:v>91</c:v>
                </c:pt>
                <c:pt idx="955">
                  <c:v>87</c:v>
                </c:pt>
                <c:pt idx="956">
                  <c:v>61</c:v>
                </c:pt>
                <c:pt idx="957">
                  <c:v>61</c:v>
                </c:pt>
                <c:pt idx="958">
                  <c:v>49</c:v>
                </c:pt>
                <c:pt idx="959">
                  <c:v>87</c:v>
                </c:pt>
                <c:pt idx="960">
                  <c:v>93</c:v>
                </c:pt>
                <c:pt idx="961">
                  <c:v>55</c:v>
                </c:pt>
                <c:pt idx="962">
                  <c:v>29</c:v>
                </c:pt>
                <c:pt idx="963">
                  <c:v>63</c:v>
                </c:pt>
                <c:pt idx="964">
                  <c:v>42</c:v>
                </c:pt>
                <c:pt idx="965">
                  <c:v>74</c:v>
                </c:pt>
                <c:pt idx="966">
                  <c:v>22</c:v>
                </c:pt>
                <c:pt idx="967">
                  <c:v>83</c:v>
                </c:pt>
                <c:pt idx="968">
                  <c:v>32</c:v>
                </c:pt>
                <c:pt idx="969">
                  <c:v>84</c:v>
                </c:pt>
                <c:pt idx="970">
                  <c:v>22</c:v>
                </c:pt>
                <c:pt idx="971">
                  <c:v>100</c:v>
                </c:pt>
                <c:pt idx="972">
                  <c:v>36</c:v>
                </c:pt>
                <c:pt idx="973">
                  <c:v>14</c:v>
                </c:pt>
                <c:pt idx="974">
                  <c:v>38</c:v>
                </c:pt>
                <c:pt idx="975">
                  <c:v>97</c:v>
                </c:pt>
                <c:pt idx="976">
                  <c:v>64</c:v>
                </c:pt>
                <c:pt idx="977">
                  <c:v>14</c:v>
                </c:pt>
                <c:pt idx="978">
                  <c:v>24</c:v>
                </c:pt>
                <c:pt idx="979">
                  <c:v>100</c:v>
                </c:pt>
                <c:pt idx="980">
                  <c:v>62</c:v>
                </c:pt>
                <c:pt idx="981">
                  <c:v>71</c:v>
                </c:pt>
                <c:pt idx="982">
                  <c:v>38</c:v>
                </c:pt>
                <c:pt idx="983">
                  <c:v>88</c:v>
                </c:pt>
                <c:pt idx="984">
                  <c:v>40</c:v>
                </c:pt>
                <c:pt idx="985">
                  <c:v>88</c:v>
                </c:pt>
                <c:pt idx="986">
                  <c:v>60</c:v>
                </c:pt>
                <c:pt idx="987">
                  <c:v>94</c:v>
                </c:pt>
                <c:pt idx="988">
                  <c:v>30</c:v>
                </c:pt>
                <c:pt idx="989">
                  <c:v>19</c:v>
                </c:pt>
              </c:numCache>
            </c:numRef>
          </c:xVal>
          <c:yVal>
            <c:numRef>
              <c:f>Grocery_Inventory_and_Sales_Dat!$W$2:$W$1009</c:f>
              <c:numCache>
                <c:formatCode>General</c:formatCode>
                <c:ptCount val="1008"/>
                <c:pt idx="0">
                  <c:v>32</c:v>
                </c:pt>
                <c:pt idx="1">
                  <c:v>85</c:v>
                </c:pt>
                <c:pt idx="2">
                  <c:v>31</c:v>
                </c:pt>
                <c:pt idx="3">
                  <c:v>95</c:v>
                </c:pt>
                <c:pt idx="4">
                  <c:v>62</c:v>
                </c:pt>
                <c:pt idx="5">
                  <c:v>34</c:v>
                </c:pt>
                <c:pt idx="6">
                  <c:v>67</c:v>
                </c:pt>
                <c:pt idx="7">
                  <c:v>21</c:v>
                </c:pt>
                <c:pt idx="8">
                  <c:v>56</c:v>
                </c:pt>
                <c:pt idx="9">
                  <c:v>27</c:v>
                </c:pt>
                <c:pt idx="10">
                  <c:v>100</c:v>
                </c:pt>
                <c:pt idx="11">
                  <c:v>100</c:v>
                </c:pt>
                <c:pt idx="12">
                  <c:v>47</c:v>
                </c:pt>
                <c:pt idx="13">
                  <c:v>69</c:v>
                </c:pt>
                <c:pt idx="14">
                  <c:v>63</c:v>
                </c:pt>
                <c:pt idx="15">
                  <c:v>20</c:v>
                </c:pt>
                <c:pt idx="16">
                  <c:v>66</c:v>
                </c:pt>
                <c:pt idx="17">
                  <c:v>78</c:v>
                </c:pt>
                <c:pt idx="18">
                  <c:v>46</c:v>
                </c:pt>
                <c:pt idx="19">
                  <c:v>29</c:v>
                </c:pt>
                <c:pt idx="20">
                  <c:v>82</c:v>
                </c:pt>
                <c:pt idx="21">
                  <c:v>52</c:v>
                </c:pt>
                <c:pt idx="22">
                  <c:v>20</c:v>
                </c:pt>
                <c:pt idx="23">
                  <c:v>73</c:v>
                </c:pt>
                <c:pt idx="24">
                  <c:v>59</c:v>
                </c:pt>
                <c:pt idx="25">
                  <c:v>46</c:v>
                </c:pt>
                <c:pt idx="26">
                  <c:v>97</c:v>
                </c:pt>
                <c:pt idx="27">
                  <c:v>94</c:v>
                </c:pt>
                <c:pt idx="28">
                  <c:v>50</c:v>
                </c:pt>
                <c:pt idx="29">
                  <c:v>61</c:v>
                </c:pt>
                <c:pt idx="30">
                  <c:v>31</c:v>
                </c:pt>
                <c:pt idx="31">
                  <c:v>42</c:v>
                </c:pt>
                <c:pt idx="32">
                  <c:v>42</c:v>
                </c:pt>
                <c:pt idx="33">
                  <c:v>25</c:v>
                </c:pt>
                <c:pt idx="34">
                  <c:v>65</c:v>
                </c:pt>
                <c:pt idx="35">
                  <c:v>60</c:v>
                </c:pt>
                <c:pt idx="36">
                  <c:v>43</c:v>
                </c:pt>
                <c:pt idx="37">
                  <c:v>51</c:v>
                </c:pt>
                <c:pt idx="38">
                  <c:v>79</c:v>
                </c:pt>
                <c:pt idx="39">
                  <c:v>47</c:v>
                </c:pt>
                <c:pt idx="40">
                  <c:v>39</c:v>
                </c:pt>
                <c:pt idx="41">
                  <c:v>66</c:v>
                </c:pt>
                <c:pt idx="42">
                  <c:v>25</c:v>
                </c:pt>
                <c:pt idx="43">
                  <c:v>40</c:v>
                </c:pt>
                <c:pt idx="44">
                  <c:v>32</c:v>
                </c:pt>
                <c:pt idx="45">
                  <c:v>66</c:v>
                </c:pt>
                <c:pt idx="46">
                  <c:v>37</c:v>
                </c:pt>
                <c:pt idx="47">
                  <c:v>44</c:v>
                </c:pt>
                <c:pt idx="48">
                  <c:v>24</c:v>
                </c:pt>
                <c:pt idx="49">
                  <c:v>42</c:v>
                </c:pt>
                <c:pt idx="50">
                  <c:v>38</c:v>
                </c:pt>
                <c:pt idx="51">
                  <c:v>95</c:v>
                </c:pt>
                <c:pt idx="52">
                  <c:v>96</c:v>
                </c:pt>
                <c:pt idx="53">
                  <c:v>61</c:v>
                </c:pt>
                <c:pt idx="54">
                  <c:v>35</c:v>
                </c:pt>
                <c:pt idx="55">
                  <c:v>57</c:v>
                </c:pt>
                <c:pt idx="56">
                  <c:v>32</c:v>
                </c:pt>
                <c:pt idx="57">
                  <c:v>63</c:v>
                </c:pt>
                <c:pt idx="58">
                  <c:v>30</c:v>
                </c:pt>
                <c:pt idx="59">
                  <c:v>38</c:v>
                </c:pt>
                <c:pt idx="60">
                  <c:v>44</c:v>
                </c:pt>
                <c:pt idx="61">
                  <c:v>64</c:v>
                </c:pt>
                <c:pt idx="62">
                  <c:v>30</c:v>
                </c:pt>
                <c:pt idx="63">
                  <c:v>84</c:v>
                </c:pt>
                <c:pt idx="64">
                  <c:v>54</c:v>
                </c:pt>
                <c:pt idx="65">
                  <c:v>67</c:v>
                </c:pt>
                <c:pt idx="66">
                  <c:v>93</c:v>
                </c:pt>
                <c:pt idx="67">
                  <c:v>44</c:v>
                </c:pt>
                <c:pt idx="68">
                  <c:v>83</c:v>
                </c:pt>
                <c:pt idx="69">
                  <c:v>47</c:v>
                </c:pt>
                <c:pt idx="70">
                  <c:v>51</c:v>
                </c:pt>
                <c:pt idx="71">
                  <c:v>85</c:v>
                </c:pt>
                <c:pt idx="72">
                  <c:v>20</c:v>
                </c:pt>
                <c:pt idx="73">
                  <c:v>74</c:v>
                </c:pt>
                <c:pt idx="74">
                  <c:v>76</c:v>
                </c:pt>
                <c:pt idx="75">
                  <c:v>60</c:v>
                </c:pt>
                <c:pt idx="76">
                  <c:v>26</c:v>
                </c:pt>
                <c:pt idx="77">
                  <c:v>50</c:v>
                </c:pt>
                <c:pt idx="78">
                  <c:v>30</c:v>
                </c:pt>
                <c:pt idx="79">
                  <c:v>86</c:v>
                </c:pt>
                <c:pt idx="80">
                  <c:v>67</c:v>
                </c:pt>
                <c:pt idx="81">
                  <c:v>50</c:v>
                </c:pt>
                <c:pt idx="82">
                  <c:v>72</c:v>
                </c:pt>
                <c:pt idx="83">
                  <c:v>59</c:v>
                </c:pt>
                <c:pt idx="84">
                  <c:v>90</c:v>
                </c:pt>
                <c:pt idx="85">
                  <c:v>29</c:v>
                </c:pt>
                <c:pt idx="86">
                  <c:v>38</c:v>
                </c:pt>
                <c:pt idx="87">
                  <c:v>64</c:v>
                </c:pt>
                <c:pt idx="88">
                  <c:v>59</c:v>
                </c:pt>
                <c:pt idx="89">
                  <c:v>51</c:v>
                </c:pt>
                <c:pt idx="90">
                  <c:v>24</c:v>
                </c:pt>
                <c:pt idx="91">
                  <c:v>69</c:v>
                </c:pt>
                <c:pt idx="92">
                  <c:v>56</c:v>
                </c:pt>
                <c:pt idx="93">
                  <c:v>33</c:v>
                </c:pt>
                <c:pt idx="94">
                  <c:v>82</c:v>
                </c:pt>
                <c:pt idx="95">
                  <c:v>91</c:v>
                </c:pt>
                <c:pt idx="96">
                  <c:v>51</c:v>
                </c:pt>
                <c:pt idx="97">
                  <c:v>95</c:v>
                </c:pt>
                <c:pt idx="98">
                  <c:v>66</c:v>
                </c:pt>
                <c:pt idx="99">
                  <c:v>67</c:v>
                </c:pt>
                <c:pt idx="100">
                  <c:v>43</c:v>
                </c:pt>
                <c:pt idx="101">
                  <c:v>92</c:v>
                </c:pt>
                <c:pt idx="102">
                  <c:v>68</c:v>
                </c:pt>
                <c:pt idx="103">
                  <c:v>60</c:v>
                </c:pt>
                <c:pt idx="104">
                  <c:v>24</c:v>
                </c:pt>
                <c:pt idx="105">
                  <c:v>56</c:v>
                </c:pt>
                <c:pt idx="106">
                  <c:v>61</c:v>
                </c:pt>
                <c:pt idx="107">
                  <c:v>53</c:v>
                </c:pt>
                <c:pt idx="108">
                  <c:v>56</c:v>
                </c:pt>
                <c:pt idx="109">
                  <c:v>98</c:v>
                </c:pt>
                <c:pt idx="110">
                  <c:v>23</c:v>
                </c:pt>
                <c:pt idx="111">
                  <c:v>38</c:v>
                </c:pt>
                <c:pt idx="112">
                  <c:v>63</c:v>
                </c:pt>
                <c:pt idx="113">
                  <c:v>35</c:v>
                </c:pt>
                <c:pt idx="114">
                  <c:v>80</c:v>
                </c:pt>
                <c:pt idx="115">
                  <c:v>96</c:v>
                </c:pt>
                <c:pt idx="116">
                  <c:v>44</c:v>
                </c:pt>
                <c:pt idx="117">
                  <c:v>93</c:v>
                </c:pt>
                <c:pt idx="118">
                  <c:v>60</c:v>
                </c:pt>
                <c:pt idx="119">
                  <c:v>61</c:v>
                </c:pt>
                <c:pt idx="120">
                  <c:v>58</c:v>
                </c:pt>
                <c:pt idx="121">
                  <c:v>83</c:v>
                </c:pt>
                <c:pt idx="122">
                  <c:v>24</c:v>
                </c:pt>
                <c:pt idx="123">
                  <c:v>28</c:v>
                </c:pt>
                <c:pt idx="124">
                  <c:v>31</c:v>
                </c:pt>
                <c:pt idx="125">
                  <c:v>28</c:v>
                </c:pt>
                <c:pt idx="126">
                  <c:v>62</c:v>
                </c:pt>
                <c:pt idx="127">
                  <c:v>21</c:v>
                </c:pt>
                <c:pt idx="128">
                  <c:v>43</c:v>
                </c:pt>
                <c:pt idx="129">
                  <c:v>94</c:v>
                </c:pt>
                <c:pt idx="130">
                  <c:v>49</c:v>
                </c:pt>
                <c:pt idx="131">
                  <c:v>20</c:v>
                </c:pt>
                <c:pt idx="132">
                  <c:v>26</c:v>
                </c:pt>
                <c:pt idx="133">
                  <c:v>50</c:v>
                </c:pt>
                <c:pt idx="134">
                  <c:v>36</c:v>
                </c:pt>
                <c:pt idx="135">
                  <c:v>48</c:v>
                </c:pt>
                <c:pt idx="136">
                  <c:v>56</c:v>
                </c:pt>
                <c:pt idx="137">
                  <c:v>59</c:v>
                </c:pt>
                <c:pt idx="138">
                  <c:v>25</c:v>
                </c:pt>
                <c:pt idx="139">
                  <c:v>84</c:v>
                </c:pt>
                <c:pt idx="140">
                  <c:v>36</c:v>
                </c:pt>
                <c:pt idx="141">
                  <c:v>76</c:v>
                </c:pt>
                <c:pt idx="142">
                  <c:v>23</c:v>
                </c:pt>
                <c:pt idx="143">
                  <c:v>69</c:v>
                </c:pt>
                <c:pt idx="144">
                  <c:v>81</c:v>
                </c:pt>
                <c:pt idx="145">
                  <c:v>41</c:v>
                </c:pt>
                <c:pt idx="146">
                  <c:v>93</c:v>
                </c:pt>
                <c:pt idx="147">
                  <c:v>22</c:v>
                </c:pt>
                <c:pt idx="148">
                  <c:v>75</c:v>
                </c:pt>
                <c:pt idx="149">
                  <c:v>44</c:v>
                </c:pt>
                <c:pt idx="150">
                  <c:v>69</c:v>
                </c:pt>
                <c:pt idx="151">
                  <c:v>54</c:v>
                </c:pt>
                <c:pt idx="152">
                  <c:v>40</c:v>
                </c:pt>
                <c:pt idx="153">
                  <c:v>91</c:v>
                </c:pt>
                <c:pt idx="154">
                  <c:v>46</c:v>
                </c:pt>
                <c:pt idx="155">
                  <c:v>52</c:v>
                </c:pt>
                <c:pt idx="156">
                  <c:v>89</c:v>
                </c:pt>
                <c:pt idx="157">
                  <c:v>43</c:v>
                </c:pt>
                <c:pt idx="158">
                  <c:v>79</c:v>
                </c:pt>
                <c:pt idx="159">
                  <c:v>41</c:v>
                </c:pt>
                <c:pt idx="160">
                  <c:v>51</c:v>
                </c:pt>
                <c:pt idx="161">
                  <c:v>70</c:v>
                </c:pt>
                <c:pt idx="162">
                  <c:v>29</c:v>
                </c:pt>
                <c:pt idx="163">
                  <c:v>90</c:v>
                </c:pt>
                <c:pt idx="164">
                  <c:v>88</c:v>
                </c:pt>
                <c:pt idx="165">
                  <c:v>52</c:v>
                </c:pt>
                <c:pt idx="166">
                  <c:v>98</c:v>
                </c:pt>
                <c:pt idx="167">
                  <c:v>71</c:v>
                </c:pt>
                <c:pt idx="168">
                  <c:v>42</c:v>
                </c:pt>
                <c:pt idx="169">
                  <c:v>46</c:v>
                </c:pt>
                <c:pt idx="170">
                  <c:v>69</c:v>
                </c:pt>
                <c:pt idx="171">
                  <c:v>30</c:v>
                </c:pt>
                <c:pt idx="172">
                  <c:v>62</c:v>
                </c:pt>
                <c:pt idx="173">
                  <c:v>90</c:v>
                </c:pt>
                <c:pt idx="174">
                  <c:v>33</c:v>
                </c:pt>
                <c:pt idx="175">
                  <c:v>64</c:v>
                </c:pt>
                <c:pt idx="176">
                  <c:v>77</c:v>
                </c:pt>
                <c:pt idx="177">
                  <c:v>60</c:v>
                </c:pt>
                <c:pt idx="178">
                  <c:v>98</c:v>
                </c:pt>
                <c:pt idx="179">
                  <c:v>40</c:v>
                </c:pt>
                <c:pt idx="180">
                  <c:v>24</c:v>
                </c:pt>
                <c:pt idx="181">
                  <c:v>20</c:v>
                </c:pt>
                <c:pt idx="182">
                  <c:v>89</c:v>
                </c:pt>
                <c:pt idx="183">
                  <c:v>99</c:v>
                </c:pt>
                <c:pt idx="184">
                  <c:v>98</c:v>
                </c:pt>
                <c:pt idx="185">
                  <c:v>69</c:v>
                </c:pt>
                <c:pt idx="186">
                  <c:v>20</c:v>
                </c:pt>
                <c:pt idx="187">
                  <c:v>32</c:v>
                </c:pt>
                <c:pt idx="188">
                  <c:v>35</c:v>
                </c:pt>
                <c:pt idx="189">
                  <c:v>76</c:v>
                </c:pt>
                <c:pt idx="190">
                  <c:v>72</c:v>
                </c:pt>
                <c:pt idx="191">
                  <c:v>94</c:v>
                </c:pt>
                <c:pt idx="192">
                  <c:v>43</c:v>
                </c:pt>
                <c:pt idx="193">
                  <c:v>88</c:v>
                </c:pt>
                <c:pt idx="194">
                  <c:v>86</c:v>
                </c:pt>
                <c:pt idx="195">
                  <c:v>25</c:v>
                </c:pt>
                <c:pt idx="196">
                  <c:v>35</c:v>
                </c:pt>
                <c:pt idx="197">
                  <c:v>78</c:v>
                </c:pt>
                <c:pt idx="198">
                  <c:v>37</c:v>
                </c:pt>
                <c:pt idx="199">
                  <c:v>31</c:v>
                </c:pt>
                <c:pt idx="200">
                  <c:v>43</c:v>
                </c:pt>
                <c:pt idx="201">
                  <c:v>32</c:v>
                </c:pt>
                <c:pt idx="202">
                  <c:v>39</c:v>
                </c:pt>
                <c:pt idx="203">
                  <c:v>68</c:v>
                </c:pt>
                <c:pt idx="204">
                  <c:v>49</c:v>
                </c:pt>
                <c:pt idx="205">
                  <c:v>100</c:v>
                </c:pt>
                <c:pt idx="206">
                  <c:v>52</c:v>
                </c:pt>
                <c:pt idx="207">
                  <c:v>59</c:v>
                </c:pt>
                <c:pt idx="208">
                  <c:v>92</c:v>
                </c:pt>
                <c:pt idx="209">
                  <c:v>70</c:v>
                </c:pt>
                <c:pt idx="210">
                  <c:v>29</c:v>
                </c:pt>
                <c:pt idx="211">
                  <c:v>42</c:v>
                </c:pt>
                <c:pt idx="212">
                  <c:v>46</c:v>
                </c:pt>
                <c:pt idx="213">
                  <c:v>88</c:v>
                </c:pt>
                <c:pt idx="214">
                  <c:v>69</c:v>
                </c:pt>
                <c:pt idx="215">
                  <c:v>56</c:v>
                </c:pt>
                <c:pt idx="216">
                  <c:v>70</c:v>
                </c:pt>
                <c:pt idx="217">
                  <c:v>92</c:v>
                </c:pt>
                <c:pt idx="218">
                  <c:v>81</c:v>
                </c:pt>
                <c:pt idx="219">
                  <c:v>47</c:v>
                </c:pt>
                <c:pt idx="220">
                  <c:v>37</c:v>
                </c:pt>
                <c:pt idx="221">
                  <c:v>56</c:v>
                </c:pt>
                <c:pt idx="222">
                  <c:v>76</c:v>
                </c:pt>
                <c:pt idx="223">
                  <c:v>73</c:v>
                </c:pt>
                <c:pt idx="224">
                  <c:v>94</c:v>
                </c:pt>
                <c:pt idx="225">
                  <c:v>35</c:v>
                </c:pt>
                <c:pt idx="226">
                  <c:v>92</c:v>
                </c:pt>
                <c:pt idx="227">
                  <c:v>47</c:v>
                </c:pt>
                <c:pt idx="228">
                  <c:v>57</c:v>
                </c:pt>
                <c:pt idx="229">
                  <c:v>74</c:v>
                </c:pt>
                <c:pt idx="230">
                  <c:v>71</c:v>
                </c:pt>
                <c:pt idx="231">
                  <c:v>59</c:v>
                </c:pt>
                <c:pt idx="232">
                  <c:v>86</c:v>
                </c:pt>
                <c:pt idx="233">
                  <c:v>48</c:v>
                </c:pt>
                <c:pt idx="234">
                  <c:v>32</c:v>
                </c:pt>
                <c:pt idx="235">
                  <c:v>69</c:v>
                </c:pt>
                <c:pt idx="236">
                  <c:v>40</c:v>
                </c:pt>
                <c:pt idx="237">
                  <c:v>98</c:v>
                </c:pt>
                <c:pt idx="238">
                  <c:v>53</c:v>
                </c:pt>
                <c:pt idx="239">
                  <c:v>43</c:v>
                </c:pt>
                <c:pt idx="240">
                  <c:v>45</c:v>
                </c:pt>
                <c:pt idx="241">
                  <c:v>100</c:v>
                </c:pt>
                <c:pt idx="242">
                  <c:v>84</c:v>
                </c:pt>
                <c:pt idx="243">
                  <c:v>37</c:v>
                </c:pt>
                <c:pt idx="244">
                  <c:v>52</c:v>
                </c:pt>
                <c:pt idx="245">
                  <c:v>33</c:v>
                </c:pt>
                <c:pt idx="246">
                  <c:v>53</c:v>
                </c:pt>
                <c:pt idx="247">
                  <c:v>96</c:v>
                </c:pt>
                <c:pt idx="248">
                  <c:v>60</c:v>
                </c:pt>
                <c:pt idx="249">
                  <c:v>54</c:v>
                </c:pt>
                <c:pt idx="250">
                  <c:v>79</c:v>
                </c:pt>
                <c:pt idx="251">
                  <c:v>70</c:v>
                </c:pt>
                <c:pt idx="252">
                  <c:v>96</c:v>
                </c:pt>
                <c:pt idx="253">
                  <c:v>45</c:v>
                </c:pt>
                <c:pt idx="254">
                  <c:v>53</c:v>
                </c:pt>
                <c:pt idx="255">
                  <c:v>52</c:v>
                </c:pt>
                <c:pt idx="256">
                  <c:v>39</c:v>
                </c:pt>
                <c:pt idx="257">
                  <c:v>38</c:v>
                </c:pt>
                <c:pt idx="258">
                  <c:v>57</c:v>
                </c:pt>
                <c:pt idx="259">
                  <c:v>95</c:v>
                </c:pt>
                <c:pt idx="260">
                  <c:v>84</c:v>
                </c:pt>
                <c:pt idx="261">
                  <c:v>31</c:v>
                </c:pt>
                <c:pt idx="262">
                  <c:v>27</c:v>
                </c:pt>
                <c:pt idx="263">
                  <c:v>28</c:v>
                </c:pt>
                <c:pt idx="264">
                  <c:v>67</c:v>
                </c:pt>
                <c:pt idx="265">
                  <c:v>61</c:v>
                </c:pt>
                <c:pt idx="266">
                  <c:v>30</c:v>
                </c:pt>
                <c:pt idx="267">
                  <c:v>93</c:v>
                </c:pt>
                <c:pt idx="268">
                  <c:v>63</c:v>
                </c:pt>
                <c:pt idx="269">
                  <c:v>47</c:v>
                </c:pt>
                <c:pt idx="270">
                  <c:v>34</c:v>
                </c:pt>
                <c:pt idx="271">
                  <c:v>82</c:v>
                </c:pt>
                <c:pt idx="272">
                  <c:v>45</c:v>
                </c:pt>
                <c:pt idx="273">
                  <c:v>21</c:v>
                </c:pt>
                <c:pt idx="274">
                  <c:v>55</c:v>
                </c:pt>
                <c:pt idx="275">
                  <c:v>62</c:v>
                </c:pt>
                <c:pt idx="276">
                  <c:v>22</c:v>
                </c:pt>
                <c:pt idx="277">
                  <c:v>93</c:v>
                </c:pt>
                <c:pt idx="278">
                  <c:v>39</c:v>
                </c:pt>
                <c:pt idx="279">
                  <c:v>96</c:v>
                </c:pt>
                <c:pt idx="280">
                  <c:v>100</c:v>
                </c:pt>
                <c:pt idx="281">
                  <c:v>63</c:v>
                </c:pt>
                <c:pt idx="282">
                  <c:v>62</c:v>
                </c:pt>
                <c:pt idx="283">
                  <c:v>33</c:v>
                </c:pt>
                <c:pt idx="284">
                  <c:v>72</c:v>
                </c:pt>
                <c:pt idx="285">
                  <c:v>63</c:v>
                </c:pt>
                <c:pt idx="286">
                  <c:v>96</c:v>
                </c:pt>
                <c:pt idx="287">
                  <c:v>23</c:v>
                </c:pt>
                <c:pt idx="288">
                  <c:v>63</c:v>
                </c:pt>
                <c:pt idx="289">
                  <c:v>79</c:v>
                </c:pt>
                <c:pt idx="290">
                  <c:v>55</c:v>
                </c:pt>
                <c:pt idx="291">
                  <c:v>40</c:v>
                </c:pt>
                <c:pt idx="292">
                  <c:v>92</c:v>
                </c:pt>
                <c:pt idx="293">
                  <c:v>90</c:v>
                </c:pt>
                <c:pt idx="294">
                  <c:v>31</c:v>
                </c:pt>
                <c:pt idx="295">
                  <c:v>95</c:v>
                </c:pt>
                <c:pt idx="296">
                  <c:v>42</c:v>
                </c:pt>
                <c:pt idx="297">
                  <c:v>81</c:v>
                </c:pt>
                <c:pt idx="298">
                  <c:v>56</c:v>
                </c:pt>
                <c:pt idx="299">
                  <c:v>25</c:v>
                </c:pt>
                <c:pt idx="300">
                  <c:v>60</c:v>
                </c:pt>
                <c:pt idx="301">
                  <c:v>48</c:v>
                </c:pt>
                <c:pt idx="302">
                  <c:v>40</c:v>
                </c:pt>
                <c:pt idx="303">
                  <c:v>70</c:v>
                </c:pt>
                <c:pt idx="304">
                  <c:v>71</c:v>
                </c:pt>
                <c:pt idx="305">
                  <c:v>86</c:v>
                </c:pt>
                <c:pt idx="306">
                  <c:v>88</c:v>
                </c:pt>
                <c:pt idx="307">
                  <c:v>24</c:v>
                </c:pt>
                <c:pt idx="308">
                  <c:v>88</c:v>
                </c:pt>
                <c:pt idx="309">
                  <c:v>42</c:v>
                </c:pt>
                <c:pt idx="310">
                  <c:v>39</c:v>
                </c:pt>
                <c:pt idx="311">
                  <c:v>83</c:v>
                </c:pt>
                <c:pt idx="312">
                  <c:v>57</c:v>
                </c:pt>
                <c:pt idx="313">
                  <c:v>75</c:v>
                </c:pt>
                <c:pt idx="314">
                  <c:v>95</c:v>
                </c:pt>
                <c:pt idx="315">
                  <c:v>20</c:v>
                </c:pt>
                <c:pt idx="316">
                  <c:v>57</c:v>
                </c:pt>
                <c:pt idx="317">
                  <c:v>34</c:v>
                </c:pt>
                <c:pt idx="318">
                  <c:v>73</c:v>
                </c:pt>
                <c:pt idx="319">
                  <c:v>60</c:v>
                </c:pt>
                <c:pt idx="320">
                  <c:v>25</c:v>
                </c:pt>
                <c:pt idx="321">
                  <c:v>21</c:v>
                </c:pt>
                <c:pt idx="322">
                  <c:v>97</c:v>
                </c:pt>
                <c:pt idx="323">
                  <c:v>91</c:v>
                </c:pt>
                <c:pt idx="324">
                  <c:v>57</c:v>
                </c:pt>
                <c:pt idx="325">
                  <c:v>87</c:v>
                </c:pt>
                <c:pt idx="326">
                  <c:v>61</c:v>
                </c:pt>
                <c:pt idx="327">
                  <c:v>71</c:v>
                </c:pt>
                <c:pt idx="328">
                  <c:v>81</c:v>
                </c:pt>
                <c:pt idx="329">
                  <c:v>39</c:v>
                </c:pt>
                <c:pt idx="330">
                  <c:v>82</c:v>
                </c:pt>
                <c:pt idx="331">
                  <c:v>34</c:v>
                </c:pt>
                <c:pt idx="332">
                  <c:v>66</c:v>
                </c:pt>
                <c:pt idx="333">
                  <c:v>30</c:v>
                </c:pt>
                <c:pt idx="334">
                  <c:v>45</c:v>
                </c:pt>
                <c:pt idx="335">
                  <c:v>38</c:v>
                </c:pt>
                <c:pt idx="336">
                  <c:v>82</c:v>
                </c:pt>
                <c:pt idx="337">
                  <c:v>50</c:v>
                </c:pt>
                <c:pt idx="338">
                  <c:v>36</c:v>
                </c:pt>
                <c:pt idx="339">
                  <c:v>81</c:v>
                </c:pt>
                <c:pt idx="340">
                  <c:v>85</c:v>
                </c:pt>
                <c:pt idx="341">
                  <c:v>61</c:v>
                </c:pt>
                <c:pt idx="342">
                  <c:v>70</c:v>
                </c:pt>
                <c:pt idx="343">
                  <c:v>59</c:v>
                </c:pt>
                <c:pt idx="344">
                  <c:v>79</c:v>
                </c:pt>
                <c:pt idx="345">
                  <c:v>66</c:v>
                </c:pt>
                <c:pt idx="346">
                  <c:v>71</c:v>
                </c:pt>
                <c:pt idx="347">
                  <c:v>29</c:v>
                </c:pt>
                <c:pt idx="348">
                  <c:v>83</c:v>
                </c:pt>
                <c:pt idx="349">
                  <c:v>85</c:v>
                </c:pt>
                <c:pt idx="350">
                  <c:v>21</c:v>
                </c:pt>
                <c:pt idx="351">
                  <c:v>25</c:v>
                </c:pt>
                <c:pt idx="352">
                  <c:v>68</c:v>
                </c:pt>
                <c:pt idx="353">
                  <c:v>26</c:v>
                </c:pt>
                <c:pt idx="354">
                  <c:v>63</c:v>
                </c:pt>
                <c:pt idx="355">
                  <c:v>48</c:v>
                </c:pt>
                <c:pt idx="356">
                  <c:v>49</c:v>
                </c:pt>
                <c:pt idx="357">
                  <c:v>85</c:v>
                </c:pt>
                <c:pt idx="358">
                  <c:v>65</c:v>
                </c:pt>
                <c:pt idx="359">
                  <c:v>29</c:v>
                </c:pt>
                <c:pt idx="360">
                  <c:v>78</c:v>
                </c:pt>
                <c:pt idx="361">
                  <c:v>21</c:v>
                </c:pt>
                <c:pt idx="362">
                  <c:v>84</c:v>
                </c:pt>
                <c:pt idx="363">
                  <c:v>63</c:v>
                </c:pt>
                <c:pt idx="364">
                  <c:v>30</c:v>
                </c:pt>
                <c:pt idx="365">
                  <c:v>30</c:v>
                </c:pt>
                <c:pt idx="366">
                  <c:v>61</c:v>
                </c:pt>
                <c:pt idx="367">
                  <c:v>64</c:v>
                </c:pt>
                <c:pt idx="368">
                  <c:v>88</c:v>
                </c:pt>
                <c:pt idx="369">
                  <c:v>54</c:v>
                </c:pt>
                <c:pt idx="370">
                  <c:v>70</c:v>
                </c:pt>
                <c:pt idx="371">
                  <c:v>76</c:v>
                </c:pt>
                <c:pt idx="372">
                  <c:v>95</c:v>
                </c:pt>
                <c:pt idx="373">
                  <c:v>81</c:v>
                </c:pt>
                <c:pt idx="374">
                  <c:v>97</c:v>
                </c:pt>
                <c:pt idx="375">
                  <c:v>78</c:v>
                </c:pt>
                <c:pt idx="376">
                  <c:v>94</c:v>
                </c:pt>
                <c:pt idx="377">
                  <c:v>40</c:v>
                </c:pt>
                <c:pt idx="378">
                  <c:v>92</c:v>
                </c:pt>
                <c:pt idx="379">
                  <c:v>93</c:v>
                </c:pt>
                <c:pt idx="380">
                  <c:v>62</c:v>
                </c:pt>
                <c:pt idx="381">
                  <c:v>64</c:v>
                </c:pt>
                <c:pt idx="382">
                  <c:v>98</c:v>
                </c:pt>
                <c:pt idx="383">
                  <c:v>64</c:v>
                </c:pt>
                <c:pt idx="384">
                  <c:v>60</c:v>
                </c:pt>
                <c:pt idx="385">
                  <c:v>39</c:v>
                </c:pt>
                <c:pt idx="386">
                  <c:v>58</c:v>
                </c:pt>
                <c:pt idx="387">
                  <c:v>66</c:v>
                </c:pt>
                <c:pt idx="388">
                  <c:v>93</c:v>
                </c:pt>
                <c:pt idx="389">
                  <c:v>73</c:v>
                </c:pt>
                <c:pt idx="390">
                  <c:v>56</c:v>
                </c:pt>
                <c:pt idx="391">
                  <c:v>35</c:v>
                </c:pt>
                <c:pt idx="392">
                  <c:v>95</c:v>
                </c:pt>
                <c:pt idx="393">
                  <c:v>81</c:v>
                </c:pt>
                <c:pt idx="394">
                  <c:v>42</c:v>
                </c:pt>
                <c:pt idx="395">
                  <c:v>38</c:v>
                </c:pt>
                <c:pt idx="396">
                  <c:v>76</c:v>
                </c:pt>
                <c:pt idx="397">
                  <c:v>99</c:v>
                </c:pt>
                <c:pt idx="398">
                  <c:v>35</c:v>
                </c:pt>
                <c:pt idx="399">
                  <c:v>46</c:v>
                </c:pt>
                <c:pt idx="400">
                  <c:v>98</c:v>
                </c:pt>
                <c:pt idx="401">
                  <c:v>100</c:v>
                </c:pt>
                <c:pt idx="402">
                  <c:v>35</c:v>
                </c:pt>
                <c:pt idx="403">
                  <c:v>23</c:v>
                </c:pt>
                <c:pt idx="404">
                  <c:v>32</c:v>
                </c:pt>
                <c:pt idx="405">
                  <c:v>54</c:v>
                </c:pt>
                <c:pt idx="406">
                  <c:v>21</c:v>
                </c:pt>
                <c:pt idx="407">
                  <c:v>69</c:v>
                </c:pt>
                <c:pt idx="408">
                  <c:v>47</c:v>
                </c:pt>
                <c:pt idx="409">
                  <c:v>50</c:v>
                </c:pt>
                <c:pt idx="410">
                  <c:v>30</c:v>
                </c:pt>
                <c:pt idx="411">
                  <c:v>46</c:v>
                </c:pt>
                <c:pt idx="412">
                  <c:v>78</c:v>
                </c:pt>
                <c:pt idx="413">
                  <c:v>50</c:v>
                </c:pt>
                <c:pt idx="414">
                  <c:v>92</c:v>
                </c:pt>
                <c:pt idx="415">
                  <c:v>58</c:v>
                </c:pt>
                <c:pt idx="416">
                  <c:v>71</c:v>
                </c:pt>
                <c:pt idx="417">
                  <c:v>77</c:v>
                </c:pt>
                <c:pt idx="418">
                  <c:v>50</c:v>
                </c:pt>
                <c:pt idx="419">
                  <c:v>63</c:v>
                </c:pt>
                <c:pt idx="420">
                  <c:v>26</c:v>
                </c:pt>
                <c:pt idx="421">
                  <c:v>45</c:v>
                </c:pt>
                <c:pt idx="422">
                  <c:v>48</c:v>
                </c:pt>
                <c:pt idx="423">
                  <c:v>80</c:v>
                </c:pt>
                <c:pt idx="424">
                  <c:v>49</c:v>
                </c:pt>
                <c:pt idx="425">
                  <c:v>89</c:v>
                </c:pt>
                <c:pt idx="426">
                  <c:v>34</c:v>
                </c:pt>
                <c:pt idx="427">
                  <c:v>38</c:v>
                </c:pt>
                <c:pt idx="428">
                  <c:v>48</c:v>
                </c:pt>
                <c:pt idx="429">
                  <c:v>31</c:v>
                </c:pt>
                <c:pt idx="430">
                  <c:v>78</c:v>
                </c:pt>
                <c:pt idx="431">
                  <c:v>80</c:v>
                </c:pt>
                <c:pt idx="432">
                  <c:v>61</c:v>
                </c:pt>
                <c:pt idx="433">
                  <c:v>74</c:v>
                </c:pt>
                <c:pt idx="434">
                  <c:v>57</c:v>
                </c:pt>
                <c:pt idx="435">
                  <c:v>76</c:v>
                </c:pt>
                <c:pt idx="436">
                  <c:v>23</c:v>
                </c:pt>
                <c:pt idx="437">
                  <c:v>27</c:v>
                </c:pt>
                <c:pt idx="438">
                  <c:v>82</c:v>
                </c:pt>
                <c:pt idx="439">
                  <c:v>48</c:v>
                </c:pt>
                <c:pt idx="440">
                  <c:v>39</c:v>
                </c:pt>
                <c:pt idx="441">
                  <c:v>89</c:v>
                </c:pt>
                <c:pt idx="442">
                  <c:v>35</c:v>
                </c:pt>
                <c:pt idx="443">
                  <c:v>33</c:v>
                </c:pt>
                <c:pt idx="444">
                  <c:v>85</c:v>
                </c:pt>
                <c:pt idx="445">
                  <c:v>96</c:v>
                </c:pt>
                <c:pt idx="446">
                  <c:v>47</c:v>
                </c:pt>
                <c:pt idx="447">
                  <c:v>93</c:v>
                </c:pt>
                <c:pt idx="448">
                  <c:v>47</c:v>
                </c:pt>
                <c:pt idx="449">
                  <c:v>39</c:v>
                </c:pt>
                <c:pt idx="450">
                  <c:v>39</c:v>
                </c:pt>
                <c:pt idx="451">
                  <c:v>59</c:v>
                </c:pt>
                <c:pt idx="452">
                  <c:v>23</c:v>
                </c:pt>
                <c:pt idx="453">
                  <c:v>54</c:v>
                </c:pt>
                <c:pt idx="454">
                  <c:v>62</c:v>
                </c:pt>
                <c:pt idx="455">
                  <c:v>90</c:v>
                </c:pt>
                <c:pt idx="456">
                  <c:v>50</c:v>
                </c:pt>
                <c:pt idx="457">
                  <c:v>47</c:v>
                </c:pt>
                <c:pt idx="458">
                  <c:v>70</c:v>
                </c:pt>
                <c:pt idx="459">
                  <c:v>79</c:v>
                </c:pt>
                <c:pt idx="460">
                  <c:v>69</c:v>
                </c:pt>
                <c:pt idx="461">
                  <c:v>90</c:v>
                </c:pt>
                <c:pt idx="462">
                  <c:v>34</c:v>
                </c:pt>
                <c:pt idx="463">
                  <c:v>96</c:v>
                </c:pt>
                <c:pt idx="464">
                  <c:v>48</c:v>
                </c:pt>
                <c:pt idx="465">
                  <c:v>56</c:v>
                </c:pt>
                <c:pt idx="466">
                  <c:v>28</c:v>
                </c:pt>
                <c:pt idx="467">
                  <c:v>47</c:v>
                </c:pt>
                <c:pt idx="468">
                  <c:v>76</c:v>
                </c:pt>
                <c:pt idx="469">
                  <c:v>81</c:v>
                </c:pt>
                <c:pt idx="470">
                  <c:v>74</c:v>
                </c:pt>
                <c:pt idx="471">
                  <c:v>72</c:v>
                </c:pt>
                <c:pt idx="472">
                  <c:v>48</c:v>
                </c:pt>
                <c:pt idx="473">
                  <c:v>43</c:v>
                </c:pt>
                <c:pt idx="474">
                  <c:v>27</c:v>
                </c:pt>
                <c:pt idx="475">
                  <c:v>51</c:v>
                </c:pt>
                <c:pt idx="476">
                  <c:v>22</c:v>
                </c:pt>
                <c:pt idx="477">
                  <c:v>30</c:v>
                </c:pt>
                <c:pt idx="478">
                  <c:v>60</c:v>
                </c:pt>
                <c:pt idx="479">
                  <c:v>70</c:v>
                </c:pt>
                <c:pt idx="480">
                  <c:v>83</c:v>
                </c:pt>
                <c:pt idx="481">
                  <c:v>37</c:v>
                </c:pt>
                <c:pt idx="482">
                  <c:v>62</c:v>
                </c:pt>
                <c:pt idx="483">
                  <c:v>60</c:v>
                </c:pt>
                <c:pt idx="484">
                  <c:v>73</c:v>
                </c:pt>
                <c:pt idx="485">
                  <c:v>89</c:v>
                </c:pt>
                <c:pt idx="486">
                  <c:v>67</c:v>
                </c:pt>
                <c:pt idx="487">
                  <c:v>75</c:v>
                </c:pt>
                <c:pt idx="488">
                  <c:v>44</c:v>
                </c:pt>
                <c:pt idx="489">
                  <c:v>80</c:v>
                </c:pt>
                <c:pt idx="490">
                  <c:v>31</c:v>
                </c:pt>
                <c:pt idx="491">
                  <c:v>73</c:v>
                </c:pt>
                <c:pt idx="492">
                  <c:v>91</c:v>
                </c:pt>
                <c:pt idx="493">
                  <c:v>24</c:v>
                </c:pt>
                <c:pt idx="494">
                  <c:v>49</c:v>
                </c:pt>
                <c:pt idx="495">
                  <c:v>49</c:v>
                </c:pt>
                <c:pt idx="496">
                  <c:v>27</c:v>
                </c:pt>
                <c:pt idx="497">
                  <c:v>23</c:v>
                </c:pt>
                <c:pt idx="498">
                  <c:v>42</c:v>
                </c:pt>
                <c:pt idx="499">
                  <c:v>78</c:v>
                </c:pt>
                <c:pt idx="500">
                  <c:v>68</c:v>
                </c:pt>
                <c:pt idx="501">
                  <c:v>25</c:v>
                </c:pt>
                <c:pt idx="502">
                  <c:v>21</c:v>
                </c:pt>
                <c:pt idx="503">
                  <c:v>58</c:v>
                </c:pt>
                <c:pt idx="504">
                  <c:v>62</c:v>
                </c:pt>
                <c:pt idx="505">
                  <c:v>90</c:v>
                </c:pt>
                <c:pt idx="506">
                  <c:v>25</c:v>
                </c:pt>
                <c:pt idx="507">
                  <c:v>38</c:v>
                </c:pt>
                <c:pt idx="508">
                  <c:v>86</c:v>
                </c:pt>
                <c:pt idx="509">
                  <c:v>76</c:v>
                </c:pt>
                <c:pt idx="510">
                  <c:v>34</c:v>
                </c:pt>
                <c:pt idx="511">
                  <c:v>46</c:v>
                </c:pt>
                <c:pt idx="512">
                  <c:v>96</c:v>
                </c:pt>
                <c:pt idx="513">
                  <c:v>24</c:v>
                </c:pt>
                <c:pt idx="514">
                  <c:v>61</c:v>
                </c:pt>
                <c:pt idx="515">
                  <c:v>79</c:v>
                </c:pt>
                <c:pt idx="516">
                  <c:v>95</c:v>
                </c:pt>
                <c:pt idx="517">
                  <c:v>48</c:v>
                </c:pt>
                <c:pt idx="518">
                  <c:v>22</c:v>
                </c:pt>
                <c:pt idx="519">
                  <c:v>81</c:v>
                </c:pt>
                <c:pt idx="520">
                  <c:v>46</c:v>
                </c:pt>
                <c:pt idx="521">
                  <c:v>34</c:v>
                </c:pt>
                <c:pt idx="522">
                  <c:v>76</c:v>
                </c:pt>
                <c:pt idx="523">
                  <c:v>77</c:v>
                </c:pt>
                <c:pt idx="524">
                  <c:v>77</c:v>
                </c:pt>
                <c:pt idx="525">
                  <c:v>89</c:v>
                </c:pt>
                <c:pt idx="526">
                  <c:v>46</c:v>
                </c:pt>
                <c:pt idx="527">
                  <c:v>66</c:v>
                </c:pt>
                <c:pt idx="528">
                  <c:v>28</c:v>
                </c:pt>
                <c:pt idx="529">
                  <c:v>34</c:v>
                </c:pt>
                <c:pt idx="530">
                  <c:v>57</c:v>
                </c:pt>
                <c:pt idx="531">
                  <c:v>54</c:v>
                </c:pt>
                <c:pt idx="532">
                  <c:v>63</c:v>
                </c:pt>
                <c:pt idx="533">
                  <c:v>88</c:v>
                </c:pt>
                <c:pt idx="534">
                  <c:v>62</c:v>
                </c:pt>
                <c:pt idx="535">
                  <c:v>90</c:v>
                </c:pt>
                <c:pt idx="536">
                  <c:v>89</c:v>
                </c:pt>
                <c:pt idx="537">
                  <c:v>52</c:v>
                </c:pt>
                <c:pt idx="538">
                  <c:v>100</c:v>
                </c:pt>
                <c:pt idx="539">
                  <c:v>88</c:v>
                </c:pt>
                <c:pt idx="540">
                  <c:v>92</c:v>
                </c:pt>
                <c:pt idx="541">
                  <c:v>26</c:v>
                </c:pt>
                <c:pt idx="542">
                  <c:v>51</c:v>
                </c:pt>
                <c:pt idx="543">
                  <c:v>52</c:v>
                </c:pt>
                <c:pt idx="544">
                  <c:v>47</c:v>
                </c:pt>
                <c:pt idx="545">
                  <c:v>54</c:v>
                </c:pt>
                <c:pt idx="546">
                  <c:v>56</c:v>
                </c:pt>
                <c:pt idx="547">
                  <c:v>51</c:v>
                </c:pt>
                <c:pt idx="548">
                  <c:v>37</c:v>
                </c:pt>
                <c:pt idx="549">
                  <c:v>58</c:v>
                </c:pt>
                <c:pt idx="550">
                  <c:v>28</c:v>
                </c:pt>
                <c:pt idx="551">
                  <c:v>71</c:v>
                </c:pt>
                <c:pt idx="552">
                  <c:v>60</c:v>
                </c:pt>
                <c:pt idx="553">
                  <c:v>22</c:v>
                </c:pt>
                <c:pt idx="554">
                  <c:v>24</c:v>
                </c:pt>
                <c:pt idx="555">
                  <c:v>32</c:v>
                </c:pt>
                <c:pt idx="556">
                  <c:v>73</c:v>
                </c:pt>
                <c:pt idx="557">
                  <c:v>27</c:v>
                </c:pt>
                <c:pt idx="558">
                  <c:v>35</c:v>
                </c:pt>
                <c:pt idx="559">
                  <c:v>36</c:v>
                </c:pt>
                <c:pt idx="560">
                  <c:v>58</c:v>
                </c:pt>
                <c:pt idx="561">
                  <c:v>38</c:v>
                </c:pt>
                <c:pt idx="562">
                  <c:v>90</c:v>
                </c:pt>
                <c:pt idx="563">
                  <c:v>45</c:v>
                </c:pt>
                <c:pt idx="564">
                  <c:v>56</c:v>
                </c:pt>
                <c:pt idx="565">
                  <c:v>59</c:v>
                </c:pt>
                <c:pt idx="566">
                  <c:v>31</c:v>
                </c:pt>
                <c:pt idx="567">
                  <c:v>96</c:v>
                </c:pt>
                <c:pt idx="568">
                  <c:v>57</c:v>
                </c:pt>
                <c:pt idx="569">
                  <c:v>34</c:v>
                </c:pt>
                <c:pt idx="570">
                  <c:v>50</c:v>
                </c:pt>
                <c:pt idx="571">
                  <c:v>64</c:v>
                </c:pt>
                <c:pt idx="572">
                  <c:v>30</c:v>
                </c:pt>
                <c:pt idx="573">
                  <c:v>42</c:v>
                </c:pt>
                <c:pt idx="574">
                  <c:v>22</c:v>
                </c:pt>
                <c:pt idx="575">
                  <c:v>70</c:v>
                </c:pt>
                <c:pt idx="576">
                  <c:v>71</c:v>
                </c:pt>
                <c:pt idx="577">
                  <c:v>46</c:v>
                </c:pt>
                <c:pt idx="578">
                  <c:v>90</c:v>
                </c:pt>
                <c:pt idx="579">
                  <c:v>82</c:v>
                </c:pt>
                <c:pt idx="580">
                  <c:v>25</c:v>
                </c:pt>
                <c:pt idx="581">
                  <c:v>62</c:v>
                </c:pt>
                <c:pt idx="582">
                  <c:v>85</c:v>
                </c:pt>
                <c:pt idx="583">
                  <c:v>33</c:v>
                </c:pt>
                <c:pt idx="584">
                  <c:v>30</c:v>
                </c:pt>
                <c:pt idx="585">
                  <c:v>52</c:v>
                </c:pt>
                <c:pt idx="586">
                  <c:v>82</c:v>
                </c:pt>
                <c:pt idx="587">
                  <c:v>95</c:v>
                </c:pt>
                <c:pt idx="588">
                  <c:v>71</c:v>
                </c:pt>
                <c:pt idx="589">
                  <c:v>87</c:v>
                </c:pt>
                <c:pt idx="590">
                  <c:v>50</c:v>
                </c:pt>
                <c:pt idx="591">
                  <c:v>65</c:v>
                </c:pt>
                <c:pt idx="592">
                  <c:v>52</c:v>
                </c:pt>
                <c:pt idx="593">
                  <c:v>26</c:v>
                </c:pt>
                <c:pt idx="594">
                  <c:v>37</c:v>
                </c:pt>
                <c:pt idx="595">
                  <c:v>41</c:v>
                </c:pt>
                <c:pt idx="596">
                  <c:v>54</c:v>
                </c:pt>
                <c:pt idx="597">
                  <c:v>57</c:v>
                </c:pt>
                <c:pt idx="598">
                  <c:v>69</c:v>
                </c:pt>
                <c:pt idx="599">
                  <c:v>49</c:v>
                </c:pt>
                <c:pt idx="600">
                  <c:v>53</c:v>
                </c:pt>
                <c:pt idx="601">
                  <c:v>82</c:v>
                </c:pt>
                <c:pt idx="602">
                  <c:v>58</c:v>
                </c:pt>
                <c:pt idx="603">
                  <c:v>62</c:v>
                </c:pt>
                <c:pt idx="604">
                  <c:v>29</c:v>
                </c:pt>
                <c:pt idx="605">
                  <c:v>42</c:v>
                </c:pt>
                <c:pt idx="606">
                  <c:v>78</c:v>
                </c:pt>
                <c:pt idx="607">
                  <c:v>25</c:v>
                </c:pt>
                <c:pt idx="608">
                  <c:v>35</c:v>
                </c:pt>
                <c:pt idx="609">
                  <c:v>46</c:v>
                </c:pt>
                <c:pt idx="610">
                  <c:v>30</c:v>
                </c:pt>
                <c:pt idx="611">
                  <c:v>42</c:v>
                </c:pt>
                <c:pt idx="612">
                  <c:v>49</c:v>
                </c:pt>
                <c:pt idx="613">
                  <c:v>64</c:v>
                </c:pt>
                <c:pt idx="614">
                  <c:v>100</c:v>
                </c:pt>
                <c:pt idx="615">
                  <c:v>42</c:v>
                </c:pt>
                <c:pt idx="616">
                  <c:v>65</c:v>
                </c:pt>
                <c:pt idx="617">
                  <c:v>29</c:v>
                </c:pt>
                <c:pt idx="618">
                  <c:v>29</c:v>
                </c:pt>
                <c:pt idx="619">
                  <c:v>59</c:v>
                </c:pt>
                <c:pt idx="620">
                  <c:v>53</c:v>
                </c:pt>
                <c:pt idx="621">
                  <c:v>62</c:v>
                </c:pt>
                <c:pt idx="622">
                  <c:v>45</c:v>
                </c:pt>
                <c:pt idx="623">
                  <c:v>39</c:v>
                </c:pt>
                <c:pt idx="624">
                  <c:v>27</c:v>
                </c:pt>
                <c:pt idx="625">
                  <c:v>85</c:v>
                </c:pt>
                <c:pt idx="626">
                  <c:v>22</c:v>
                </c:pt>
                <c:pt idx="627">
                  <c:v>58</c:v>
                </c:pt>
                <c:pt idx="628">
                  <c:v>27</c:v>
                </c:pt>
                <c:pt idx="629">
                  <c:v>44</c:v>
                </c:pt>
                <c:pt idx="630">
                  <c:v>90</c:v>
                </c:pt>
                <c:pt idx="631">
                  <c:v>93</c:v>
                </c:pt>
                <c:pt idx="632">
                  <c:v>87</c:v>
                </c:pt>
                <c:pt idx="633">
                  <c:v>74</c:v>
                </c:pt>
                <c:pt idx="634">
                  <c:v>38</c:v>
                </c:pt>
                <c:pt idx="635">
                  <c:v>49</c:v>
                </c:pt>
                <c:pt idx="636">
                  <c:v>49</c:v>
                </c:pt>
                <c:pt idx="637">
                  <c:v>69</c:v>
                </c:pt>
                <c:pt idx="638">
                  <c:v>77</c:v>
                </c:pt>
                <c:pt idx="639">
                  <c:v>25</c:v>
                </c:pt>
                <c:pt idx="640">
                  <c:v>49</c:v>
                </c:pt>
                <c:pt idx="641">
                  <c:v>20</c:v>
                </c:pt>
                <c:pt idx="642">
                  <c:v>75</c:v>
                </c:pt>
                <c:pt idx="643">
                  <c:v>92</c:v>
                </c:pt>
                <c:pt idx="644">
                  <c:v>30</c:v>
                </c:pt>
                <c:pt idx="645">
                  <c:v>23</c:v>
                </c:pt>
                <c:pt idx="646">
                  <c:v>99</c:v>
                </c:pt>
                <c:pt idx="647">
                  <c:v>72</c:v>
                </c:pt>
                <c:pt idx="648">
                  <c:v>48</c:v>
                </c:pt>
                <c:pt idx="649">
                  <c:v>52</c:v>
                </c:pt>
                <c:pt idx="650">
                  <c:v>69</c:v>
                </c:pt>
                <c:pt idx="651">
                  <c:v>42</c:v>
                </c:pt>
                <c:pt idx="652">
                  <c:v>52</c:v>
                </c:pt>
                <c:pt idx="653">
                  <c:v>45</c:v>
                </c:pt>
                <c:pt idx="654">
                  <c:v>33</c:v>
                </c:pt>
                <c:pt idx="655">
                  <c:v>53</c:v>
                </c:pt>
                <c:pt idx="656">
                  <c:v>28</c:v>
                </c:pt>
                <c:pt idx="657">
                  <c:v>69</c:v>
                </c:pt>
                <c:pt idx="658">
                  <c:v>64</c:v>
                </c:pt>
                <c:pt idx="659">
                  <c:v>39</c:v>
                </c:pt>
                <c:pt idx="660">
                  <c:v>96</c:v>
                </c:pt>
                <c:pt idx="661">
                  <c:v>80</c:v>
                </c:pt>
                <c:pt idx="662">
                  <c:v>80</c:v>
                </c:pt>
                <c:pt idx="663">
                  <c:v>59</c:v>
                </c:pt>
                <c:pt idx="664">
                  <c:v>62</c:v>
                </c:pt>
                <c:pt idx="665">
                  <c:v>22</c:v>
                </c:pt>
                <c:pt idx="666">
                  <c:v>29</c:v>
                </c:pt>
                <c:pt idx="667">
                  <c:v>23</c:v>
                </c:pt>
                <c:pt idx="668">
                  <c:v>25</c:v>
                </c:pt>
                <c:pt idx="669">
                  <c:v>87</c:v>
                </c:pt>
                <c:pt idx="670">
                  <c:v>75</c:v>
                </c:pt>
                <c:pt idx="671">
                  <c:v>54</c:v>
                </c:pt>
                <c:pt idx="672">
                  <c:v>94</c:v>
                </c:pt>
                <c:pt idx="673">
                  <c:v>97</c:v>
                </c:pt>
                <c:pt idx="674">
                  <c:v>31</c:v>
                </c:pt>
                <c:pt idx="675">
                  <c:v>74</c:v>
                </c:pt>
                <c:pt idx="676">
                  <c:v>28</c:v>
                </c:pt>
                <c:pt idx="677">
                  <c:v>95</c:v>
                </c:pt>
                <c:pt idx="678">
                  <c:v>55</c:v>
                </c:pt>
                <c:pt idx="679">
                  <c:v>48</c:v>
                </c:pt>
                <c:pt idx="680">
                  <c:v>100</c:v>
                </c:pt>
                <c:pt idx="681">
                  <c:v>94</c:v>
                </c:pt>
                <c:pt idx="682">
                  <c:v>51</c:v>
                </c:pt>
                <c:pt idx="683">
                  <c:v>81</c:v>
                </c:pt>
                <c:pt idx="684">
                  <c:v>77</c:v>
                </c:pt>
                <c:pt idx="685">
                  <c:v>36</c:v>
                </c:pt>
                <c:pt idx="686">
                  <c:v>77</c:v>
                </c:pt>
                <c:pt idx="687">
                  <c:v>45</c:v>
                </c:pt>
                <c:pt idx="688">
                  <c:v>83</c:v>
                </c:pt>
                <c:pt idx="689">
                  <c:v>76</c:v>
                </c:pt>
                <c:pt idx="690">
                  <c:v>78</c:v>
                </c:pt>
                <c:pt idx="691">
                  <c:v>86</c:v>
                </c:pt>
                <c:pt idx="692">
                  <c:v>62</c:v>
                </c:pt>
                <c:pt idx="693">
                  <c:v>78</c:v>
                </c:pt>
                <c:pt idx="694">
                  <c:v>73</c:v>
                </c:pt>
                <c:pt idx="695">
                  <c:v>80</c:v>
                </c:pt>
                <c:pt idx="696">
                  <c:v>78</c:v>
                </c:pt>
                <c:pt idx="697">
                  <c:v>91</c:v>
                </c:pt>
                <c:pt idx="698">
                  <c:v>46</c:v>
                </c:pt>
                <c:pt idx="699">
                  <c:v>48</c:v>
                </c:pt>
                <c:pt idx="700">
                  <c:v>42</c:v>
                </c:pt>
                <c:pt idx="701">
                  <c:v>66</c:v>
                </c:pt>
                <c:pt idx="702">
                  <c:v>54</c:v>
                </c:pt>
                <c:pt idx="703">
                  <c:v>62</c:v>
                </c:pt>
                <c:pt idx="704">
                  <c:v>63</c:v>
                </c:pt>
                <c:pt idx="705">
                  <c:v>75</c:v>
                </c:pt>
                <c:pt idx="706">
                  <c:v>72</c:v>
                </c:pt>
                <c:pt idx="707">
                  <c:v>48</c:v>
                </c:pt>
                <c:pt idx="708">
                  <c:v>26</c:v>
                </c:pt>
                <c:pt idx="709">
                  <c:v>89</c:v>
                </c:pt>
                <c:pt idx="710">
                  <c:v>74</c:v>
                </c:pt>
                <c:pt idx="711">
                  <c:v>51</c:v>
                </c:pt>
                <c:pt idx="712">
                  <c:v>54</c:v>
                </c:pt>
                <c:pt idx="713">
                  <c:v>51</c:v>
                </c:pt>
                <c:pt idx="714">
                  <c:v>52</c:v>
                </c:pt>
                <c:pt idx="715">
                  <c:v>55</c:v>
                </c:pt>
                <c:pt idx="716">
                  <c:v>24</c:v>
                </c:pt>
                <c:pt idx="717">
                  <c:v>81</c:v>
                </c:pt>
                <c:pt idx="718">
                  <c:v>26</c:v>
                </c:pt>
                <c:pt idx="719">
                  <c:v>64</c:v>
                </c:pt>
                <c:pt idx="720">
                  <c:v>34</c:v>
                </c:pt>
                <c:pt idx="721">
                  <c:v>71</c:v>
                </c:pt>
                <c:pt idx="722">
                  <c:v>96</c:v>
                </c:pt>
                <c:pt idx="723">
                  <c:v>73</c:v>
                </c:pt>
                <c:pt idx="724">
                  <c:v>34</c:v>
                </c:pt>
                <c:pt idx="725">
                  <c:v>53</c:v>
                </c:pt>
                <c:pt idx="726">
                  <c:v>51</c:v>
                </c:pt>
                <c:pt idx="727">
                  <c:v>61</c:v>
                </c:pt>
                <c:pt idx="728">
                  <c:v>87</c:v>
                </c:pt>
                <c:pt idx="729">
                  <c:v>67</c:v>
                </c:pt>
                <c:pt idx="730">
                  <c:v>24</c:v>
                </c:pt>
                <c:pt idx="731">
                  <c:v>98</c:v>
                </c:pt>
                <c:pt idx="732">
                  <c:v>80</c:v>
                </c:pt>
                <c:pt idx="733">
                  <c:v>40</c:v>
                </c:pt>
                <c:pt idx="734">
                  <c:v>63</c:v>
                </c:pt>
                <c:pt idx="735">
                  <c:v>28</c:v>
                </c:pt>
                <c:pt idx="736">
                  <c:v>37</c:v>
                </c:pt>
                <c:pt idx="737">
                  <c:v>86</c:v>
                </c:pt>
                <c:pt idx="738">
                  <c:v>88</c:v>
                </c:pt>
                <c:pt idx="739">
                  <c:v>23</c:v>
                </c:pt>
                <c:pt idx="740">
                  <c:v>94</c:v>
                </c:pt>
                <c:pt idx="741">
                  <c:v>32</c:v>
                </c:pt>
                <c:pt idx="742">
                  <c:v>28</c:v>
                </c:pt>
                <c:pt idx="743">
                  <c:v>43</c:v>
                </c:pt>
                <c:pt idx="744">
                  <c:v>62</c:v>
                </c:pt>
                <c:pt idx="745">
                  <c:v>70</c:v>
                </c:pt>
                <c:pt idx="746">
                  <c:v>32</c:v>
                </c:pt>
                <c:pt idx="747">
                  <c:v>65</c:v>
                </c:pt>
                <c:pt idx="748">
                  <c:v>65</c:v>
                </c:pt>
                <c:pt idx="749">
                  <c:v>71</c:v>
                </c:pt>
                <c:pt idx="750">
                  <c:v>61</c:v>
                </c:pt>
                <c:pt idx="751">
                  <c:v>53</c:v>
                </c:pt>
                <c:pt idx="752">
                  <c:v>78</c:v>
                </c:pt>
                <c:pt idx="753">
                  <c:v>63</c:v>
                </c:pt>
                <c:pt idx="754">
                  <c:v>76</c:v>
                </c:pt>
                <c:pt idx="755">
                  <c:v>100</c:v>
                </c:pt>
                <c:pt idx="756">
                  <c:v>94</c:v>
                </c:pt>
                <c:pt idx="757">
                  <c:v>67</c:v>
                </c:pt>
                <c:pt idx="758">
                  <c:v>99</c:v>
                </c:pt>
                <c:pt idx="759">
                  <c:v>21</c:v>
                </c:pt>
                <c:pt idx="760">
                  <c:v>90</c:v>
                </c:pt>
                <c:pt idx="761">
                  <c:v>35</c:v>
                </c:pt>
                <c:pt idx="762">
                  <c:v>26</c:v>
                </c:pt>
                <c:pt idx="763">
                  <c:v>39</c:v>
                </c:pt>
                <c:pt idx="764">
                  <c:v>96</c:v>
                </c:pt>
                <c:pt idx="765">
                  <c:v>76</c:v>
                </c:pt>
                <c:pt idx="766">
                  <c:v>63</c:v>
                </c:pt>
                <c:pt idx="767">
                  <c:v>93</c:v>
                </c:pt>
                <c:pt idx="768">
                  <c:v>96</c:v>
                </c:pt>
                <c:pt idx="769">
                  <c:v>36</c:v>
                </c:pt>
                <c:pt idx="770">
                  <c:v>33</c:v>
                </c:pt>
                <c:pt idx="771">
                  <c:v>67</c:v>
                </c:pt>
                <c:pt idx="772">
                  <c:v>24</c:v>
                </c:pt>
                <c:pt idx="773">
                  <c:v>90</c:v>
                </c:pt>
                <c:pt idx="774">
                  <c:v>33</c:v>
                </c:pt>
                <c:pt idx="775">
                  <c:v>64</c:v>
                </c:pt>
                <c:pt idx="776">
                  <c:v>86</c:v>
                </c:pt>
                <c:pt idx="777">
                  <c:v>32</c:v>
                </c:pt>
                <c:pt idx="778">
                  <c:v>59</c:v>
                </c:pt>
                <c:pt idx="779">
                  <c:v>40</c:v>
                </c:pt>
                <c:pt idx="780">
                  <c:v>86</c:v>
                </c:pt>
                <c:pt idx="781">
                  <c:v>24</c:v>
                </c:pt>
                <c:pt idx="782">
                  <c:v>93</c:v>
                </c:pt>
                <c:pt idx="783">
                  <c:v>95</c:v>
                </c:pt>
                <c:pt idx="784">
                  <c:v>87</c:v>
                </c:pt>
                <c:pt idx="785">
                  <c:v>63</c:v>
                </c:pt>
                <c:pt idx="786">
                  <c:v>78</c:v>
                </c:pt>
                <c:pt idx="787">
                  <c:v>53</c:v>
                </c:pt>
                <c:pt idx="788">
                  <c:v>55</c:v>
                </c:pt>
                <c:pt idx="789">
                  <c:v>100</c:v>
                </c:pt>
                <c:pt idx="790">
                  <c:v>51</c:v>
                </c:pt>
                <c:pt idx="791">
                  <c:v>43</c:v>
                </c:pt>
                <c:pt idx="792">
                  <c:v>41</c:v>
                </c:pt>
                <c:pt idx="793">
                  <c:v>46</c:v>
                </c:pt>
                <c:pt idx="794">
                  <c:v>27</c:v>
                </c:pt>
                <c:pt idx="795">
                  <c:v>86</c:v>
                </c:pt>
                <c:pt idx="796">
                  <c:v>89</c:v>
                </c:pt>
                <c:pt idx="797">
                  <c:v>68</c:v>
                </c:pt>
                <c:pt idx="798">
                  <c:v>38</c:v>
                </c:pt>
                <c:pt idx="799">
                  <c:v>47</c:v>
                </c:pt>
                <c:pt idx="800">
                  <c:v>65</c:v>
                </c:pt>
                <c:pt idx="801">
                  <c:v>80</c:v>
                </c:pt>
                <c:pt idx="802">
                  <c:v>74</c:v>
                </c:pt>
                <c:pt idx="803">
                  <c:v>84</c:v>
                </c:pt>
                <c:pt idx="804">
                  <c:v>84</c:v>
                </c:pt>
                <c:pt idx="805">
                  <c:v>73</c:v>
                </c:pt>
                <c:pt idx="806">
                  <c:v>35</c:v>
                </c:pt>
                <c:pt idx="807">
                  <c:v>33</c:v>
                </c:pt>
                <c:pt idx="808">
                  <c:v>92</c:v>
                </c:pt>
                <c:pt idx="809">
                  <c:v>77</c:v>
                </c:pt>
                <c:pt idx="810">
                  <c:v>84</c:v>
                </c:pt>
                <c:pt idx="811">
                  <c:v>37</c:v>
                </c:pt>
                <c:pt idx="812">
                  <c:v>80</c:v>
                </c:pt>
                <c:pt idx="813">
                  <c:v>81</c:v>
                </c:pt>
                <c:pt idx="814">
                  <c:v>47</c:v>
                </c:pt>
                <c:pt idx="815">
                  <c:v>41</c:v>
                </c:pt>
                <c:pt idx="816">
                  <c:v>34</c:v>
                </c:pt>
                <c:pt idx="817">
                  <c:v>87</c:v>
                </c:pt>
                <c:pt idx="818">
                  <c:v>26</c:v>
                </c:pt>
                <c:pt idx="819">
                  <c:v>98</c:v>
                </c:pt>
                <c:pt idx="820">
                  <c:v>66</c:v>
                </c:pt>
                <c:pt idx="821">
                  <c:v>36</c:v>
                </c:pt>
                <c:pt idx="822">
                  <c:v>72</c:v>
                </c:pt>
                <c:pt idx="823">
                  <c:v>65</c:v>
                </c:pt>
                <c:pt idx="824">
                  <c:v>52</c:v>
                </c:pt>
                <c:pt idx="825">
                  <c:v>54</c:v>
                </c:pt>
                <c:pt idx="826">
                  <c:v>63</c:v>
                </c:pt>
                <c:pt idx="827">
                  <c:v>25</c:v>
                </c:pt>
                <c:pt idx="828">
                  <c:v>74</c:v>
                </c:pt>
                <c:pt idx="829">
                  <c:v>91</c:v>
                </c:pt>
                <c:pt idx="830">
                  <c:v>37</c:v>
                </c:pt>
                <c:pt idx="831">
                  <c:v>36</c:v>
                </c:pt>
                <c:pt idx="832">
                  <c:v>61</c:v>
                </c:pt>
                <c:pt idx="833">
                  <c:v>80</c:v>
                </c:pt>
                <c:pt idx="834">
                  <c:v>25</c:v>
                </c:pt>
                <c:pt idx="835">
                  <c:v>41</c:v>
                </c:pt>
                <c:pt idx="836">
                  <c:v>25</c:v>
                </c:pt>
                <c:pt idx="837">
                  <c:v>77</c:v>
                </c:pt>
                <c:pt idx="838">
                  <c:v>92</c:v>
                </c:pt>
                <c:pt idx="839">
                  <c:v>55</c:v>
                </c:pt>
                <c:pt idx="840">
                  <c:v>80</c:v>
                </c:pt>
                <c:pt idx="841">
                  <c:v>30</c:v>
                </c:pt>
                <c:pt idx="842">
                  <c:v>80</c:v>
                </c:pt>
                <c:pt idx="843">
                  <c:v>24</c:v>
                </c:pt>
                <c:pt idx="844">
                  <c:v>84</c:v>
                </c:pt>
                <c:pt idx="845">
                  <c:v>45</c:v>
                </c:pt>
                <c:pt idx="846">
                  <c:v>76</c:v>
                </c:pt>
                <c:pt idx="847">
                  <c:v>54</c:v>
                </c:pt>
                <c:pt idx="848">
                  <c:v>41</c:v>
                </c:pt>
                <c:pt idx="849">
                  <c:v>97</c:v>
                </c:pt>
                <c:pt idx="850">
                  <c:v>74</c:v>
                </c:pt>
                <c:pt idx="851">
                  <c:v>45</c:v>
                </c:pt>
                <c:pt idx="852">
                  <c:v>100</c:v>
                </c:pt>
                <c:pt idx="853">
                  <c:v>90</c:v>
                </c:pt>
                <c:pt idx="854">
                  <c:v>68</c:v>
                </c:pt>
                <c:pt idx="855">
                  <c:v>46</c:v>
                </c:pt>
                <c:pt idx="856">
                  <c:v>74</c:v>
                </c:pt>
                <c:pt idx="857">
                  <c:v>38</c:v>
                </c:pt>
                <c:pt idx="858">
                  <c:v>64</c:v>
                </c:pt>
                <c:pt idx="859">
                  <c:v>83</c:v>
                </c:pt>
                <c:pt idx="860">
                  <c:v>49</c:v>
                </c:pt>
                <c:pt idx="861">
                  <c:v>51</c:v>
                </c:pt>
                <c:pt idx="862">
                  <c:v>98</c:v>
                </c:pt>
                <c:pt idx="863">
                  <c:v>55</c:v>
                </c:pt>
                <c:pt idx="864">
                  <c:v>33</c:v>
                </c:pt>
                <c:pt idx="865">
                  <c:v>27</c:v>
                </c:pt>
                <c:pt idx="866">
                  <c:v>41</c:v>
                </c:pt>
                <c:pt idx="867">
                  <c:v>47</c:v>
                </c:pt>
                <c:pt idx="868">
                  <c:v>58</c:v>
                </c:pt>
                <c:pt idx="869">
                  <c:v>48</c:v>
                </c:pt>
                <c:pt idx="870">
                  <c:v>62</c:v>
                </c:pt>
                <c:pt idx="871">
                  <c:v>83</c:v>
                </c:pt>
                <c:pt idx="872">
                  <c:v>76</c:v>
                </c:pt>
                <c:pt idx="873">
                  <c:v>68</c:v>
                </c:pt>
                <c:pt idx="874">
                  <c:v>92</c:v>
                </c:pt>
                <c:pt idx="875">
                  <c:v>61</c:v>
                </c:pt>
                <c:pt idx="876">
                  <c:v>56</c:v>
                </c:pt>
                <c:pt idx="877">
                  <c:v>31</c:v>
                </c:pt>
                <c:pt idx="878">
                  <c:v>52</c:v>
                </c:pt>
                <c:pt idx="879">
                  <c:v>48</c:v>
                </c:pt>
                <c:pt idx="880">
                  <c:v>32</c:v>
                </c:pt>
                <c:pt idx="881">
                  <c:v>81</c:v>
                </c:pt>
                <c:pt idx="882">
                  <c:v>23</c:v>
                </c:pt>
                <c:pt idx="883">
                  <c:v>66</c:v>
                </c:pt>
                <c:pt idx="884">
                  <c:v>100</c:v>
                </c:pt>
                <c:pt idx="885">
                  <c:v>90</c:v>
                </c:pt>
                <c:pt idx="886">
                  <c:v>37</c:v>
                </c:pt>
                <c:pt idx="887">
                  <c:v>51</c:v>
                </c:pt>
                <c:pt idx="888">
                  <c:v>55</c:v>
                </c:pt>
                <c:pt idx="889">
                  <c:v>72</c:v>
                </c:pt>
                <c:pt idx="890">
                  <c:v>77</c:v>
                </c:pt>
                <c:pt idx="891">
                  <c:v>49</c:v>
                </c:pt>
                <c:pt idx="892">
                  <c:v>91</c:v>
                </c:pt>
                <c:pt idx="893">
                  <c:v>53</c:v>
                </c:pt>
                <c:pt idx="894">
                  <c:v>41</c:v>
                </c:pt>
                <c:pt idx="895">
                  <c:v>29</c:v>
                </c:pt>
                <c:pt idx="896">
                  <c:v>93</c:v>
                </c:pt>
                <c:pt idx="897">
                  <c:v>97</c:v>
                </c:pt>
                <c:pt idx="898">
                  <c:v>31</c:v>
                </c:pt>
                <c:pt idx="899">
                  <c:v>51</c:v>
                </c:pt>
                <c:pt idx="900">
                  <c:v>92</c:v>
                </c:pt>
                <c:pt idx="901">
                  <c:v>93</c:v>
                </c:pt>
                <c:pt idx="902">
                  <c:v>51</c:v>
                </c:pt>
                <c:pt idx="903">
                  <c:v>84</c:v>
                </c:pt>
                <c:pt idx="904">
                  <c:v>46</c:v>
                </c:pt>
                <c:pt idx="905">
                  <c:v>75</c:v>
                </c:pt>
                <c:pt idx="906">
                  <c:v>34</c:v>
                </c:pt>
                <c:pt idx="907">
                  <c:v>96</c:v>
                </c:pt>
                <c:pt idx="908">
                  <c:v>89</c:v>
                </c:pt>
                <c:pt idx="909">
                  <c:v>46</c:v>
                </c:pt>
                <c:pt idx="910">
                  <c:v>30</c:v>
                </c:pt>
                <c:pt idx="911">
                  <c:v>85</c:v>
                </c:pt>
                <c:pt idx="912">
                  <c:v>33</c:v>
                </c:pt>
                <c:pt idx="913">
                  <c:v>85</c:v>
                </c:pt>
                <c:pt idx="914">
                  <c:v>52</c:v>
                </c:pt>
                <c:pt idx="915">
                  <c:v>39</c:v>
                </c:pt>
                <c:pt idx="916">
                  <c:v>36</c:v>
                </c:pt>
                <c:pt idx="917">
                  <c:v>100</c:v>
                </c:pt>
                <c:pt idx="918">
                  <c:v>35</c:v>
                </c:pt>
                <c:pt idx="919">
                  <c:v>83</c:v>
                </c:pt>
                <c:pt idx="920">
                  <c:v>98</c:v>
                </c:pt>
                <c:pt idx="921">
                  <c:v>55</c:v>
                </c:pt>
                <c:pt idx="922">
                  <c:v>82</c:v>
                </c:pt>
                <c:pt idx="923">
                  <c:v>34</c:v>
                </c:pt>
                <c:pt idx="924">
                  <c:v>95</c:v>
                </c:pt>
                <c:pt idx="925">
                  <c:v>50</c:v>
                </c:pt>
                <c:pt idx="926">
                  <c:v>21</c:v>
                </c:pt>
                <c:pt idx="927">
                  <c:v>72</c:v>
                </c:pt>
                <c:pt idx="928">
                  <c:v>49</c:v>
                </c:pt>
                <c:pt idx="929">
                  <c:v>22</c:v>
                </c:pt>
                <c:pt idx="930">
                  <c:v>58</c:v>
                </c:pt>
                <c:pt idx="931">
                  <c:v>81</c:v>
                </c:pt>
                <c:pt idx="932">
                  <c:v>98</c:v>
                </c:pt>
                <c:pt idx="933">
                  <c:v>63</c:v>
                </c:pt>
                <c:pt idx="934">
                  <c:v>39</c:v>
                </c:pt>
                <c:pt idx="935">
                  <c:v>78</c:v>
                </c:pt>
                <c:pt idx="936">
                  <c:v>92</c:v>
                </c:pt>
                <c:pt idx="937">
                  <c:v>36</c:v>
                </c:pt>
                <c:pt idx="938">
                  <c:v>44</c:v>
                </c:pt>
                <c:pt idx="939">
                  <c:v>45</c:v>
                </c:pt>
                <c:pt idx="940">
                  <c:v>74</c:v>
                </c:pt>
                <c:pt idx="941">
                  <c:v>20</c:v>
                </c:pt>
                <c:pt idx="942">
                  <c:v>67</c:v>
                </c:pt>
                <c:pt idx="943">
                  <c:v>58</c:v>
                </c:pt>
                <c:pt idx="944">
                  <c:v>74</c:v>
                </c:pt>
                <c:pt idx="945">
                  <c:v>69</c:v>
                </c:pt>
                <c:pt idx="946">
                  <c:v>38</c:v>
                </c:pt>
                <c:pt idx="947">
                  <c:v>28</c:v>
                </c:pt>
                <c:pt idx="948">
                  <c:v>44</c:v>
                </c:pt>
                <c:pt idx="949">
                  <c:v>82</c:v>
                </c:pt>
                <c:pt idx="950">
                  <c:v>85</c:v>
                </c:pt>
                <c:pt idx="951">
                  <c:v>41</c:v>
                </c:pt>
                <c:pt idx="952">
                  <c:v>41</c:v>
                </c:pt>
                <c:pt idx="953">
                  <c:v>79</c:v>
                </c:pt>
                <c:pt idx="954">
                  <c:v>48</c:v>
                </c:pt>
                <c:pt idx="955">
                  <c:v>22</c:v>
                </c:pt>
                <c:pt idx="956">
                  <c:v>31</c:v>
                </c:pt>
                <c:pt idx="957">
                  <c:v>26</c:v>
                </c:pt>
                <c:pt idx="958">
                  <c:v>97</c:v>
                </c:pt>
                <c:pt idx="959">
                  <c:v>61</c:v>
                </c:pt>
                <c:pt idx="960">
                  <c:v>56</c:v>
                </c:pt>
                <c:pt idx="961">
                  <c:v>37</c:v>
                </c:pt>
                <c:pt idx="962">
                  <c:v>23</c:v>
                </c:pt>
                <c:pt idx="963">
                  <c:v>67</c:v>
                </c:pt>
                <c:pt idx="964">
                  <c:v>43</c:v>
                </c:pt>
                <c:pt idx="965">
                  <c:v>97</c:v>
                </c:pt>
                <c:pt idx="966">
                  <c:v>68</c:v>
                </c:pt>
                <c:pt idx="967">
                  <c:v>94</c:v>
                </c:pt>
                <c:pt idx="968">
                  <c:v>69</c:v>
                </c:pt>
                <c:pt idx="969">
                  <c:v>66</c:v>
                </c:pt>
                <c:pt idx="970">
                  <c:v>70</c:v>
                </c:pt>
                <c:pt idx="971">
                  <c:v>86</c:v>
                </c:pt>
                <c:pt idx="972">
                  <c:v>30</c:v>
                </c:pt>
                <c:pt idx="973">
                  <c:v>71</c:v>
                </c:pt>
                <c:pt idx="974">
                  <c:v>52</c:v>
                </c:pt>
                <c:pt idx="975">
                  <c:v>22</c:v>
                </c:pt>
                <c:pt idx="976">
                  <c:v>25</c:v>
                </c:pt>
                <c:pt idx="977">
                  <c:v>100</c:v>
                </c:pt>
                <c:pt idx="978">
                  <c:v>99</c:v>
                </c:pt>
                <c:pt idx="979">
                  <c:v>85</c:v>
                </c:pt>
                <c:pt idx="980">
                  <c:v>31</c:v>
                </c:pt>
                <c:pt idx="981">
                  <c:v>60</c:v>
                </c:pt>
                <c:pt idx="982">
                  <c:v>35</c:v>
                </c:pt>
                <c:pt idx="983">
                  <c:v>95</c:v>
                </c:pt>
                <c:pt idx="984">
                  <c:v>54</c:v>
                </c:pt>
                <c:pt idx="985">
                  <c:v>58</c:v>
                </c:pt>
                <c:pt idx="986">
                  <c:v>95</c:v>
                </c:pt>
                <c:pt idx="987">
                  <c:v>98</c:v>
                </c:pt>
                <c:pt idx="988">
                  <c:v>22</c:v>
                </c:pt>
                <c:pt idx="989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11-4110-B86F-97D0D07A8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21151"/>
        <c:axId val="293673167"/>
      </c:scatterChart>
      <c:valAx>
        <c:axId val="10792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673167"/>
        <c:crosses val="autoZero"/>
        <c:crossBetween val="midCat"/>
      </c:valAx>
      <c:valAx>
        <c:axId val="29367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2115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[Grocery_Inventory_and_Sales_Dataset.xlsx]Graphical Representations!PivotTable1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Inventory Value Distribution by Category</a:t>
            </a:r>
            <a:endParaRPr lang="en-US"/>
          </a:p>
        </c:rich>
      </c:tx>
      <c:layout>
        <c:manualLayout>
          <c:xMode val="edge"/>
          <c:yMode val="edge"/>
          <c:x val="0.20008333333333336"/>
          <c:y val="0.123288032324510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'Graphical Representations'!$B$3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'Graphical Representations'!$A$4:$A$12</c:f>
              <c:strCache>
                <c:ptCount val="8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Fruits &amp; Vegetables</c:v>
                </c:pt>
                <c:pt idx="4">
                  <c:v>Grains &amp; Pulses</c:v>
                </c:pt>
                <c:pt idx="5">
                  <c:v>Oils &amp; Fats</c:v>
                </c:pt>
                <c:pt idx="6">
                  <c:v>Seafood</c:v>
                </c:pt>
                <c:pt idx="7">
                  <c:v>(blank)</c:v>
                </c:pt>
              </c:strCache>
            </c:strRef>
          </c:cat>
          <c:val>
            <c:numRef>
              <c:f>'Graphical Representations'!$B$4:$B$12</c:f>
              <c:numCache>
                <c:formatCode>_-[$$-409]* #,##0.00_ ;_-[$$-409]* \-#,##0.00\ ;_-[$$-409]* "-"??_ ;_-@_ </c:formatCode>
                <c:ptCount val="8"/>
                <c:pt idx="0">
                  <c:v>16788.8</c:v>
                </c:pt>
                <c:pt idx="1">
                  <c:v>62942.25</c:v>
                </c:pt>
                <c:pt idx="2">
                  <c:v>50601.94999999999</c:v>
                </c:pt>
                <c:pt idx="3">
                  <c:v>86033.159999999989</c:v>
                </c:pt>
                <c:pt idx="4">
                  <c:v>31969.200000000001</c:v>
                </c:pt>
                <c:pt idx="5">
                  <c:v>17211.500000000004</c:v>
                </c:pt>
                <c:pt idx="6">
                  <c:v>62515.899999999994</c:v>
                </c:pt>
                <c:pt idx="7">
                  <c:v>4591.95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E-4452-86DE-81C6AC22A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4277599"/>
        <c:axId val="824276639"/>
        <c:axId val="0"/>
      </c:bar3DChart>
      <c:catAx>
        <c:axId val="82427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76639"/>
        <c:crosses val="autoZero"/>
        <c:auto val="1"/>
        <c:lblAlgn val="ctr"/>
        <c:lblOffset val="100"/>
        <c:noMultiLvlLbl val="0"/>
      </c:catAx>
      <c:valAx>
        <c:axId val="82427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7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30">
      <a:fgClr>
        <a:schemeClr val="accent1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[Grocery_Inventory_and_Sales_Dataset.xlsx]Graphical Representations!PivotTable2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Category-wise Revenue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'Graphical Representations'!$B$24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5FC-441F-B715-1164CAE18A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5FC-441F-B715-1164CAE18A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5FC-441F-B715-1164CAE18A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5FC-441F-B715-1164CAE18A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5FC-441F-B715-1164CAE18A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5FC-441F-B715-1164CAE18A0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5FC-441F-B715-1164CAE18A0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5FC-441F-B715-1164CAE18A03}"/>
              </c:ext>
            </c:extLst>
          </c:dPt>
          <c:cat>
            <c:strRef>
              <c:f>'Graphical Representations'!$A$25:$A$33</c:f>
              <c:strCache>
                <c:ptCount val="8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Fruits &amp; Vegetables</c:v>
                </c:pt>
                <c:pt idx="4">
                  <c:v>Grains &amp; Pulses</c:v>
                </c:pt>
                <c:pt idx="5">
                  <c:v>Oils &amp; Fats</c:v>
                </c:pt>
                <c:pt idx="6">
                  <c:v>Seafood</c:v>
                </c:pt>
                <c:pt idx="7">
                  <c:v>(blank)</c:v>
                </c:pt>
              </c:strCache>
            </c:strRef>
          </c:cat>
          <c:val>
            <c:numRef>
              <c:f>'Graphical Representations'!$B$25:$B$33</c:f>
              <c:numCache>
                <c:formatCode>_-[$$-409]* #,##0.00_ ;_-[$$-409]* \-#,##0.00\ ;_-[$$-409]* "-"??_ ;_-@_ </c:formatCode>
                <c:ptCount val="8"/>
                <c:pt idx="0">
                  <c:v>1021551.6000000001</c:v>
                </c:pt>
                <c:pt idx="1">
                  <c:v>3848843.85</c:v>
                </c:pt>
                <c:pt idx="2">
                  <c:v>3099638.8499999996</c:v>
                </c:pt>
                <c:pt idx="3">
                  <c:v>5101257.5900000008</c:v>
                </c:pt>
                <c:pt idx="4">
                  <c:v>1699582.55</c:v>
                </c:pt>
                <c:pt idx="5">
                  <c:v>1042268.8</c:v>
                </c:pt>
                <c:pt idx="6">
                  <c:v>3823243</c:v>
                </c:pt>
                <c:pt idx="7">
                  <c:v>165310.19999999998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0-4C12-AE96-2D7D5C531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30">
      <a:fgClr>
        <a:schemeClr val="accent1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[Grocery_Inventory_and_Sales_Dataset.xlsx]Graphical Representations!PivotTable5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'Graphical Representations'!$B$39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'Graphical Representations'!$A$40:$A$48</c:f>
              <c:strCache>
                <c:ptCount val="8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Fruits &amp; Vegetables</c:v>
                </c:pt>
                <c:pt idx="4">
                  <c:v>Grains &amp; Pulses</c:v>
                </c:pt>
                <c:pt idx="5">
                  <c:v>Oils &amp; Fats</c:v>
                </c:pt>
                <c:pt idx="6">
                  <c:v>Seafood</c:v>
                </c:pt>
                <c:pt idx="7">
                  <c:v>(blank)</c:v>
                </c:pt>
              </c:strCache>
            </c:strRef>
          </c:cat>
          <c:val>
            <c:numRef>
              <c:f>'Graphical Representations'!$B$40:$B$48</c:f>
              <c:numCache>
                <c:formatCode>_-[$$-409]* #,##0.00_ ;_-[$$-409]* \-#,##0.00\ ;_-[$$-409]* "-"??_ ;_-@_ </c:formatCode>
                <c:ptCount val="8"/>
                <c:pt idx="0">
                  <c:v>1004762.8</c:v>
                </c:pt>
                <c:pt idx="1">
                  <c:v>3785901.6</c:v>
                </c:pt>
                <c:pt idx="2">
                  <c:v>3049036.8999999994</c:v>
                </c:pt>
                <c:pt idx="3">
                  <c:v>5015224.43</c:v>
                </c:pt>
                <c:pt idx="4">
                  <c:v>1667613.35</c:v>
                </c:pt>
                <c:pt idx="5">
                  <c:v>1025057.3</c:v>
                </c:pt>
                <c:pt idx="6">
                  <c:v>3760727.1</c:v>
                </c:pt>
                <c:pt idx="7">
                  <c:v>160718.24999999997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F-4EC0-AE30-B27217F37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154704"/>
        <c:axId val="172147024"/>
        <c:axId val="175908384"/>
      </c:bar3DChart>
      <c:catAx>
        <c:axId val="17215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47024"/>
        <c:crosses val="autoZero"/>
        <c:auto val="1"/>
        <c:lblAlgn val="ctr"/>
        <c:lblOffset val="100"/>
        <c:noMultiLvlLbl val="0"/>
      </c:catAx>
      <c:valAx>
        <c:axId val="17214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54704"/>
        <c:crosses val="autoZero"/>
        <c:crossBetween val="between"/>
      </c:valAx>
      <c:serAx>
        <c:axId val="175908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4702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30">
      <a:fgClr>
        <a:schemeClr val="accent1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Unit Price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Unit Price Distribution</a:t>
          </a:r>
        </a:p>
      </cx:txPr>
    </cx:title>
    <cx:plotArea>
      <cx:plotAreaRegion>
        <cx:series layoutId="clusteredColumn" uniqueId="{57504356-6398-4083-89B5-7BCFA3C1945D}">
          <cx:tx>
            <cx:txData>
              <cx:f>_xlchart.v1.8</cx:f>
              <cx:v> Unit_Price 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E714FBF2-1EC9-4F5F-B56C-1EDDDBCF4A8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Sales Volume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Sales Volume Distribution</a:t>
          </a:r>
        </a:p>
      </cx:txPr>
    </cx:title>
    <cx:plotArea>
      <cx:plotAreaRegion>
        <cx:series layoutId="clusteredColumn" uniqueId="{24E1A1ED-1AA4-45A8-80C9-F8A23EE7DA0C}">
          <cx:tx>
            <cx:txData>
              <cx:f>_xlchart.v1.6</cx:f>
              <cx:v>Sales_Volume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3CF628A6-B75B-4C89-ACA5-A19255D8ACEE}"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13</xdr:row>
      <xdr:rowOff>87630</xdr:rowOff>
    </xdr:from>
    <xdr:to>
      <xdr:col>9</xdr:col>
      <xdr:colOff>220980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C7F54-553B-3E2D-526C-5309518AF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571500</xdr:colOff>
      <xdr:row>30</xdr:row>
      <xdr:rowOff>179070</xdr:rowOff>
    </xdr:from>
    <xdr:to>
      <xdr:col>10</xdr:col>
      <xdr:colOff>266700</xdr:colOff>
      <xdr:row>45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53F65D-E932-40F7-5F70-BF50A9F04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386</xdr:row>
      <xdr:rowOff>0</xdr:rowOff>
    </xdr:from>
    <xdr:to>
      <xdr:col>10</xdr:col>
      <xdr:colOff>304800</xdr:colOff>
      <xdr:row>401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C2AE56-D2FD-4595-8AC6-BB2A38BBD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512</xdr:row>
      <xdr:rowOff>0</xdr:rowOff>
    </xdr:from>
    <xdr:to>
      <xdr:col>5</xdr:col>
      <xdr:colOff>114300</xdr:colOff>
      <xdr:row>527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DCDF8DC4-540E-4DC4-8F0D-B4DB1D998C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1440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533</xdr:row>
      <xdr:rowOff>175260</xdr:rowOff>
    </xdr:from>
    <xdr:to>
      <xdr:col>3</xdr:col>
      <xdr:colOff>495300</xdr:colOff>
      <xdr:row>548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E77146F-4393-461C-9C27-8ABBA8A80F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54557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555</xdr:row>
      <xdr:rowOff>0</xdr:rowOff>
    </xdr:from>
    <xdr:to>
      <xdr:col>3</xdr:col>
      <xdr:colOff>495300</xdr:colOff>
      <xdr:row>570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17BBD8-DEE2-480D-BC64-0AAFD74C5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11430</xdr:rowOff>
    </xdr:from>
    <xdr:to>
      <xdr:col>11</xdr:col>
      <xdr:colOff>304800</xdr:colOff>
      <xdr:row>15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F5B07-0170-CEC3-F6BD-EC0CF6A29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</xdr:colOff>
      <xdr:row>21</xdr:row>
      <xdr:rowOff>163830</xdr:rowOff>
    </xdr:from>
    <xdr:to>
      <xdr:col>11</xdr:col>
      <xdr:colOff>327660</xdr:colOff>
      <xdr:row>33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0EED1C-29B6-79B4-D33E-6410DC5B7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22860</xdr:colOff>
      <xdr:row>37</xdr:row>
      <xdr:rowOff>26670</xdr:rowOff>
    </xdr:from>
    <xdr:to>
      <xdr:col>11</xdr:col>
      <xdr:colOff>327660</xdr:colOff>
      <xdr:row>53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0F3D8C-69BD-FEE3-C0B8-A85A39F60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e" refreshedDate="46083.411736689814" createdVersion="8" refreshedVersion="8" minRefreshableVersion="3" recordCount="990" xr:uid="{7A0AB0F0-3A27-43FB-9F74-A2B54DC10655}">
  <cacheSource type="worksheet">
    <worksheetSource ref="A1:Z991" sheet="Grocery_Inventory_and_Sales_Dat"/>
  </cacheSource>
  <cacheFields count="25">
    <cacheField name="Product_ID" numFmtId="0">
      <sharedItems/>
    </cacheField>
    <cacheField name="Product_Name" numFmtId="0">
      <sharedItems/>
    </cacheField>
    <cacheField name="Category" numFmtId="0">
      <sharedItems containsBlank="1" count="8">
        <s v="Grains &amp; Pulses"/>
        <s v="Beverages"/>
        <s v="Fruits &amp; Vegetables"/>
        <s v="Oils &amp; Fats"/>
        <s v="Dairy"/>
        <s v="Bakery"/>
        <s v="Seafood"/>
        <m/>
      </sharedItems>
    </cacheField>
    <cacheField name="Supplier_ID" numFmtId="0">
      <sharedItems/>
    </cacheField>
    <cacheField name="Supplier_Name" numFmtId="0">
      <sharedItems/>
    </cacheField>
    <cacheField name="Stock_Quantity" numFmtId="1">
      <sharedItems containsSemiMixedTypes="0" containsString="0" containsNumber="1" containsInteger="1" minValue="10" maxValue="100"/>
    </cacheField>
    <cacheField name="Reorder_Level" numFmtId="0">
      <sharedItems containsSemiMixedTypes="0" containsString="0" containsNumber="1" containsInteger="1" minValue="1" maxValue="100"/>
    </cacheField>
    <cacheField name="Reorder_Quantity" numFmtId="0">
      <sharedItems containsSemiMixedTypes="0" containsString="0" containsNumber="1" containsInteger="1" minValue="1" maxValue="100"/>
    </cacheField>
    <cacheField name="Reorder_Required" numFmtId="0">
      <sharedItems/>
    </cacheField>
    <cacheField name="Recommended_Reorder_Quantity" numFmtId="0">
      <sharedItems containsSemiMixedTypes="0" containsString="0" containsNumber="1" containsInteger="1" minValue="0" maxValue="100"/>
    </cacheField>
    <cacheField name="Priority_Reorders" numFmtId="0">
      <sharedItems/>
    </cacheField>
    <cacheField name=" Unit_Price " numFmtId="164">
      <sharedItems/>
    </cacheField>
    <cacheField name="Inventory Value" numFmtId="164">
      <sharedItems containsSemiMixedTypes="0" containsString="0" containsNumber="1" minValue="2" maxValue="5512.08"/>
    </cacheField>
    <cacheField name="Date_Received" numFmtId="14">
      <sharedItems containsSemiMixedTypes="0" containsNonDate="0" containsDate="1" containsString="0" minDate="2024-01-03T00:00:00" maxDate="2025-12-03T00:00:00"/>
    </cacheField>
    <cacheField name="Last_Order_Date" numFmtId="14">
      <sharedItems containsSemiMixedTypes="0" containsNonDate="0" containsDate="1" containsString="0" minDate="2024-01-03T00:00:00" maxDate="2025-12-03T00:00:00"/>
    </cacheField>
    <cacheField name="Expiration_Date" numFmtId="14">
      <sharedItems containsSemiMixedTypes="0" containsNonDate="0" containsDate="1" containsString="0" minDate="2024-02-25T00:00:00" maxDate="2025-02-25T00:00:00"/>
    </cacheField>
    <cacheField name="Inventory Age" numFmtId="0">
      <sharedItems containsSemiMixedTypes="0" containsString="0" containsNumber="1" containsInteger="1" minValue="86" maxValue="785"/>
    </cacheField>
    <cacheField name="Days Since Last Order" numFmtId="0">
      <sharedItems containsSemiMixedTypes="0" containsString="0" containsNumber="1" containsInteger="1" minValue="86" maxValue="785"/>
    </cacheField>
    <cacheField name="Days Until Expiry" numFmtId="0">
      <sharedItems containsSemiMixedTypes="0" containsString="0" containsNumber="1" containsInteger="1" minValue="367" maxValue="732"/>
    </cacheField>
    <cacheField name="Expiry Status" numFmtId="0">
      <sharedItems/>
    </cacheField>
    <cacheField name="Warehouse_Location" numFmtId="0">
      <sharedItems/>
    </cacheField>
    <cacheField name="Sales_Volume" numFmtId="0">
      <sharedItems containsSemiMixedTypes="0" containsString="0" containsNumber="1" containsInteger="1" minValue="20" maxValue="100"/>
    </cacheField>
    <cacheField name="Total_Revenue_by_product" numFmtId="164">
      <sharedItems containsSemiMixedTypes="0" containsString="0" containsNumber="1" minValue="145.20000000000002" maxValue="444822.3"/>
    </cacheField>
    <cacheField name="Inventory_Turnover_Rate" numFmtId="0">
      <sharedItems containsSemiMixedTypes="0" containsString="0" containsNumber="1" containsInteger="1" minValue="1" maxValue="1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e" refreshedDate="46084.357619444447" createdVersion="8" refreshedVersion="8" minRefreshableVersion="3" recordCount="990" xr:uid="{ED67F338-EBE1-477B-B916-D3224708BE25}">
  <cacheSource type="worksheet">
    <worksheetSource ref="A1:AA991" sheet="Grocery_Inventory_and_Sales_Dat"/>
  </cacheSource>
  <cacheFields count="26">
    <cacheField name="Product_ID" numFmtId="0">
      <sharedItems count="990">
        <s v="29-205-1132"/>
        <s v="40-681-9981"/>
        <s v="06-955-3428"/>
        <s v="71-594-6552"/>
        <s v="57-437-1828"/>
        <s v="21-120-6238"/>
        <s v="71-516-1996"/>
        <s v="39-629-5554"/>
        <s v="66-268-8345"/>
        <s v="46-452-9419"/>
        <s v="51-469-4611"/>
        <s v="42-220-9305"/>
        <s v="75-094-1179"/>
        <s v="11-073-0189"/>
        <s v="22-621-2774"/>
        <s v="39-449-0772"/>
        <s v="55-936-2406"/>
        <s v="82-041-7211"/>
        <s v="48-414-6162"/>
        <s v="76-854-0095"/>
        <s v="25-349-7974"/>
        <s v="66-627-9752"/>
        <s v="78-614-4402"/>
        <s v="67-025-1245"/>
        <s v="68-418-6724"/>
        <s v="40-795-0753"/>
        <s v="02-508-3777"/>
        <s v="79-741-0770"/>
        <s v="31-211-5803"/>
        <s v="16-499-5059"/>
        <s v="76-340-4432"/>
        <s v="38-732-7667"/>
        <s v="04-240-2226"/>
        <s v="79-136-9840"/>
        <s v="73-401-5721"/>
        <s v="91-848-0606"/>
        <s v="54-109-8062"/>
        <s v="70-612-2531"/>
        <s v="26-161-6692"/>
        <s v="43-893-5408"/>
        <s v="11-316-8405"/>
        <s v="34-086-3222"/>
        <s v="21-816-1004"/>
        <s v="43-693-2092"/>
        <s v="63-270-7076"/>
        <s v="90-230-9767"/>
        <s v="05-334-2923"/>
        <s v="52-481-5224"/>
        <s v="11-325-7396"/>
        <s v="70-854-6891"/>
        <s v="46-520-1819"/>
        <s v="91-105-7317"/>
        <s v="40-751-8635"/>
        <s v="02-920-4829"/>
        <s v="36-918-2937"/>
        <s v="68-761-6907"/>
        <s v="69-468-5468"/>
        <s v="27-635-8394"/>
        <s v="41-729-5410"/>
        <s v="33-335-9140"/>
        <s v="11-581-9869"/>
        <s v="78-237-0277"/>
        <s v="75-152-8731"/>
        <s v="65-718-0492"/>
        <s v="55-697-5242"/>
        <s v="14-844-4138"/>
        <s v="20-225-3930"/>
        <s v="66-993-4234"/>
        <s v="87-762-1317"/>
        <s v="81-844-2979"/>
        <s v="44-408-7594"/>
        <s v="26-010-9519"/>
        <s v="65-464-5070"/>
        <s v="07-970-9352"/>
        <s v="88-746-9468"/>
        <s v="06-336-5482"/>
        <s v="03-276-3931"/>
        <s v="39-232-5341"/>
        <s v="12-239-9399"/>
        <s v="75-080-4909"/>
        <s v="70-815-4015"/>
        <s v="11-032-9778"/>
        <s v="54-374-9986"/>
        <s v="77-312-6317"/>
        <s v="13-844-2178"/>
        <s v="22-141-9798"/>
        <s v="20-022-3173"/>
        <s v="26-177-5690"/>
        <s v="70-871-4536"/>
        <s v="06-611-5454"/>
        <s v="89-543-3456"/>
        <s v="82-395-5070"/>
        <s v="14-305-5348"/>
        <s v="82-243-3180"/>
        <s v="25-010-9478"/>
        <s v="13-202-4809"/>
        <s v="67-270-7464"/>
        <s v="11-733-1756"/>
        <s v="80-988-4653"/>
        <s v="60-343-7973"/>
        <s v="34-861-4446"/>
        <s v="67-710-5120"/>
        <s v="49-891-4927"/>
        <s v="55-522-8242"/>
        <s v="62-509-0666"/>
        <s v="64-478-4745"/>
        <s v="35-835-5591"/>
        <s v="26-690-3784"/>
        <s v="67-546-1568"/>
        <s v="67-625-9704"/>
        <s v="31-969-4614"/>
        <s v="50-364-5828"/>
        <s v="61-827-4098"/>
        <s v="87-698-0944"/>
        <s v="36-636-4873"/>
        <s v="98-556-5323"/>
        <s v="97-772-2336"/>
        <s v="19-047-4239"/>
        <s v="41-316-8427"/>
        <s v="15-907-3681"/>
        <s v="14-305-9690"/>
        <s v="40-860-4532"/>
        <s v="44-552-3909"/>
        <s v="75-029-9003"/>
        <s v="74-587-2065"/>
        <s v="70-149-6756"/>
        <s v="29-896-7926"/>
        <s v="54-822-9009"/>
        <s v="84-075-7647"/>
        <s v="88-602-8210"/>
        <s v="04-542-3863"/>
        <s v="57-613-5779"/>
        <s v="90-737-0044"/>
        <s v="28-956-1320"/>
        <s v="87-791-5803"/>
        <s v="14-521-4167"/>
        <s v="51-572-5497"/>
        <s v="28-840-6096"/>
        <s v="44-538-3366"/>
        <s v="51-459-5630"/>
        <s v="02-655-3240"/>
        <s v="42-887-6557"/>
        <s v="96-316-7600"/>
        <s v="58-063-8633"/>
        <s v="43-703-9939"/>
        <s v="88-069-5486"/>
        <s v="74-845-3299"/>
        <s v="81-605-6246"/>
        <s v="73-561-2867"/>
        <s v="19-967-0632"/>
        <s v="23-070-2433"/>
        <s v="27-262-2437"/>
        <s v="39-479-5147"/>
        <s v="71-085-4290"/>
        <s v="48-957-6116"/>
        <s v="83-917-7384"/>
        <s v="26-031-8070"/>
        <s v="03-149-9760"/>
        <s v="53-680-5293"/>
        <s v="49-861-7823"/>
        <s v="24-364-3341"/>
        <s v="80-374-5711"/>
        <s v="76-325-9093"/>
        <s v="30-429-2162"/>
        <s v="53-446-8243"/>
        <s v="67-473-7093"/>
        <s v="98-235-2711"/>
        <s v="07-219-8017"/>
        <s v="97-040-3822"/>
        <s v="10-002-6494"/>
        <s v="12-998-3882"/>
        <s v="31-746-4951"/>
        <s v="87-097-5691"/>
        <s v="34-075-0371"/>
        <s v="40-810-9261"/>
        <s v="46-931-6897"/>
        <s v="58-182-6781"/>
        <s v="06-706-6490"/>
        <s v="47-578-4161"/>
        <s v="18-199-5799"/>
        <s v="00-357-2313"/>
        <s v="83-704-6367"/>
        <s v="01-144-5960"/>
        <s v="96-774-0457"/>
        <s v="24-310-9184"/>
        <s v="10-255-8579"/>
        <s v="38-417-4656"/>
        <s v="53-080-8252"/>
        <s v="14-681-7035"/>
        <s v="96-503-7712"/>
        <s v="98-064-4465"/>
        <s v="84-198-7276"/>
        <s v="18-278-2383"/>
        <s v="20-054-3716"/>
        <s v="63-822-5278"/>
        <s v="01-439-6231"/>
        <s v="06-690-2335"/>
        <s v="47-554-5780"/>
        <s v="70-587-1204"/>
        <s v="97-710-2449"/>
        <s v="51-462-0747"/>
        <s v="90-492-0564"/>
        <s v="63-956-0739"/>
        <s v="30-832-5429"/>
        <s v="38-822-8005"/>
        <s v="73-118-1117"/>
        <s v="60-285-3783"/>
        <s v="00-215-7434"/>
        <s v="68-734-1585"/>
        <s v="08-703-1382"/>
        <s v="65-282-0419"/>
        <s v="62-777-6010"/>
        <s v="87-675-1506"/>
        <s v="67-027-7269"/>
        <s v="72-066-4597"/>
        <s v="31-627-6025"/>
        <s v="09-286-8107"/>
        <s v="77-013-1553"/>
        <s v="15-762-1058"/>
        <s v="48-193-1199"/>
        <s v="01-173-0029"/>
        <s v="79-400-6216"/>
        <s v="80-072-8774"/>
        <s v="78-689-8958"/>
        <s v="57-562-2358"/>
        <s v="56-191-6497"/>
        <s v="46-753-8430"/>
        <s v="48-461-3742"/>
        <s v="16-354-8122"/>
        <s v="76-954-1442"/>
        <s v="44-476-0390"/>
        <s v="35-617-3857"/>
        <s v="94-029-2717"/>
        <s v="49-526-7806"/>
        <s v="99-137-1730"/>
        <s v="27-442-3654"/>
        <s v="32-933-0329"/>
        <s v="93-813-2419"/>
        <s v="85-440-3667"/>
        <s v="77-224-2227"/>
        <s v="60-632-8752"/>
        <s v="99-561-4871"/>
        <s v="61-607-7622"/>
        <s v="11-745-3025"/>
        <s v="56-810-0550"/>
        <s v="59-075-2457"/>
        <s v="40-021-2400"/>
        <s v="29-017-6255"/>
        <s v="92-291-7089"/>
        <s v="69-287-9113"/>
        <s v="76-540-6407"/>
        <s v="85-561-4694"/>
        <s v="34-928-2775"/>
        <s v="90-773-9557"/>
        <s v="57-394-1587"/>
        <s v="28-008-2951"/>
        <s v="74-711-7160"/>
        <s v="22-895-6595"/>
        <s v="19-214-5762"/>
        <s v="95-349-0828"/>
        <s v="00-963-2193"/>
        <s v="76-459-2392"/>
        <s v="10-034-7654"/>
        <s v="24-972-6969"/>
        <s v="94-190-5193"/>
        <s v="92-791-0606"/>
        <s v="84-629-1532"/>
        <s v="68-977-2498"/>
        <s v="91-257-3672"/>
        <s v="09-536-2626"/>
        <s v="61-801-8665"/>
        <s v="38-296-6634"/>
        <s v="30-591-7275"/>
        <s v="83-763-5038"/>
        <s v="37-709-3532"/>
        <s v="62-795-7801"/>
        <s v="98-575-4736"/>
        <s v="57-861-4379"/>
        <s v="00-119-8780"/>
        <s v="28-824-9017"/>
        <s v="56-668-5370"/>
        <s v="29-756-7042"/>
        <s v="41-538-3129"/>
        <s v="16-380-0753"/>
        <s v="26-535-4727"/>
        <s v="59-857-6577"/>
        <s v="14-550-2152"/>
        <s v="39-315-3936"/>
        <s v="87-199-2743"/>
        <s v="60-771-0879"/>
        <s v="00-440-9568"/>
        <s v="07-074-1196"/>
        <s v="69-674-5387"/>
        <s v="08-940-8578"/>
        <s v="94-020-6982"/>
        <s v="42-879-9478"/>
        <s v="00-405-7428"/>
        <s v="87-997-0228"/>
        <s v="05-498-7751"/>
        <s v="55-631-7937"/>
        <s v="27-389-3529"/>
        <s v="84-272-0790"/>
        <s v="01-903-5373"/>
        <s v="49-311-3063"/>
        <s v="04-277-5245"/>
        <s v="04-453-5485"/>
        <s v="42-141-5718"/>
        <s v="89-602-6755"/>
        <s v="15-045-8444"/>
        <s v="15-240-6267"/>
        <s v="05-193-8096"/>
        <s v="93-342-8794"/>
        <s v="83-716-2177"/>
        <s v="56-635-6764"/>
        <s v="10-249-7928"/>
        <s v="65-759-3721"/>
        <s v="08-725-8156"/>
        <s v="15-679-3935"/>
        <s v="81-578-7404"/>
        <s v="82-380-5378"/>
        <s v="78-362-8578"/>
        <s v="32-261-0008"/>
        <s v="74-943-9034"/>
        <s v="86-330-0214"/>
        <s v="80-334-0215"/>
        <s v="48-957-8596"/>
        <s v="37-246-0018"/>
        <s v="17-002-4721"/>
        <s v="47-802-5023"/>
        <s v="22-319-1377"/>
        <s v="57-903-6434"/>
        <s v="22-083-3347"/>
        <s v="65-145-9672"/>
        <s v="95-252-9619"/>
        <s v="74-294-3760"/>
        <s v="06-797-4963"/>
        <s v="39-768-8205"/>
        <s v="03-043-9933"/>
        <s v="29-823-6004"/>
        <s v="40-462-2952"/>
        <s v="71-999-2404"/>
        <s v="03-919-9890"/>
        <s v="94-525-6925"/>
        <s v="08-213-2058"/>
        <s v="51-312-8608"/>
        <s v="67-512-9754"/>
        <s v="45-402-0421"/>
        <s v="85-207-4164"/>
        <s v="72-780-6006"/>
        <s v="93-166-3169"/>
        <s v="21-718-6746"/>
        <s v="93-966-7754"/>
        <s v="47-663-5703"/>
        <s v="34-110-1040"/>
        <s v="82-342-7339"/>
        <s v="43-670-8544"/>
        <s v="12-439-8428"/>
        <s v="49-919-8798"/>
        <s v="73-567-6194"/>
        <s v="83-573-4586"/>
        <s v="12-798-9401"/>
        <s v="02-895-7781"/>
        <s v="83-625-3618"/>
        <s v="89-181-4523"/>
        <s v="95-354-8583"/>
        <s v="90-303-1821"/>
        <s v="71-631-5875"/>
        <s v="02-275-6061"/>
        <s v="04-001-1793"/>
        <s v="47-749-3277"/>
        <s v="37-666-3902"/>
        <s v="73-942-0508"/>
        <s v="57-359-3397"/>
        <s v="46-436-5351"/>
        <s v="27-881-1177"/>
        <s v="85-237-3505"/>
        <s v="80-371-3695"/>
        <s v="04-758-0410"/>
        <s v="65-644-1394"/>
        <s v="04-293-6969"/>
        <s v="40-997-2786"/>
        <s v="91-553-1774"/>
        <s v="13-980-8804"/>
        <s v="19-672-8982"/>
        <s v="35-299-0889"/>
        <s v="17-022-9721"/>
        <s v="22-849-2551"/>
        <s v="53-050-8242"/>
        <s v="88-183-5781"/>
        <s v="09-101-1740"/>
        <s v="98-445-7372"/>
        <s v="29-875-6900"/>
        <s v="27-757-4489"/>
        <s v="51-069-0489"/>
        <s v="20-325-1965"/>
        <s v="76-090-4411"/>
        <s v="01-703-8441"/>
        <s v="09-622-7119"/>
        <s v="45-172-7012"/>
        <s v="06-849-4869"/>
        <s v="30-996-2526"/>
        <s v="71-074-6292"/>
        <s v="98-909-9395"/>
        <s v="61-796-6540"/>
        <s v="41-735-9837"/>
        <s v="60-343-3288"/>
        <s v="27-783-5470"/>
        <s v="60-456-8169"/>
        <s v="99-420-3592"/>
        <s v="35-836-6718"/>
        <s v="51-273-4240"/>
        <s v="38-924-3007"/>
        <s v="52-123-8039"/>
        <s v="34-131-8805"/>
        <s v="28-505-8317"/>
        <s v="41-594-5069"/>
        <s v="94-658-4945"/>
        <s v="69-561-2496"/>
        <s v="98-858-6323"/>
        <s v="92-995-8689"/>
        <s v="43-164-5984"/>
        <s v="58-122-2282"/>
        <s v="84-269-9130"/>
        <s v="11-922-3342"/>
        <s v="60-550-4771"/>
        <s v="88-951-9038"/>
        <s v="08-114-3922"/>
        <s v="70-145-2550"/>
        <s v="51-761-6320"/>
        <s v="55-803-3964"/>
        <s v="11-815-7923"/>
        <s v="83-966-3280"/>
        <s v="29-592-7315"/>
        <s v="65-235-7676"/>
        <s v="40-683-0283"/>
        <s v="83-553-9523"/>
        <s v="40-793-7235"/>
        <s v="74-666-5671"/>
        <s v="90-865-9150"/>
        <s v="46-255-3073"/>
        <s v="11-155-7826"/>
        <s v="99-543-5039"/>
        <s v="99-033-5661"/>
        <s v="28-608-0039"/>
        <s v="35-529-2933"/>
        <s v="83-321-7887"/>
        <s v="43-910-2342"/>
        <s v="21-633-8696"/>
        <s v="76-401-7083"/>
        <s v="92-551-8504"/>
        <s v="76-264-0748"/>
        <s v="88-586-8797"/>
        <s v="21-993-5632"/>
        <s v="27-681-5588"/>
        <s v="23-265-8144"/>
        <s v="26-134-9069"/>
        <s v="76-623-7844"/>
        <s v="88-977-0175"/>
        <s v="12-714-5135"/>
        <s v="43-153-8268"/>
        <s v="95-130-9020"/>
        <s v="82-678-8097"/>
        <s v="21-693-8216"/>
        <s v="56-831-6199"/>
        <s v="81-268-5905"/>
        <s v="41-237-5498"/>
        <s v="32-987-5559"/>
        <s v="71-436-5841"/>
        <s v="63-890-1246"/>
        <s v="65-368-2479"/>
        <s v="74-562-7431"/>
        <s v="51-583-6029"/>
        <s v="06-996-3221"/>
        <s v="96-334-2593"/>
        <s v="58-219-0241"/>
        <s v="87-272-6544"/>
        <s v="95-357-2870"/>
        <s v="88-401-3700"/>
        <s v="72-404-5581"/>
        <s v="11-766-8738"/>
        <s v="15-796-3130"/>
        <s v="73-751-4393"/>
        <s v="62-100-2245"/>
        <s v="08-961-3009"/>
        <s v="33-440-2588"/>
        <s v="24-009-1208"/>
        <s v="71-300-2191"/>
        <s v="74-430-8245"/>
        <s v="68-636-4774"/>
        <s v="38-655-2312"/>
        <s v="16-632-1308"/>
        <s v="37-606-0510"/>
        <s v="36-296-9609"/>
        <s v="22-329-7791"/>
        <s v="56-894-3733"/>
        <s v="06-858-5680"/>
        <s v="71-954-4501"/>
        <s v="12-046-2988"/>
        <s v="95-356-1566"/>
        <s v="34-291-4939"/>
        <s v="35-621-2546"/>
        <s v="21-013-3508"/>
        <s v="38-049-9319"/>
        <s v="94-697-2396"/>
        <s v="33-807-7247"/>
        <s v="62-816-8794"/>
        <s v="33-507-9886"/>
        <s v="40-003-7322"/>
        <s v="95-090-2788"/>
        <s v="06-503-5891"/>
        <s v="38-555-9147"/>
        <s v="64-854-8664"/>
        <s v="50-942-2409"/>
        <s v="17-493-4579"/>
        <s v="10-854-5467"/>
        <s v="11-604-6002"/>
        <s v="44-305-1866"/>
        <s v="49-730-0159"/>
        <s v="70-534-7796"/>
        <s v="95-738-4658"/>
        <s v="20-405-4865"/>
        <s v="79-428-8753"/>
        <s v="10-626-8536"/>
        <s v="27-216-9671"/>
        <s v="14-489-8669"/>
        <s v="46-632-8420"/>
        <s v="39-192-3521"/>
        <s v="94-528-8088"/>
        <s v="74-305-1263"/>
        <s v="53-151-5726"/>
        <s v="02-085-7218"/>
        <s v="77-777-4536"/>
        <s v="86-482-6451"/>
        <s v="36-127-4273"/>
        <s v="03-061-1344"/>
        <s v="97-300-7511"/>
        <s v="83-108-1174"/>
        <s v="38-664-2155"/>
        <s v="80-459-5950"/>
        <s v="93-015-0811"/>
        <s v="02-888-9412"/>
        <s v="10-218-2680"/>
        <s v="30-964-2694"/>
        <s v="15-144-9413"/>
        <s v="17-253-5688"/>
        <s v="31-608-1445"/>
        <s v="51-934-9117"/>
        <s v="72-810-9753"/>
        <s v="53-146-9979"/>
        <s v="46-622-3434"/>
        <s v="47-843-8207"/>
        <s v="29-135-0791"/>
        <s v="45-194-4094"/>
        <s v="09-712-3630"/>
        <s v="56-213-0577"/>
        <s v="78-956-4737"/>
        <s v="29-436-6570"/>
        <s v="04-038-1547"/>
        <s v="76-476-9996"/>
        <s v="43-469-7551"/>
        <s v="15-169-8058"/>
        <s v="37-567-3218"/>
        <s v="92-455-2959"/>
        <s v="75-672-4378"/>
        <s v="66-806-6051"/>
        <s v="65-527-9488"/>
        <s v="36-840-2728"/>
        <s v="07-389-5740"/>
        <s v="13-144-2169"/>
        <s v="13-798-3397"/>
        <s v="85-806-0613"/>
        <s v="67-248-6306"/>
        <s v="47-866-6589"/>
        <s v="91-127-7489"/>
        <s v="90-343-9640"/>
        <s v="01-018-6418"/>
        <s v="80-375-9075"/>
        <s v="80-227-6886"/>
        <s v="15-562-3712"/>
        <s v="10-137-9759"/>
        <s v="69-171-1305"/>
        <s v="83-117-7658"/>
        <s v="74-642-2435"/>
        <s v="10-445-0741"/>
        <s v="80-658-6456"/>
        <s v="81-354-4203"/>
        <s v="08-573-9997"/>
        <s v="74-610-2295"/>
        <s v="76-070-1411"/>
        <s v="61-582-7399"/>
        <s v="42-674-3917"/>
        <s v="05-899-1428"/>
        <s v="74-548-9313"/>
        <s v="20-448-2972"/>
        <s v="63-162-9244"/>
        <s v="91-417-0366"/>
        <s v="60-311-5701"/>
        <s v="36-899-5324"/>
        <s v="22-266-9291"/>
        <s v="76-584-4790"/>
        <s v="82-948-2298"/>
        <s v="97-283-4840"/>
        <s v="17-395-1121"/>
        <s v="74-132-5528"/>
        <s v="52-029-2382"/>
        <s v="11-053-0107"/>
        <s v="99-194-5600"/>
        <s v="48-289-0604"/>
        <s v="73-010-8323"/>
        <s v="06-068-6793"/>
        <s v="56-054-8664"/>
        <s v="36-330-5036"/>
        <s v="65-674-6076"/>
        <s v="87-013-6488"/>
        <s v="95-449-1286"/>
        <s v="95-640-0293"/>
        <s v="08-495-6853"/>
        <s v="42-495-7698"/>
        <s v="83-727-0814"/>
        <s v="01-050-2246"/>
        <s v="07-858-5487"/>
        <s v="20-283-0111"/>
        <s v="87-391-9658"/>
        <s v="44-782-1395"/>
        <s v="12-828-1063"/>
        <s v="72-989-2512"/>
        <s v="53-667-4109"/>
        <s v="93-772-3085"/>
        <s v="92-652-3737"/>
        <s v="74-404-0582"/>
        <s v="19-244-9890"/>
        <s v="01-839-6534"/>
        <s v="58-229-1358"/>
        <s v="80-025-6757"/>
        <s v="35-031-1497"/>
        <s v="26-629-5920"/>
        <s v="51-000-8113"/>
        <s v="93-571-7294"/>
        <s v="48-770-6319"/>
        <s v="74-818-3306"/>
        <s v="15-082-9124"/>
        <s v="66-854-5736"/>
        <s v="90-128-7973"/>
        <s v="60-198-7050"/>
        <s v="70-206-4860"/>
        <s v="25-353-2067"/>
        <s v="93-218-8108"/>
        <s v="95-262-6208"/>
        <s v="02-484-0206"/>
        <s v="08-226-5155"/>
        <s v="47-581-0363"/>
        <s v="04-104-6993"/>
        <s v="45-380-4627"/>
        <s v="41-240-8856"/>
        <s v="81-573-0943"/>
        <s v="67-725-6830"/>
        <s v="55-154-4728"/>
        <s v="41-526-4036"/>
        <s v="86-273-9377"/>
        <s v="98-499-2220"/>
        <s v="50-930-4751"/>
        <s v="88-304-2855"/>
        <s v="69-743-0161"/>
        <s v="40-902-1995"/>
        <s v="50-329-3360"/>
        <s v="03-441-4252"/>
        <s v="97-093-4278"/>
        <s v="01-820-5784"/>
        <s v="31-803-5001"/>
        <s v="61-317-9944"/>
        <s v="56-303-5256"/>
        <s v="86-672-4191"/>
        <s v="34-547-0827"/>
        <s v="20-387-7746"/>
        <s v="50-329-3145"/>
        <s v="02-559-8196"/>
        <s v="69-834-2874"/>
        <s v="27-474-0056"/>
        <s v="66-378-7532"/>
        <s v="28-185-7303"/>
        <s v="19-854-3663"/>
        <s v="42-175-1648"/>
        <s v="56-657-4387"/>
        <s v="05-720-8792"/>
        <s v="84-151-2114"/>
        <s v="10-378-9729"/>
        <s v="53-930-2215"/>
        <s v="02-034-6209"/>
        <s v="28-003-8065"/>
        <s v="19-021-5024"/>
        <s v="07-846-4804"/>
        <s v="70-542-4269"/>
        <s v="52-797-6961"/>
        <s v="66-327-2821"/>
        <s v="12-093-9863"/>
        <s v="08-396-2704"/>
        <s v="72-970-0239"/>
        <s v="03-940-0630"/>
        <s v="67-130-4114"/>
        <s v="32-270-1385"/>
        <s v="85-510-2915"/>
        <s v="00-842-9790"/>
        <s v="49-377-9731"/>
        <s v="96-682-8546"/>
        <s v="92-837-8839"/>
        <s v="68-732-5919"/>
        <s v="37-064-7275"/>
        <s v="43-193-9915"/>
        <s v="45-992-5653"/>
        <s v="45-852-2446"/>
        <s v="57-394-4703"/>
        <s v="07-679-1199"/>
        <s v="47-221-3391"/>
        <s v="80-698-0324"/>
        <s v="36-383-3677"/>
        <s v="42-907-6946"/>
        <s v="96-209-1739"/>
        <s v="36-679-4670"/>
        <s v="08-637-9335"/>
        <s v="56-875-3717"/>
        <s v="86-978-6666"/>
        <s v="41-475-5305"/>
        <s v="25-911-7736"/>
        <s v="28-433-8533"/>
        <s v="84-624-0201"/>
        <s v="45-634-0679"/>
        <s v="93-014-4256"/>
        <s v="24-989-3302"/>
        <s v="46-415-8633"/>
        <s v="73-117-6105"/>
        <s v="53-710-7630"/>
        <s v="10-617-7581"/>
        <s v="66-312-5511"/>
        <s v="87-423-8486"/>
        <s v="64-493-5270"/>
        <s v="31-255-9616"/>
        <s v="26-799-3714"/>
        <s v="64-119-7804"/>
        <s v="74-181-4135"/>
        <s v="34-369-7712"/>
        <s v="31-157-1822"/>
        <s v="27-459-0724"/>
        <s v="47-441-7682"/>
        <s v="32-676-1026"/>
        <s v="77-959-1018"/>
        <s v="60-911-3745"/>
        <s v="57-101-0060"/>
        <s v="54-758-4622"/>
        <s v="92-152-5820"/>
        <s v="44-637-5512"/>
        <s v="65-854-9364"/>
        <s v="60-747-8704"/>
        <s v="85-835-3445"/>
        <s v="66-716-8221"/>
        <s v="01-026-2772"/>
        <s v="21-252-1360"/>
        <s v="80-039-1261"/>
        <s v="48-427-0551"/>
        <s v="02-575-1980"/>
        <s v="61-293-6327"/>
        <s v="08-519-5579"/>
        <s v="33-670-6797"/>
        <s v="29-741-8132"/>
        <s v="89-713-6071"/>
        <s v="00-641-8691"/>
        <s v="68-977-6854"/>
        <s v="86-257-4613"/>
        <s v="06-340-6856"/>
        <s v="11-338-4598"/>
        <s v="82-711-0772"/>
        <s v="05-184-4175"/>
        <s v="17-274-6898"/>
        <s v="79-569-8856"/>
        <s v="00-534-9775"/>
        <s v="94-071-2261"/>
        <s v="94-355-3070"/>
        <s v="17-265-1899"/>
        <s v="13-888-0149"/>
        <s v="21-890-2826"/>
        <s v="05-425-0746"/>
        <s v="88-807-8431"/>
        <s v="77-377-1659"/>
        <s v="92-362-3567"/>
        <s v="99-961-0767"/>
        <s v="94-092-3355"/>
        <s v="29-344-3658"/>
        <s v="60-327-4114"/>
        <s v="13-409-9040"/>
        <s v="75-927-9108"/>
        <s v="30-806-3823"/>
        <s v="65-780-5622"/>
        <s v="94-598-3383"/>
        <s v="45-250-4679"/>
        <s v="45-317-9731"/>
        <s v="41-131-3841"/>
        <s v="15-905-7750"/>
        <s v="68-973-8812"/>
        <s v="49-570-8214"/>
        <s v="57-779-4955"/>
        <s v="85-781-5386"/>
        <s v="72-341-1154"/>
        <s v="28-986-8001"/>
        <s v="82-811-7988"/>
        <s v="27-495-1912"/>
        <s v="44-480-9446"/>
        <s v="77-937-1108"/>
        <s v="82-538-4809"/>
        <s v="69-895-3397"/>
        <s v="44-112-3331"/>
        <s v="93-682-2069"/>
        <s v="49-199-6836"/>
        <s v="47-221-2470"/>
        <s v="71-067-3278"/>
        <s v="89-388-3239"/>
        <s v="10-555-5971"/>
        <s v="82-931-7126"/>
        <s v="24-228-6840"/>
        <s v="52-392-5312"/>
        <s v="36-531-4087"/>
        <s v="39-810-2042"/>
        <s v="55-164-7723"/>
        <s v="61-680-9496"/>
        <s v="24-143-4957"/>
        <s v="26-456-1992"/>
        <s v="62-998-7250"/>
        <s v="38-617-7226"/>
        <s v="00-366-9496"/>
        <s v="76-027-4850"/>
        <s v="27-269-5260"/>
        <s v="40-126-0515"/>
        <s v="31-387-5020"/>
        <s v="13-673-7016"/>
        <s v="85-212-2729"/>
        <s v="99-048-8310"/>
        <s v="19-112-1616"/>
        <s v="98-546-7398"/>
        <s v="63-874-9747"/>
        <s v="58-946-5152"/>
        <s v="65-867-4029"/>
        <s v="89-328-9019"/>
        <s v="02-170-5225"/>
        <s v="24-478-8277"/>
        <s v="91-290-9062"/>
        <s v="44-546-5713"/>
        <s v="20-031-0532"/>
        <s v="48-242-8445"/>
        <s v="33-378-1365"/>
        <s v="57-763-5501"/>
        <s v="71-015-9181"/>
        <s v="14-115-8371"/>
        <s v="83-568-3475"/>
        <s v="79-884-8810"/>
        <s v="50-772-2613"/>
        <s v="19-377-5021"/>
        <s v="39-913-2999"/>
        <s v="46-911-1159"/>
        <s v="40-630-1431"/>
        <s v="15-797-4824"/>
        <s v="37-248-6266"/>
        <s v="22-760-4605"/>
        <s v="80-020-8041"/>
        <s v="44-634-8292"/>
        <s v="19-610-2236"/>
        <s v="49-579-4325"/>
        <s v="42-134-9798"/>
        <s v="84-546-7624"/>
        <s v="11-891-8213"/>
        <s v="03-597-9488"/>
        <s v="89-624-7462"/>
        <s v="89-335-0155"/>
        <s v="59-725-4038"/>
        <s v="78-953-2073"/>
        <s v="91-426-3204"/>
        <s v="40-913-9772"/>
        <s v="89-922-4773"/>
        <s v="17-236-0566"/>
        <s v="74-234-0628"/>
        <s v="80-441-7249"/>
        <s v="54-708-7327"/>
        <s v="15-846-7959"/>
        <s v="44-368-7112"/>
        <s v="03-833-3577"/>
        <s v="47-548-6500"/>
        <s v="12-342-4482"/>
        <s v="07-834-3320"/>
        <s v="16-187-5729"/>
        <s v="64-109-7362"/>
        <s v="06-655-5498"/>
        <s v="24-975-4231"/>
        <s v="98-652-9569"/>
        <s v="25-522-6043"/>
        <s v="28-275-5901"/>
        <s v="96-164-0607"/>
        <s v="93-815-0565"/>
        <s v="63-918-8253"/>
        <s v="57-167-0669"/>
        <s v="52-402-9245"/>
        <s v="17-647-0503"/>
        <s v="67-984-5368"/>
        <s v="77-827-0820"/>
        <s v="27-387-0428"/>
        <s v="79-350-5841"/>
        <s v="44-128-2185"/>
        <s v="48-789-9187"/>
        <s v="21-809-7115"/>
        <s v="19-323-0506"/>
        <s v="04-637-8815"/>
        <s v="60-644-6596"/>
        <s v="58-005-5343"/>
        <s v="67-382-4435"/>
        <s v="09-335-7793"/>
        <s v="46-496-2930"/>
        <s v="35-353-4068"/>
        <s v="45-050-4720"/>
        <s v="87-104-0187"/>
        <s v="85-806-8672"/>
        <s v="54-281-3746"/>
        <s v="35-257-9312"/>
        <s v="63-897-8088"/>
        <s v="24-986-5091"/>
        <s v="17-504-3699"/>
        <s v="23-395-3157"/>
        <s v="28-107-4953"/>
        <s v="46-083-7058"/>
        <s v="68-436-1268"/>
        <s v="93-198-5984"/>
        <s v="24-571-1080"/>
        <s v="73-874-7534"/>
        <s v="07-337-9889"/>
        <s v="28-197-9246"/>
        <s v="83-400-9746"/>
        <s v="24-579-6500"/>
        <s v="64-418-8356"/>
        <s v="15-884-7413"/>
        <s v="79-494-2472"/>
        <s v="36-177-0573"/>
        <s v="79-920-2395"/>
        <s v="96-961-2193"/>
        <s v="69-578-7930"/>
        <s v="40-205-8252"/>
        <s v="18-107-7886"/>
        <s v="35-328-8392"/>
        <s v="21-650-9319"/>
        <s v="99-894-4351"/>
        <s v="63-168-6018"/>
        <s v="26-000-1012"/>
        <s v="13-900-9016"/>
        <s v="88-408-0310"/>
        <s v="73-997-6251"/>
        <s v="50-679-2072"/>
        <s v="89-673-1543"/>
        <s v="56-937-8675"/>
        <s v="14-836-2894"/>
        <s v="87-903-3486"/>
        <s v="07-617-6934"/>
        <s v="31-403-6234"/>
        <s v="29-092-3453"/>
        <s v="34-709-9237"/>
        <s v="13-962-6263"/>
        <s v="06-731-2162"/>
        <s v="10-768-2443"/>
        <s v="36-372-2295"/>
        <s v="34-538-1180"/>
        <s v="98-148-0940"/>
        <s v="38-390-2115"/>
        <s v="02-974-8526"/>
        <s v="29-377-7040"/>
        <s v="84-327-7787"/>
        <s v="82-231-4245"/>
        <s v="70-005-5970"/>
        <s v="63-936-0145"/>
        <s v="08-196-2703"/>
        <s v="22-778-3553"/>
        <s v="37-610-1999"/>
        <s v="09-618-2842"/>
        <s v="28-968-4195"/>
        <s v="55-680-0982"/>
        <s v="43-851-9440"/>
        <s v="14-331-3739"/>
        <s v="54-830-6971"/>
        <s v="53-008-2419"/>
        <s v="39-358-3340"/>
        <s v="28-146-2641"/>
        <s v="83-556-0996"/>
        <s v="53-805-9523"/>
        <s v="82-977-7752"/>
        <s v="62-393-9939"/>
        <s v="31-745-6850"/>
        <s v="86-692-2312"/>
        <s v="28-044-4102"/>
      </sharedItems>
    </cacheField>
    <cacheField name="Product_Name" numFmtId="0">
      <sharedItems count="121">
        <s v="Sushi Rice"/>
        <s v="Arabica Coffee"/>
        <s v="Black Rice"/>
        <s v="Long Grain Rice"/>
        <s v="Plum"/>
        <s v="All-Purpose Flour"/>
        <s v="Corn Oil"/>
        <s v="Egg (Goose)"/>
        <s v="Greek Yogurt"/>
        <s v="Egg (Duck)"/>
        <s v="White Sugar"/>
        <s v="Rye Bread"/>
        <s v="Strawberries"/>
        <s v="Feta Cheese"/>
        <s v="Bread Flour"/>
        <s v="Swiss Cheese"/>
        <s v="Spinach"/>
        <s v="Trout"/>
        <s v="Green Beans"/>
        <s v="Cabbage"/>
        <s v="Parmesan Cheese"/>
        <s v="Raw Sugar"/>
        <s v="Egg (Quail)"/>
        <s v="Mushrooms"/>
        <s v="Oatmeal Biscuit"/>
        <s v="Pear"/>
        <s v="Cucumber"/>
        <s v="Pineapple"/>
        <s v="Olive Oil"/>
        <s v="Herbal Tea"/>
        <s v="Haddock"/>
        <s v="Onion"/>
        <s v="Zucchini"/>
        <s v="Short Grain Rice"/>
        <s v="Mango"/>
        <s v="Lemon"/>
        <s v="Black Coffee"/>
        <s v="Butter"/>
        <s v="Multigrain Bread"/>
        <s v="Kiwi"/>
        <s v="Sourdough Bread"/>
        <s v="Orange"/>
        <s v="White Bread"/>
        <s v="Green Coffee"/>
        <s v="Sardines"/>
        <s v="Carrot"/>
        <s v="Black Tea"/>
        <s v="Ricotta Cheese"/>
        <s v="White Tea"/>
        <s v="Mozzarella Cheese"/>
        <s v="Broccoli"/>
        <s v="Eggplant"/>
        <s v="Heavy Cream"/>
        <s v="Bell Pepper"/>
        <s v="Arborio Rice"/>
        <s v="Potato"/>
        <s v="Butter Biscuit"/>
        <s v="Peas"/>
        <s v="Cream"/>
        <s v="Peanut Oil"/>
        <s v="Blueberries"/>
        <s v="Chocolate Biscuit"/>
        <s v="Cheese"/>
        <s v="Palm Oil"/>
        <s v="Garlic"/>
        <s v="Jasmine Rice"/>
        <s v="Rice Flour"/>
        <s v="Cottage Cheese"/>
        <s v="Whipped Cream"/>
        <s v="Almond Flour"/>
        <s v="Tilapia"/>
        <s v="Lettuce"/>
        <s v="Coconut"/>
        <s v="Cod"/>
        <s v="Banana"/>
        <s v="Pomegranate"/>
        <s v="Peach"/>
        <s v="White Rice"/>
        <s v="Cauliflower"/>
        <s v="Canola Oil"/>
        <s v="Avocado Oil"/>
        <s v="Gouda Cheese"/>
        <s v="Tuna"/>
        <s v="Buttermilk"/>
        <s v="Sour Cream"/>
        <s v="Green Tea"/>
        <s v="Powdered Sugar"/>
        <s v="Vegetable Oil"/>
        <s v="Cheddar Cheese"/>
        <s v="Egg (Turkey)"/>
        <s v="Sesame Oil"/>
        <s v="Asparagus"/>
        <s v="Whole Wheat Flour"/>
        <s v="Robusta Coffee"/>
        <s v="Watermelon"/>
        <s v="Anchovies"/>
        <s v="Basmati Rice"/>
        <s v="Sunflower Oil"/>
        <s v="Lime"/>
        <s v="Digestive Biscuit"/>
        <s v="Kale"/>
        <s v="Mackerel"/>
        <s v="Milk"/>
        <s v="Grapes"/>
        <s v="Brown Rice"/>
        <s v="Halibut"/>
        <s v="Apricot"/>
        <s v="Evaporated Milk"/>
        <s v="Papaya"/>
        <s v="Yogurt"/>
        <s v="Apple"/>
        <s v="Coconut Sugar"/>
        <s v="Tomato"/>
        <s v="Vanilla Biscuit"/>
        <s v="Wild Rice"/>
        <s v="Salmon"/>
        <s v="Sweet Potato"/>
        <s v="Coconut Oil"/>
        <s v="Whole Wheat Bread"/>
        <s v="Cherry"/>
        <s v="Egg (Chicken)"/>
      </sharedItems>
    </cacheField>
    <cacheField name="Category" numFmtId="0">
      <sharedItems containsBlank="1" count="8">
        <s v="Grains &amp; Pulses"/>
        <s v="Beverages"/>
        <s v="Fruits &amp; Vegetables"/>
        <s v="Oils &amp; Fats"/>
        <s v="Dairy"/>
        <s v="Bakery"/>
        <s v="Seafood"/>
        <m/>
      </sharedItems>
    </cacheField>
    <cacheField name="Supplier_ID" numFmtId="0">
      <sharedItems/>
    </cacheField>
    <cacheField name="Supplier_Name" numFmtId="0">
      <sharedItems count="350">
        <s v="Jaxnation"/>
        <s v="Feedmix"/>
        <s v="Vinder"/>
        <s v="Brightbean"/>
        <s v="Topicstorm"/>
        <s v="Dabjam"/>
        <s v="Tagfeed"/>
        <s v="Muxo"/>
        <s v="Thoughtstorm"/>
        <s v="Wordify"/>
        <s v="Fivebridge"/>
        <s v="Zooxo"/>
        <s v="Vitz"/>
        <s v="Voomm"/>
        <s v="Babblestorm"/>
        <s v="Youfeed"/>
        <s v="Mynte"/>
        <s v="Reallinks"/>
        <s v="Skivee"/>
        <s v="Mydeo"/>
        <s v="Devshare"/>
        <s v="Jabbertype"/>
        <s v="Gigazoom"/>
        <s v="Chatterbridge"/>
        <s v="Feedspan"/>
        <s v="Mydo"/>
        <s v="Realpoint"/>
        <s v="Photospace"/>
        <s v="Centizu"/>
        <s v="Brainverse"/>
        <s v="Photojam"/>
        <s v="Kamba"/>
        <s v="Pixonyx"/>
        <s v="Midel"/>
        <s v="Skyble"/>
        <s v="Linklinks"/>
        <s v="Flipbug"/>
        <s v="Kare"/>
        <s v="Snaptags"/>
        <s v="Twitternation"/>
        <s v="Layo"/>
        <s v="Kayveo"/>
        <s v="Roombo"/>
        <s v="Voonyx"/>
        <s v="Browsezoom"/>
        <s v="Fiveclub"/>
        <s v="Skipfire"/>
        <s v="Flashspan"/>
        <s v="Katz"/>
        <s v="Yamia"/>
        <s v="Kwinu"/>
        <s v="Vinte"/>
        <s v="Twitterwire"/>
        <s v="Ntag"/>
        <s v="Blogspan"/>
        <s v="Avaveo"/>
        <s v="Brainbox"/>
        <s v="Voonix"/>
        <s v="Shufflebeat"/>
        <s v="Skipstorm"/>
        <s v="Dazzlesphere"/>
        <s v="Realblab"/>
        <s v="Eire"/>
        <s v="Blogtag"/>
        <s v="Ntags"/>
        <s v="Tagtune"/>
        <s v="Skiba"/>
        <s v="Voolia"/>
        <s v="Oyoloo"/>
        <s v="Tagopia"/>
        <s v="Ozu"/>
        <s v="Edgepulse"/>
        <s v="Oyondu"/>
        <s v="Abatz"/>
        <s v="Browsetype"/>
        <s v="Photobean"/>
        <s v="Skinte"/>
        <s v="Cogilith"/>
        <s v="Bluezoom"/>
        <s v="Jaloo"/>
        <s v="Vidoo"/>
        <s v="Shuffledrive"/>
        <s v="Topicblab"/>
        <s v="Yadel"/>
        <s v="Livetube"/>
        <s v="Zoombox"/>
        <s v="Photobug"/>
        <s v="Skynoodle"/>
        <s v="Feedbug"/>
        <s v="Fadeo"/>
        <s v="Edgeify"/>
        <s v="Eayo"/>
        <s v="Devbug"/>
        <s v="Wikivu"/>
        <s v="Dynabox"/>
        <s v="Rooxo"/>
        <s v="Quire"/>
        <s v="Realcube"/>
        <s v="Brainsphere"/>
        <s v="Dabshots"/>
        <s v="Riffwire"/>
        <s v="Eadel"/>
        <s v="Gigaclub"/>
        <s v="Centidel"/>
        <s v="Shufflester"/>
        <s v="Skajo"/>
        <s v="Eidel"/>
        <s v="Thoughtblab"/>
        <s v="Bubblemix"/>
        <s v="Meemm"/>
        <s v="Kanoodle"/>
        <s v="Flipopia"/>
        <s v="Realbridge"/>
        <s v="Skyvu"/>
        <s v="Jabberstorm"/>
        <s v="Geba"/>
        <s v="Skimia"/>
        <s v="Buzzshare"/>
        <s v="Oyoyo"/>
        <s v="Yombu"/>
        <s v="Meeveo"/>
        <s v="Skidoo"/>
        <s v="Meedoo"/>
        <s v="Tavu"/>
        <s v="Trudeo"/>
        <s v="Yotz"/>
        <s v="Demizz"/>
        <s v="Skippad"/>
        <s v="Topiclounge"/>
        <s v="Browsecat"/>
        <s v="Npath"/>
        <s v="Devpoint"/>
        <s v="Skibox"/>
        <s v="Gevee"/>
        <s v="Meevee"/>
        <s v="Photofeed"/>
        <s v="Latz"/>
        <s v="Cogibox"/>
        <s v="Pixope"/>
        <s v="Tanoodle"/>
        <s v="Jaxspan"/>
        <s v="Jayo"/>
        <s v="Quamba"/>
        <s v="Zazio"/>
        <s v="Izio"/>
        <s v="Brainlounge"/>
        <s v="Trilia"/>
        <s v="Voolith"/>
        <s v="Twitterbridge"/>
        <s v="Feedfire"/>
        <s v="JumpXS"/>
        <s v="Babbleopia"/>
        <s v="Jetwire"/>
        <s v="Topicshots"/>
        <s v="Innojam"/>
        <s v="Quatz"/>
        <s v="Wikizz"/>
        <s v="Skalith"/>
        <s v="Twitterbeat"/>
        <s v="Zoovu"/>
        <s v="Skyndu"/>
        <s v="Yodo"/>
        <s v="Tazz"/>
        <s v="Omba"/>
        <s v="DabZ"/>
        <s v="Viva"/>
        <s v="Bubblebox"/>
        <s v="Rhynyx"/>
        <s v="Zooveo"/>
        <s v="BlogXS"/>
        <s v="Youspan"/>
        <s v="Jetpulse"/>
        <s v="Yodoo"/>
        <s v="Yoveo"/>
        <s v="Eimbee"/>
        <s v="Trunyx"/>
        <s v="Buzzdog"/>
        <s v="Zoonoodle"/>
        <s v="Janyx"/>
        <s v="Dynava"/>
        <s v="Demimbu"/>
        <s v="Browseblab"/>
        <s v="Roomm"/>
        <s v="Buzzster"/>
        <s v="Meembee"/>
        <s v="Gigashots"/>
        <s v="Thoughtsphere"/>
        <s v="Zava"/>
        <s v="Quinu"/>
        <s v="Chatterpoint"/>
        <s v="Skinix"/>
        <s v="InnoZ"/>
        <s v="Fliptune"/>
        <s v="Demivee"/>
        <s v="Jatri"/>
        <s v="Flashset"/>
        <s v="Vimbo"/>
        <s v="Dabvine"/>
        <s v="Jamia"/>
        <s v="Blognation"/>
        <s v="Livepath"/>
        <s v="Yata"/>
        <s v="Miboo"/>
        <s v="Oba"/>
        <s v="Zoonder"/>
        <s v="Abata"/>
        <s v="Avamba"/>
        <s v="Feedfish"/>
        <s v="Lazz"/>
        <s v="Talane"/>
        <s v="Aibox"/>
        <s v="Mybuzz"/>
        <s v="Rhynoodle"/>
        <s v="Linktype"/>
        <s v="Vipe"/>
        <s v="Jabbersphere"/>
        <s v="Rhyloo"/>
        <s v="Oozz"/>
        <s v="Camimbo"/>
        <s v="Skilith"/>
        <s v="Skyba"/>
        <s v="Gigabox"/>
        <s v="Meezzy"/>
        <s v="Wikibox"/>
        <s v="Kwilith"/>
        <s v="Eamia"/>
        <s v="Leenti"/>
        <s v="Yozio"/>
        <s v="Camido"/>
        <s v="Ainyx"/>
        <s v="Yakitri"/>
        <s v="Thoughtbeat"/>
        <s v="Tagchat"/>
        <s v="Realmix"/>
        <s v="Edgewire"/>
        <s v="Twiyo"/>
        <s v="Divape"/>
        <s v="Wordpedia"/>
        <s v="Oloo"/>
        <s v="Youtags"/>
        <s v="Rhycero"/>
        <s v="Plajo"/>
        <s v="Devpulse"/>
        <s v="Oyoba"/>
        <s v="Photolist"/>
        <s v="Browsebug"/>
        <s v="Digitube"/>
        <s v="Blogtags"/>
        <s v="Shuffletag"/>
        <s v="Gabspot"/>
        <s v="Kwimbee"/>
        <s v="Youopia"/>
        <s v="Twitterworks"/>
        <s v="Dabtype"/>
        <s v="Kazu"/>
        <s v="Avavee"/>
        <s v="Innotype"/>
        <s v="Devcast"/>
        <s v="Youbridge"/>
        <s v="Twinte"/>
        <s v="Kazio"/>
        <s v="Browsedrive"/>
        <s v="Linkbridge"/>
        <s v="Tagpad"/>
        <s v="Aivee"/>
        <s v="Jabbercube"/>
        <s v="Skiptube"/>
        <s v="Zoomlounge"/>
        <s v="Wordtune"/>
        <s v="Aimbu"/>
        <s v="Pixoboo"/>
        <s v="Trudoo"/>
        <s v="Kimia"/>
        <s v="Riffpedia"/>
        <s v="Centimia"/>
        <s v="Dynazzy"/>
        <s v="Oyonder"/>
        <s v="Rhyzio"/>
        <s v="Edgeclub"/>
        <s v="Topdrive"/>
        <s v="Eare"/>
        <s v="Dabfeed"/>
        <s v="Blogpad"/>
        <s v="Twimm"/>
        <s v="Avamm"/>
        <s v="Trupe"/>
        <s v="Yabox"/>
        <s v="Lajo"/>
        <s v="Topiczoom"/>
        <s v="Buzzbean"/>
        <s v="Flashdog"/>
        <s v="Brightdog"/>
        <s v="Tagcat"/>
        <s v="Mycat"/>
        <s v="Tekfly"/>
        <s v="Realfire"/>
        <s v="Cogidoo"/>
        <s v="Yakijo"/>
        <s v="Edgetag"/>
        <s v="Quimm"/>
        <s v="Wikido"/>
        <s v="Thoughtmix"/>
        <s v="Eabox"/>
        <s v="LiveZ"/>
        <s v="Meejo"/>
        <s v="Zoomzone"/>
        <s v="Twitterlist"/>
        <s v="Voonder"/>
        <s v="Einti"/>
        <s v="Gabvine"/>
        <s v="Yodel"/>
        <s v="Voonte"/>
        <s v="Feednation"/>
        <s v="Divanoodle"/>
        <s v="Quaxo"/>
        <s v="Livefish"/>
        <s v="Kaymbo"/>
        <s v="Roodel"/>
        <s v="Jaxworks"/>
        <s v="Fanoodle"/>
        <s v="Agivu"/>
        <s v="Bluejam"/>
        <s v="Fatz"/>
        <s v="Kwideo"/>
        <s v="Topicware"/>
        <s v="Skaboo"/>
        <s v="Rhybox"/>
        <s v="Eazzy"/>
        <s v="Mymm"/>
        <s v="Jaxbean"/>
        <s v="Yambee"/>
        <s v="Podcat"/>
        <s v="Tambee"/>
        <s v="Jazzy"/>
        <s v="Wordware"/>
        <s v="Thoughtbridge"/>
        <s v="Teklist"/>
        <s v="Myworks"/>
        <s v="Thoughtworks"/>
        <s v="Mudo"/>
        <s v="Zoozzy"/>
        <s v="Zoombeat"/>
        <s v="Ooba"/>
        <s v="Yakidoo"/>
        <s v="Fivespan"/>
        <s v="Babbleblab"/>
        <s v="Babbleset"/>
        <s v="Meetz"/>
        <s v="Trilith"/>
        <s v="Gabcube"/>
      </sharedItems>
    </cacheField>
    <cacheField name="Stock_Quantity" numFmtId="1">
      <sharedItems containsSemiMixedTypes="0" containsString="0" containsNumber="1" containsInteger="1" minValue="10" maxValue="100" count="91">
        <n v="22"/>
        <n v="45"/>
        <n v="30"/>
        <n v="12"/>
        <n v="37"/>
        <n v="55"/>
        <n v="96"/>
        <n v="44"/>
        <n v="91"/>
        <n v="43"/>
        <n v="62"/>
        <n v="26"/>
        <n v="95"/>
        <n v="54"/>
        <n v="94"/>
        <n v="27"/>
        <n v="49"/>
        <n v="65"/>
        <n v="72"/>
        <n v="81"/>
        <n v="88"/>
        <n v="63"/>
        <n v="31"/>
        <n v="97"/>
        <n v="16"/>
        <n v="77"/>
        <n v="19"/>
        <n v="18"/>
        <n v="47"/>
        <n v="46"/>
        <n v="39"/>
        <n v="75"/>
        <n v="48"/>
        <n v="61"/>
        <n v="60"/>
        <n v="24"/>
        <n v="84"/>
        <n v="51"/>
        <n v="67"/>
        <n v="14"/>
        <n v="92"/>
        <n v="41"/>
        <n v="85"/>
        <n v="59"/>
        <n v="28"/>
        <n v="82"/>
        <n v="100"/>
        <n v="99"/>
        <n v="13"/>
        <n v="73"/>
        <n v="29"/>
        <n v="35"/>
        <n v="89"/>
        <n v="20"/>
        <n v="38"/>
        <n v="21"/>
        <n v="64"/>
        <n v="66"/>
        <n v="53"/>
        <n v="74"/>
        <n v="52"/>
        <n v="56"/>
        <n v="58"/>
        <n v="57"/>
        <n v="33"/>
        <n v="23"/>
        <n v="86"/>
        <n v="70"/>
        <n v="34"/>
        <n v="40"/>
        <n v="79"/>
        <n v="25"/>
        <n v="15"/>
        <n v="11"/>
        <n v="50"/>
        <n v="68"/>
        <n v="80"/>
        <n v="76"/>
        <n v="10"/>
        <n v="69"/>
        <n v="36"/>
        <n v="93"/>
        <n v="90"/>
        <n v="42"/>
        <n v="98"/>
        <n v="17"/>
        <n v="71"/>
        <n v="78"/>
        <n v="83"/>
        <n v="87"/>
        <n v="32"/>
      </sharedItems>
    </cacheField>
    <cacheField name="Reorder_Level" numFmtId="0">
      <sharedItems containsSemiMixedTypes="0" containsString="0" containsNumber="1" containsInteger="1" minValue="1" maxValue="100"/>
    </cacheField>
    <cacheField name="Reorder_Quantity" numFmtId="0">
      <sharedItems containsSemiMixedTypes="0" containsString="0" containsNumber="1" containsInteger="1" minValue="1" maxValue="100"/>
    </cacheField>
    <cacheField name="Reorder_Required" numFmtId="0">
      <sharedItems/>
    </cacheField>
    <cacheField name="Recommended_Reorder_Quantity" numFmtId="0">
      <sharedItems containsSemiMixedTypes="0" containsString="0" containsNumber="1" containsInteger="1" minValue="0" maxValue="100"/>
    </cacheField>
    <cacheField name="Priority_Reorders" numFmtId="0">
      <sharedItems/>
    </cacheField>
    <cacheField name=" Unit_Price " numFmtId="164">
      <sharedItems count="112">
        <s v=" 4.50  "/>
        <s v=" 20.00  "/>
        <s v=" 6.00  "/>
        <s v=" 1.50  "/>
        <s v=" 4.00  "/>
        <s v=" 1.75  "/>
        <s v=" 2.50  "/>
        <s v=" 3.00  "/>
        <s v=" 1.00  "/>
        <s v=" 1.60  "/>
        <s v=" 2.00  "/>
        <s v=" 7.00  "/>
        <s v=" 8.00  "/>
        <s v=" 12.00  "/>
        <s v=" 0.80  "/>
        <s v=" 5.00  "/>
        <s v=" 3.50  "/>
        <s v=" 30.00  "/>
        <s v=" 9.00  "/>
        <s v=" 3.45  "/>
        <s v=" 2.30  "/>
        <s v=" 15.00  "/>
        <s v=" 3.40  "/>
        <s v=" 2.90  "/>
        <s v=" 4.45  "/>
        <s v=" 25.00  "/>
        <s v=" 1.80  "/>
        <s v=" 1.20  "/>
        <s v=" 2.40  "/>
        <s v=" 10.00  "/>
        <s v=" 4.75  "/>
        <s v=" 3.20  "/>
        <s v=" 9.50  "/>
        <s v=" 98.43  "/>
        <s v=" 6.10  "/>
        <s v=" 3.85  "/>
        <s v=" 4.30  "/>
        <s v=" 21.00  "/>
        <s v=" 4.20  "/>
        <s v=" 18.00  "/>
        <s v=" 8.10  "/>
        <s v=" 31.00  "/>
        <s v=" 6.50  "/>
        <s v=" 6.15  "/>
        <s v=" 4.80  "/>
        <s v=" 2.75  "/>
        <s v=" 12.50  "/>
        <s v=" 2.80  "/>
        <s v=" 51.17  "/>
        <s v=" 25.50  "/>
        <s v=" 4.25  "/>
        <s v=" 5.90  "/>
        <s v=" 7.20  "/>
        <s v=" 7.50  "/>
        <s v=" 4.60  "/>
        <s v=" 3.10  "/>
        <s v=" 9.20  "/>
        <s v=" 5.50  "/>
        <s v=" 10.50  "/>
        <s v=" 11.50  "/>
        <s v=" 7.60  "/>
        <s v=" 3.90  "/>
        <s v=" 2.45  "/>
        <s v=" 53.82  "/>
        <s v=" 4.70  "/>
        <s v=" 8.90  "/>
        <s v=" 2.85  "/>
        <s v=" 1.90  "/>
        <s v=" 8.50  "/>
        <s v=" 6.20  "/>
        <s v=" 2.10  "/>
        <s v=" 6.70  "/>
        <s v=" 15.31  "/>
        <s v=" 15.50  "/>
        <s v=" 11.80  "/>
        <s v=" 1.70  "/>
        <s v=" 4.10  "/>
        <s v=" 25.30  "/>
        <s v=" 4.40  "/>
        <s v=" 1.45  "/>
        <s v=" 0.90  "/>
        <s v=" 30.50  "/>
        <s v=" 2.55  "/>
        <s v=" 2.48  "/>
        <s v=" 10.30  "/>
        <s v=" 2.95  "/>
        <s v=" 2.65  "/>
        <s v=" 5.70  "/>
        <s v=" 0.20  "/>
        <s v=" 7.10  "/>
        <s v=" 13.99  "/>
        <s v=" 2.35  "/>
        <s v=" 4.35  "/>
        <s v=" 5.80  "/>
        <s v=" 6.25  "/>
        <s v=" 5.20  "/>
        <s v=" 66.55  "/>
        <s v=" 42.58  "/>
        <s v=" 2.70  "/>
        <s v=" 6.35  "/>
        <s v=" 5.30  "/>
        <s v=" 6.30  "/>
        <s v=" 9.75  "/>
        <s v=" 14.90  "/>
        <s v=" 6.80  "/>
        <s v=" 25.25  "/>
        <s v=" 11.90  "/>
        <s v=" 3.25  "/>
        <s v=" 4.90  "/>
        <s v=" 20.50  "/>
        <s v=" 11.60  "/>
        <s v=" 2.52  "/>
      </sharedItems>
    </cacheField>
    <cacheField name="Inventory Value" numFmtId="164">
      <sharedItems containsSemiMixedTypes="0" containsString="0" containsNumber="1" minValue="2" maxValue="5512.08"/>
    </cacheField>
    <cacheField name="Date_Received" numFmtId="14">
      <sharedItems containsSemiMixedTypes="0" containsNonDate="0" containsDate="1" containsString="0" minDate="2024-01-03T00:00:00" maxDate="2025-12-03T00:00:00"/>
    </cacheField>
    <cacheField name="Last_Order_Date" numFmtId="14">
      <sharedItems containsSemiMixedTypes="0" containsNonDate="0" containsDate="1" containsString="0" minDate="2024-01-03T00:00:00" maxDate="2025-12-03T00:00:00"/>
    </cacheField>
    <cacheField name="Expiration_Date" numFmtId="14">
      <sharedItems containsSemiMixedTypes="0" containsNonDate="0" containsDate="1" containsString="0" minDate="2024-02-25T00:00:00" maxDate="2025-02-25T00:00:00"/>
    </cacheField>
    <cacheField name="Inventory Age" numFmtId="0">
      <sharedItems containsSemiMixedTypes="0" containsString="0" containsNumber="1" containsInteger="1" minValue="86" maxValue="785"/>
    </cacheField>
    <cacheField name="Days Since Last Order" numFmtId="0">
      <sharedItems containsSemiMixedTypes="0" containsString="0" containsNumber="1" containsInteger="1" minValue="86" maxValue="785"/>
    </cacheField>
    <cacheField name="Days Until Expiry" numFmtId="0">
      <sharedItems containsSemiMixedTypes="0" containsString="0" containsNumber="1" containsInteger="1" minValue="367" maxValue="732"/>
    </cacheField>
    <cacheField name="Expiry Status" numFmtId="0">
      <sharedItems/>
    </cacheField>
    <cacheField name="Warehouse_Location" numFmtId="0">
      <sharedItems/>
    </cacheField>
    <cacheField name="Sales_Volume" numFmtId="0">
      <sharedItems containsSemiMixedTypes="0" containsString="0" containsNumber="1" containsInteger="1" minValue="20" maxValue="100" count="81">
        <n v="32"/>
        <n v="85"/>
        <n v="31"/>
        <n v="95"/>
        <n v="62"/>
        <n v="34"/>
        <n v="67"/>
        <n v="21"/>
        <n v="56"/>
        <n v="27"/>
        <n v="100"/>
        <n v="47"/>
        <n v="69"/>
        <n v="63"/>
        <n v="20"/>
        <n v="66"/>
        <n v="78"/>
        <n v="46"/>
        <n v="29"/>
        <n v="82"/>
        <n v="52"/>
        <n v="73"/>
        <n v="59"/>
        <n v="97"/>
        <n v="94"/>
        <n v="50"/>
        <n v="61"/>
        <n v="42"/>
        <n v="25"/>
        <n v="65"/>
        <n v="60"/>
        <n v="43"/>
        <n v="51"/>
        <n v="79"/>
        <n v="39"/>
        <n v="40"/>
        <n v="37"/>
        <n v="44"/>
        <n v="24"/>
        <n v="38"/>
        <n v="96"/>
        <n v="35"/>
        <n v="57"/>
        <n v="30"/>
        <n v="64"/>
        <n v="84"/>
        <n v="54"/>
        <n v="93"/>
        <n v="83"/>
        <n v="74"/>
        <n v="76"/>
        <n v="26"/>
        <n v="86"/>
        <n v="72"/>
        <n v="90"/>
        <n v="33"/>
        <n v="91"/>
        <n v="92"/>
        <n v="68"/>
        <n v="53"/>
        <n v="98"/>
        <n v="23"/>
        <n v="80"/>
        <n v="58"/>
        <n v="28"/>
        <n v="49"/>
        <n v="36"/>
        <n v="48"/>
        <n v="81"/>
        <n v="41"/>
        <n v="22"/>
        <n v="75"/>
        <n v="89"/>
        <n v="70"/>
        <n v="88"/>
        <n v="71"/>
        <n v="77"/>
        <n v="99"/>
        <n v="45"/>
        <n v="55"/>
        <n v="87"/>
      </sharedItems>
    </cacheField>
    <cacheField name="Total_Revenue_by_product" numFmtId="164">
      <sharedItems containsSemiMixedTypes="0" containsString="0" containsNumber="1" minValue="145.20000000000002" maxValue="444822.3"/>
    </cacheField>
    <cacheField name="Inventory_Turnover_Rate" numFmtId="0">
      <sharedItems containsSemiMixedTypes="0" containsString="0" containsNumber="1" containsInteger="1" minValue="1" maxValue="100"/>
    </cacheField>
    <cacheField name="Status" numFmtId="0">
      <sharedItems/>
    </cacheField>
    <cacheField name="Total Profit" numFmtId="164">
      <sharedItems containsSemiMixedTypes="0" containsString="0" containsNumber="1" minValue="140.80000000000001" maxValue="439709.3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0">
  <r>
    <s v="29-205-1132"/>
    <s v="Sushi Rice"/>
    <x v="0"/>
    <s v="38-037-1699"/>
    <s v="Jaxnation"/>
    <n v="22"/>
    <n v="72"/>
    <n v="70"/>
    <s v="Require"/>
    <n v="72"/>
    <s v="High Priority"/>
    <s v=" 4.50  "/>
    <n v="99"/>
    <d v="2024-08-16T00:00:00"/>
    <d v="2024-06-29T00:00:00"/>
    <d v="2024-09-19T00:00:00"/>
    <n v="559"/>
    <n v="607"/>
    <n v="525"/>
    <s v="Expiring Soon"/>
    <s v="48 Del Sol Trail"/>
    <n v="32"/>
    <n v="3168"/>
    <n v="19"/>
    <s v="Discontinued"/>
  </r>
  <r>
    <s v="40-681-9981"/>
    <s v="Arabica Coffee"/>
    <x v="1"/>
    <s v="54-470-2479"/>
    <s v="Feedmix"/>
    <n v="45"/>
    <n v="77"/>
    <n v="2"/>
    <s v="Require"/>
    <n v="77"/>
    <s v="High Priority"/>
    <s v=" 20.00  "/>
    <n v="900"/>
    <d v="2024-01-11T00:00:00"/>
    <d v="2024-05-29T00:00:00"/>
    <d v="2024-05-08T00:00:00"/>
    <n v="777"/>
    <n v="638"/>
    <n v="659"/>
    <s v="Safe"/>
    <s v="36 3rd Place"/>
    <n v="85"/>
    <n v="76500"/>
    <n v="1"/>
    <s v="Discontinued"/>
  </r>
  <r>
    <s v="06-955-3428"/>
    <s v="Black Rice"/>
    <x v="0"/>
    <s v="54-031-2945"/>
    <s v="Vinder"/>
    <n v="30"/>
    <n v="38"/>
    <n v="83"/>
    <s v="Require"/>
    <n v="38"/>
    <s v="Normal"/>
    <s v=" 6.00  "/>
    <n v="180"/>
    <d v="2024-03-08T00:00:00"/>
    <d v="2024-10-06T00:00:00"/>
    <d v="2024-09-22T00:00:00"/>
    <n v="720"/>
    <n v="508"/>
    <n v="522"/>
    <s v="Expiring Soon"/>
    <s v="3296 Walton Court"/>
    <n v="31"/>
    <n v="5580"/>
    <n v="34"/>
    <s v="Backordered"/>
  </r>
  <r>
    <s v="71-594-6552"/>
    <s v="Long Grain Rice"/>
    <x v="0"/>
    <s v="63-492-7603"/>
    <s v="Brightbean"/>
    <n v="12"/>
    <n v="59"/>
    <n v="62"/>
    <s v="Require"/>
    <n v="59"/>
    <s v="Normal"/>
    <s v=" 1.50  "/>
    <n v="18"/>
    <d v="2024-08-12T00:00:00"/>
    <d v="2025-02-19T00:00:00"/>
    <d v="2024-04-17T00:00:00"/>
    <n v="563"/>
    <n v="372"/>
    <n v="680"/>
    <s v="Safe"/>
    <s v="3 Westerfield Crossing"/>
    <n v="95"/>
    <n v="1710"/>
    <n v="99"/>
    <s v="Active"/>
  </r>
  <r>
    <s v="57-437-1828"/>
    <s v="Plum"/>
    <x v="2"/>
    <s v="54-226-4308"/>
    <s v="Topicstorm"/>
    <n v="37"/>
    <n v="30"/>
    <n v="74"/>
    <s v="Sufficient"/>
    <n v="0"/>
    <s v="Normal"/>
    <s v=" 4.00  "/>
    <n v="148"/>
    <d v="2024-03-07T00:00:00"/>
    <d v="2024-11-10T00:00:00"/>
    <d v="2024-10-05T00:00:00"/>
    <n v="721"/>
    <n v="473"/>
    <n v="509"/>
    <s v="Expiring Soon"/>
    <s v="15068 Scoville Court"/>
    <n v="62"/>
    <n v="9176"/>
    <n v="25"/>
    <s v="Backordered"/>
  </r>
  <r>
    <s v="21-120-6238"/>
    <s v="All-Purpose Flour"/>
    <x v="0"/>
    <s v="86-292-4587"/>
    <s v="Dabjam"/>
    <n v="55"/>
    <n v="33"/>
    <n v="14"/>
    <s v="Sufficient"/>
    <n v="0"/>
    <s v="Normal"/>
    <s v=" 1.75  "/>
    <n v="96.25"/>
    <d v="2024-03-12T00:00:00"/>
    <d v="2024-05-26T00:00:00"/>
    <d v="2024-09-05T00:00:00"/>
    <n v="716"/>
    <n v="641"/>
    <n v="539"/>
    <s v="Expiring Soon"/>
    <s v="050 Mcbride Avenue"/>
    <n v="34"/>
    <n v="3272.5"/>
    <n v="62"/>
    <s v="Discontinued"/>
  </r>
  <r>
    <s v="71-516-1996"/>
    <s v="Corn Oil"/>
    <x v="3"/>
    <s v="04-391-7610"/>
    <s v="Tagfeed"/>
    <n v="96"/>
    <n v="52"/>
    <n v="16"/>
    <s v="Sufficient"/>
    <n v="0"/>
    <s v="Normal"/>
    <s v=" 2.50  "/>
    <n v="240"/>
    <d v="2024-03-18T00:00:00"/>
    <d v="2024-07-05T00:00:00"/>
    <d v="2024-06-20T00:00:00"/>
    <n v="710"/>
    <n v="601"/>
    <n v="616"/>
    <s v="Safe"/>
    <s v="12 Truax Court"/>
    <n v="67"/>
    <n v="16080"/>
    <n v="13"/>
    <s v="Active"/>
  </r>
  <r>
    <s v="39-629-5554"/>
    <s v="Egg (Goose)"/>
    <x v="4"/>
    <s v="67-679-4930"/>
    <s v="Muxo"/>
    <n v="44"/>
    <n v="90"/>
    <n v="17"/>
    <s v="Require"/>
    <n v="90"/>
    <s v="High Priority"/>
    <s v=" 2.50  "/>
    <n v="110"/>
    <d v="2025-03-02T00:00:00"/>
    <d v="2024-09-04T00:00:00"/>
    <d v="2025-02-05T00:00:00"/>
    <n v="361"/>
    <n v="540"/>
    <n v="386"/>
    <s v="Expiring Soon"/>
    <s v="267 International Plaza"/>
    <n v="21"/>
    <n v="2310"/>
    <n v="91"/>
    <s v="Discontinued"/>
  </r>
  <r>
    <s v="66-268-8345"/>
    <s v="Greek Yogurt"/>
    <x v="4"/>
    <s v="32-182-1895"/>
    <s v="Thoughtstorm"/>
    <n v="91"/>
    <n v="84"/>
    <n v="11"/>
    <s v="Sufficient"/>
    <n v="0"/>
    <s v="Normal"/>
    <s v=" 3.00  "/>
    <n v="273"/>
    <d v="2024-04-12T00:00:00"/>
    <d v="2024-02-06T00:00:00"/>
    <d v="2025-01-08T00:00:00"/>
    <n v="685"/>
    <n v="751"/>
    <n v="414"/>
    <s v="Expiring Soon"/>
    <s v="550 Clemons Plaza"/>
    <n v="56"/>
    <n v="15288"/>
    <n v="90"/>
    <s v="Active"/>
  </r>
  <r>
    <s v="46-452-9419"/>
    <s v="Egg (Duck)"/>
    <x v="4"/>
    <s v="67-137-4215"/>
    <s v="Wordify"/>
    <n v="43"/>
    <n v="10"/>
    <n v="15"/>
    <s v="Sufficient"/>
    <n v="0"/>
    <s v="Normal"/>
    <s v=" 1.00  "/>
    <n v="43"/>
    <d v="2024-11-18T00:00:00"/>
    <d v="2024-11-14T00:00:00"/>
    <d v="2024-07-08T00:00:00"/>
    <n v="465"/>
    <n v="469"/>
    <n v="598"/>
    <s v="Safe"/>
    <s v="55782 Welch Hill"/>
    <n v="27"/>
    <n v="1161"/>
    <n v="69"/>
    <s v="Active"/>
  </r>
  <r>
    <s v="51-469-4611"/>
    <s v="Long Grain Rice"/>
    <x v="0"/>
    <s v="62-029-0827"/>
    <s v="Fivebridge"/>
    <n v="62"/>
    <n v="81"/>
    <n v="91"/>
    <s v="Require"/>
    <n v="81"/>
    <s v="High Priority"/>
    <s v=" 1.60  "/>
    <n v="99.2"/>
    <d v="2024-12-18T00:00:00"/>
    <d v="2024-05-24T00:00:00"/>
    <d v="2025-01-07T00:00:00"/>
    <n v="435"/>
    <n v="643"/>
    <n v="415"/>
    <s v="Expiring Soon"/>
    <s v="04776 Saint Paul Park"/>
    <n v="100"/>
    <n v="9920"/>
    <n v="42"/>
    <s v="Discontinued"/>
  </r>
  <r>
    <s v="42-220-9305"/>
    <s v="White Sugar"/>
    <x v="0"/>
    <s v="56-092-7992"/>
    <s v="Zooxo"/>
    <n v="91"/>
    <n v="98"/>
    <n v="6"/>
    <s v="Require"/>
    <n v="98"/>
    <s v="High Priority"/>
    <s v=" 2.00  "/>
    <n v="182"/>
    <d v="2024-10-19T00:00:00"/>
    <d v="2024-11-12T00:00:00"/>
    <d v="2024-10-14T00:00:00"/>
    <n v="495"/>
    <n v="471"/>
    <n v="500"/>
    <s v="Expiring Soon"/>
    <s v="61932 Cascade Crossing"/>
    <n v="100"/>
    <n v="18200"/>
    <n v="20"/>
    <s v="Backordered"/>
  </r>
  <r>
    <s v="75-094-1179"/>
    <s v="Rye Bread"/>
    <x v="5"/>
    <s v="57-615-0729"/>
    <s v="Vitz"/>
    <n v="26"/>
    <n v="79"/>
    <n v="31"/>
    <s v="Require"/>
    <n v="79"/>
    <s v="High Priority"/>
    <s v=" 3.00  "/>
    <n v="78"/>
    <d v="2024-12-13T00:00:00"/>
    <d v="2025-09-02T00:00:00"/>
    <d v="2024-07-18T00:00:00"/>
    <n v="440"/>
    <n v="177"/>
    <n v="588"/>
    <s v="Safe"/>
    <s v="13 Forest Run Place"/>
    <n v="47"/>
    <n v="3666"/>
    <n v="41"/>
    <s v="Discontinued"/>
  </r>
  <r>
    <s v="11-073-0189"/>
    <s v="Plum"/>
    <x v="2"/>
    <s v="75-190-3627"/>
    <s v="Voomm"/>
    <n v="95"/>
    <n v="50"/>
    <n v="76"/>
    <s v="Sufficient"/>
    <n v="0"/>
    <s v="Normal"/>
    <s v=" 4.00  "/>
    <n v="380"/>
    <d v="2024-05-04T00:00:00"/>
    <d v="2024-09-21T00:00:00"/>
    <d v="2024-05-06T00:00:00"/>
    <n v="663"/>
    <n v="523"/>
    <n v="661"/>
    <s v="Safe"/>
    <s v="5104 Jana Court"/>
    <n v="69"/>
    <n v="26220"/>
    <n v="5"/>
    <s v="Active"/>
  </r>
  <r>
    <s v="22-621-2774"/>
    <s v="Strawberries"/>
    <x v="2"/>
    <s v="70-901-6191"/>
    <s v="Babblestorm"/>
    <n v="54"/>
    <n v="26"/>
    <n v="16"/>
    <s v="Sufficient"/>
    <n v="0"/>
    <s v="Normal"/>
    <s v=" 6.00  "/>
    <n v="324"/>
    <d v="2024-11-03T00:00:00"/>
    <d v="2024-06-30T00:00:00"/>
    <d v="2024-06-14T00:00:00"/>
    <n v="480"/>
    <n v="606"/>
    <n v="622"/>
    <s v="Safe"/>
    <s v="00 Drewry Court"/>
    <n v="63"/>
    <n v="20412"/>
    <n v="97"/>
    <s v="Active"/>
  </r>
  <r>
    <s v="39-449-0772"/>
    <s v="Feta Cheese"/>
    <x v="4"/>
    <s v="84-504-7617"/>
    <s v="Youfeed"/>
    <n v="94"/>
    <n v="13"/>
    <n v="15"/>
    <s v="Sufficient"/>
    <n v="0"/>
    <s v="Normal"/>
    <s v=" 7.00  "/>
    <n v="658"/>
    <d v="2024-02-27T00:00:00"/>
    <d v="2024-02-04T00:00:00"/>
    <d v="2024-10-05T00:00:00"/>
    <n v="730"/>
    <n v="753"/>
    <n v="509"/>
    <s v="Expiring Soon"/>
    <s v="195 Portage Junction"/>
    <n v="20"/>
    <n v="13160"/>
    <n v="24"/>
    <s v="Backordered"/>
  </r>
  <r>
    <s v="55-936-2406"/>
    <s v="Bread Flour"/>
    <x v="0"/>
    <s v="29-689-5014"/>
    <s v="Mynte"/>
    <n v="27"/>
    <n v="93"/>
    <n v="88"/>
    <s v="Require"/>
    <n v="93"/>
    <s v="High Priority"/>
    <s v=" 1.50  "/>
    <n v="40.5"/>
    <d v="2024-11-16T00:00:00"/>
    <d v="2024-09-03T00:00:00"/>
    <d v="2024-04-05T00:00:00"/>
    <n v="467"/>
    <n v="541"/>
    <n v="692"/>
    <s v="Safe"/>
    <s v="52691 8th Drive"/>
    <n v="66"/>
    <n v="2673"/>
    <n v="13"/>
    <s v="Active"/>
  </r>
  <r>
    <s v="82-041-7211"/>
    <s v="Swiss Cheese"/>
    <x v="4"/>
    <s v="03-615-0558"/>
    <s v="Reallinks"/>
    <n v="49"/>
    <n v="49"/>
    <n v="26"/>
    <s v="Require"/>
    <n v="49"/>
    <s v="Normal"/>
    <s v=" 8.00  "/>
    <n v="392"/>
    <d v="2024-10-09T00:00:00"/>
    <d v="2024-05-19T00:00:00"/>
    <d v="2024-07-01T00:00:00"/>
    <n v="505"/>
    <n v="648"/>
    <n v="605"/>
    <s v="Safe"/>
    <s v="285 1st Park"/>
    <n v="78"/>
    <n v="30576"/>
    <n v="61"/>
    <s v="Discontinued"/>
  </r>
  <r>
    <s v="48-414-6162"/>
    <s v="Arabica Coffee"/>
    <x v="1"/>
    <s v="10-060-8515"/>
    <s v="Skivee"/>
    <n v="55"/>
    <n v="93"/>
    <n v="84"/>
    <s v="Require"/>
    <n v="93"/>
    <s v="High Priority"/>
    <s v=" 20.00  "/>
    <n v="1100"/>
    <d v="2024-05-29T00:00:00"/>
    <d v="2024-08-11T00:00:00"/>
    <d v="2024-05-05T00:00:00"/>
    <n v="638"/>
    <n v="564"/>
    <n v="662"/>
    <s v="Safe"/>
    <s v="17780 Lindbergh Junction"/>
    <n v="46"/>
    <n v="50600"/>
    <n v="84"/>
    <s v="Active"/>
  </r>
  <r>
    <s v="76-854-0095"/>
    <s v="White Sugar"/>
    <x v="0"/>
    <s v="38-883-3382"/>
    <s v="Mydeo"/>
    <n v="65"/>
    <n v="61"/>
    <n v="82"/>
    <s v="Sufficient"/>
    <n v="0"/>
    <s v="Normal"/>
    <s v=" 2.00  "/>
    <n v="130"/>
    <d v="2024-05-31T00:00:00"/>
    <d v="2025-08-02T00:00:00"/>
    <d v="2024-12-28T00:00:00"/>
    <n v="636"/>
    <n v="208"/>
    <n v="425"/>
    <s v="Expiring Soon"/>
    <s v="7834 Cordelia Alley"/>
    <n v="29"/>
    <n v="3770"/>
    <n v="11"/>
    <s v="Backordered"/>
  </r>
  <r>
    <s v="25-349-7974"/>
    <s v="Spinach"/>
    <x v="2"/>
    <s v="82-737-6019"/>
    <s v="Devshare"/>
    <n v="72"/>
    <n v="70"/>
    <n v="99"/>
    <s v="Sufficient"/>
    <n v="0"/>
    <s v="Normal"/>
    <s v=" 2.50  "/>
    <n v="180"/>
    <d v="2024-07-10T00:00:00"/>
    <d v="2024-05-28T00:00:00"/>
    <d v="2024-06-22T00:00:00"/>
    <n v="596"/>
    <n v="639"/>
    <n v="614"/>
    <s v="Safe"/>
    <s v="42 Bunker Hill Junction"/>
    <n v="82"/>
    <n v="14760"/>
    <n v="32"/>
    <s v="Discontinued"/>
  </r>
  <r>
    <s v="66-627-9752"/>
    <s v="Trout"/>
    <x v="6"/>
    <s v="87-839-6400"/>
    <s v="Jabbertype"/>
    <n v="49"/>
    <n v="73"/>
    <n v="48"/>
    <s v="Require"/>
    <n v="73"/>
    <s v="High Priority"/>
    <s v=" 12.00  "/>
    <n v="588"/>
    <d v="2024-08-17T00:00:00"/>
    <d v="2024-01-10T00:00:00"/>
    <d v="2024-09-03T00:00:00"/>
    <n v="558"/>
    <n v="778"/>
    <n v="541"/>
    <s v="Expiring Soon"/>
    <s v="08 Randy Junction"/>
    <n v="52"/>
    <n v="30576"/>
    <n v="62"/>
    <s v="Active"/>
  </r>
  <r>
    <s v="78-614-4402"/>
    <s v="Green Beans"/>
    <x v="2"/>
    <s v="51-014-4287"/>
    <s v="Gigazoom"/>
    <n v="81"/>
    <n v="99"/>
    <n v="28"/>
    <s v="Require"/>
    <n v="99"/>
    <s v="High Priority"/>
    <s v=" 2.00  "/>
    <n v="162"/>
    <d v="2024-09-30T00:00:00"/>
    <d v="2025-02-14T00:00:00"/>
    <d v="2024-04-25T00:00:00"/>
    <n v="514"/>
    <n v="377"/>
    <n v="672"/>
    <s v="Safe"/>
    <s v="37 Browning Trail"/>
    <n v="20"/>
    <n v="3240"/>
    <n v="85"/>
    <s v="Discontinued"/>
  </r>
  <r>
    <s v="67-025-1245"/>
    <s v="Cabbage"/>
    <x v="2"/>
    <s v="28-575-0716"/>
    <s v="Chatterbridge"/>
    <n v="88"/>
    <n v="46"/>
    <n v="55"/>
    <s v="Sufficient"/>
    <n v="0"/>
    <s v="Normal"/>
    <s v=" 1.00  "/>
    <n v="88"/>
    <d v="2024-09-04T00:00:00"/>
    <d v="2024-06-03T00:00:00"/>
    <d v="2024-08-12T00:00:00"/>
    <n v="540"/>
    <n v="633"/>
    <n v="563"/>
    <s v="Safe"/>
    <s v="51890 Lindbergh Terrace"/>
    <n v="73"/>
    <n v="6424"/>
    <n v="63"/>
    <s v="Active"/>
  </r>
  <r>
    <s v="68-418-6724"/>
    <s v="Parmesan Cheese"/>
    <x v="4"/>
    <s v="75-465-6257"/>
    <s v="Feedspan"/>
    <n v="63"/>
    <n v="4"/>
    <n v="85"/>
    <s v="Sufficient"/>
    <n v="0"/>
    <s v="Normal"/>
    <s v=" 12.00  "/>
    <n v="756"/>
    <d v="2024-12-21T00:00:00"/>
    <d v="2025-01-13T00:00:00"/>
    <d v="2024-09-30T00:00:00"/>
    <n v="432"/>
    <n v="409"/>
    <n v="514"/>
    <s v="Expiring Soon"/>
    <s v="49869 Bunker Hill Terrace"/>
    <n v="59"/>
    <n v="44604"/>
    <n v="71"/>
    <s v="Active"/>
  </r>
  <r>
    <s v="40-795-0753"/>
    <s v="Raw Sugar"/>
    <x v="0"/>
    <s v="47-183-4911"/>
    <s v="Mydo"/>
    <n v="31"/>
    <n v="43"/>
    <n v="80"/>
    <s v="Require"/>
    <n v="43"/>
    <s v="Normal"/>
    <s v=" 1.50  "/>
    <n v="46.5"/>
    <d v="2024-05-28T00:00:00"/>
    <d v="2025-02-22T00:00:00"/>
    <d v="2024-05-30T00:00:00"/>
    <n v="639"/>
    <n v="369"/>
    <n v="637"/>
    <s v="Safe"/>
    <s v="66879 Susan Place"/>
    <n v="46"/>
    <n v="2139"/>
    <n v="78"/>
    <s v="Backordered"/>
  </r>
  <r>
    <s v="02-508-3777"/>
    <s v="Egg (Quail)"/>
    <x v="4"/>
    <s v="69-933-2582"/>
    <s v="Realpoint"/>
    <n v="97"/>
    <n v="88"/>
    <n v="81"/>
    <s v="Sufficient"/>
    <n v="0"/>
    <s v="Normal"/>
    <s v=" 0.80  "/>
    <n v="77.600000000000009"/>
    <d v="2024-05-11T00:00:00"/>
    <d v="2024-07-07T00:00:00"/>
    <d v="2024-06-26T00:00:00"/>
    <n v="656"/>
    <n v="599"/>
    <n v="610"/>
    <s v="Safe"/>
    <s v="895 Northland Hill"/>
    <n v="97"/>
    <n v="7527.2000000000007"/>
    <n v="18"/>
    <s v="Discontinued"/>
  </r>
  <r>
    <s v="79-741-0770"/>
    <s v="Mushrooms"/>
    <x v="2"/>
    <s v="67-771-7656"/>
    <s v="Photospace"/>
    <n v="72"/>
    <n v="87"/>
    <n v="39"/>
    <s v="Require"/>
    <n v="87"/>
    <s v="High Priority"/>
    <s v=" 6.00  "/>
    <n v="432"/>
    <d v="2024-06-24T00:00:00"/>
    <d v="2025-02-24T00:00:00"/>
    <d v="2024-03-17T00:00:00"/>
    <n v="612"/>
    <n v="367"/>
    <n v="711"/>
    <s v="Safe"/>
    <s v="91 Kinsman Terrace"/>
    <n v="94"/>
    <n v="40608"/>
    <n v="57"/>
    <s v="Active"/>
  </r>
  <r>
    <s v="31-211-5803"/>
    <s v="Oatmeal Biscuit"/>
    <x v="5"/>
    <s v="75-503-9347"/>
    <s v="Gigazoom"/>
    <n v="16"/>
    <n v="9"/>
    <n v="32"/>
    <s v="Sufficient"/>
    <n v="0"/>
    <s v="Normal"/>
    <s v=" 5.00  "/>
    <n v="80"/>
    <d v="2024-07-16T00:00:00"/>
    <d v="2024-08-21T00:00:00"/>
    <d v="2025-02-07T00:00:00"/>
    <n v="590"/>
    <n v="554"/>
    <n v="384"/>
    <s v="Expiring Soon"/>
    <s v="492 Shoshone Road"/>
    <n v="50"/>
    <n v="4000"/>
    <n v="98"/>
    <s v="Backordered"/>
  </r>
  <r>
    <s v="16-499-5059"/>
    <s v="Pear"/>
    <x v="2"/>
    <s v="09-090-6360"/>
    <s v="Centizu"/>
    <n v="77"/>
    <n v="20"/>
    <n v="5"/>
    <s v="Sufficient"/>
    <n v="0"/>
    <s v="Normal"/>
    <s v=" 4.50  "/>
    <n v="346.5"/>
    <d v="2024-08-18T00:00:00"/>
    <d v="2024-11-19T00:00:00"/>
    <d v="2024-12-20T00:00:00"/>
    <n v="557"/>
    <n v="464"/>
    <n v="433"/>
    <s v="Expiring Soon"/>
    <s v="3 Hooker Way"/>
    <n v="61"/>
    <n v="21136.5"/>
    <n v="62"/>
    <s v="Discontinued"/>
  </r>
  <r>
    <s v="76-340-4432"/>
    <s v="Cucumber"/>
    <x v="2"/>
    <s v="79-915-4185"/>
    <s v="Brainverse"/>
    <n v="19"/>
    <n v="36"/>
    <n v="72"/>
    <s v="Require"/>
    <n v="36"/>
    <s v="Normal"/>
    <s v=" 1.75  "/>
    <n v="33.25"/>
    <d v="2024-03-05T00:00:00"/>
    <d v="2024-03-28T00:00:00"/>
    <d v="2024-03-06T00:00:00"/>
    <n v="723"/>
    <n v="700"/>
    <n v="722"/>
    <s v="Safe"/>
    <s v="157 David Center"/>
    <n v="31"/>
    <n v="1030.75"/>
    <n v="81"/>
    <s v="Backordered"/>
  </r>
  <r>
    <s v="38-732-7667"/>
    <s v="Pineapple"/>
    <x v="2"/>
    <s v="88-663-3393"/>
    <s v="Photojam"/>
    <n v="18"/>
    <n v="52"/>
    <n v="22"/>
    <s v="Require"/>
    <n v="52"/>
    <s v="Normal"/>
    <s v=" 3.50  "/>
    <n v="63"/>
    <d v="2024-08-23T00:00:00"/>
    <d v="2024-10-13T00:00:00"/>
    <d v="2024-09-28T00:00:00"/>
    <n v="552"/>
    <n v="501"/>
    <n v="516"/>
    <s v="Expiring Soon"/>
    <s v="3645 Ridge Oak Drive"/>
    <n v="42"/>
    <n v="2646"/>
    <n v="32"/>
    <s v="Backordered"/>
  </r>
  <r>
    <s v="04-240-2226"/>
    <s v="Olive Oil"/>
    <x v="3"/>
    <s v="65-842-6819"/>
    <s v="Kamba"/>
    <n v="47"/>
    <n v="48"/>
    <n v="73"/>
    <s v="Require"/>
    <n v="48"/>
    <s v="Normal"/>
    <s v=" 6.00  "/>
    <n v="282"/>
    <d v="2024-08-13T00:00:00"/>
    <d v="2024-06-28T00:00:00"/>
    <d v="2024-03-05T00:00:00"/>
    <n v="562"/>
    <n v="608"/>
    <n v="723"/>
    <s v="Safe"/>
    <s v="504 Green Park"/>
    <n v="42"/>
    <n v="11844"/>
    <n v="51"/>
    <s v="Discontinued"/>
  </r>
  <r>
    <s v="79-136-9840"/>
    <s v="Herbal Tea"/>
    <x v="1"/>
    <s v="07-809-0926"/>
    <s v="Pixonyx"/>
    <n v="77"/>
    <n v="45"/>
    <n v="75"/>
    <s v="Sufficient"/>
    <n v="0"/>
    <s v="Normal"/>
    <s v=" 30.00  "/>
    <n v="2310"/>
    <d v="2024-05-11T00:00:00"/>
    <d v="2024-08-19T00:00:00"/>
    <d v="2024-06-23T00:00:00"/>
    <n v="656"/>
    <n v="556"/>
    <n v="613"/>
    <s v="Safe"/>
    <s v="26175 Oxford Way"/>
    <n v="25"/>
    <n v="57750"/>
    <n v="37"/>
    <s v="Discontinued"/>
  </r>
  <r>
    <s v="73-401-5721"/>
    <s v="Haddock"/>
    <x v="6"/>
    <s v="38-622-5251"/>
    <s v="Midel"/>
    <n v="46"/>
    <n v="28"/>
    <n v="73"/>
    <s v="Sufficient"/>
    <n v="0"/>
    <s v="Normal"/>
    <s v=" 9.00  "/>
    <n v="414"/>
    <d v="2024-05-28T00:00:00"/>
    <d v="2024-10-28T00:00:00"/>
    <d v="2024-12-26T00:00:00"/>
    <n v="639"/>
    <n v="486"/>
    <n v="427"/>
    <s v="Expiring Soon"/>
    <s v="582 Sauthoff Crossing"/>
    <n v="65"/>
    <n v="26910"/>
    <n v="57"/>
    <s v="Discontinued"/>
  </r>
  <r>
    <s v="91-848-0606"/>
    <s v="Onion"/>
    <x v="2"/>
    <s v="68-836-0350"/>
    <s v="Skyble"/>
    <n v="39"/>
    <n v="22"/>
    <n v="73"/>
    <s v="Sufficient"/>
    <n v="0"/>
    <s v="Normal"/>
    <s v=" 2.00  "/>
    <n v="78"/>
    <d v="2024-11-06T00:00:00"/>
    <d v="2024-07-23T00:00:00"/>
    <d v="2024-10-28T00:00:00"/>
    <n v="477"/>
    <n v="583"/>
    <n v="486"/>
    <s v="Expiring Soon"/>
    <s v="13 Corscot Hill"/>
    <n v="60"/>
    <n v="4680"/>
    <n v="2"/>
    <s v="Active"/>
  </r>
  <r>
    <s v="54-109-8062"/>
    <s v="Sushi Rice"/>
    <x v="0"/>
    <s v="04-726-3363"/>
    <s v="Linklinks"/>
    <n v="75"/>
    <n v="69"/>
    <n v="100"/>
    <s v="Sufficient"/>
    <n v="0"/>
    <s v="Normal"/>
    <s v=" 4.50  "/>
    <n v="337.5"/>
    <d v="2024-11-07T00:00:00"/>
    <d v="2025-01-19T00:00:00"/>
    <d v="2025-02-16T00:00:00"/>
    <n v="476"/>
    <n v="403"/>
    <n v="375"/>
    <s v="Expiring Soon"/>
    <s v="67 Little Fleur Road"/>
    <n v="43"/>
    <n v="14512.5"/>
    <n v="18"/>
    <s v="Backordered"/>
  </r>
  <r>
    <s v="70-612-2531"/>
    <s v="Pineapple"/>
    <x v="2"/>
    <s v="94-217-4781"/>
    <s v="Flipbug"/>
    <n v="48"/>
    <n v="48"/>
    <n v="39"/>
    <s v="Require"/>
    <n v="48"/>
    <s v="Normal"/>
    <s v=" 3.45  "/>
    <n v="165.60000000000002"/>
    <d v="2024-03-17T00:00:00"/>
    <d v="2025-01-25T00:00:00"/>
    <d v="2024-10-30T00:00:00"/>
    <n v="711"/>
    <n v="397"/>
    <n v="484"/>
    <s v="Expiring Soon"/>
    <s v="4 Raven Drive"/>
    <n v="51"/>
    <n v="8445.6"/>
    <n v="50"/>
    <s v="Discontinued"/>
  </r>
  <r>
    <s v="26-161-6692"/>
    <s v="Zucchini"/>
    <x v="2"/>
    <s v="61-796-7912"/>
    <s v="Kare"/>
    <n v="61"/>
    <n v="90"/>
    <n v="26"/>
    <s v="Require"/>
    <n v="90"/>
    <s v="High Priority"/>
    <s v=" 2.50  "/>
    <n v="152.5"/>
    <d v="2024-12-22T00:00:00"/>
    <d v="2024-07-09T00:00:00"/>
    <d v="2024-09-19T00:00:00"/>
    <n v="431"/>
    <n v="597"/>
    <n v="525"/>
    <s v="Expiring Soon"/>
    <s v="70001 Vahlen Lane"/>
    <n v="79"/>
    <n v="12047.5"/>
    <n v="84"/>
    <s v="Discontinued"/>
  </r>
  <r>
    <s v="43-893-5408"/>
    <s v="Short Grain Rice"/>
    <x v="0"/>
    <s v="25-414-2945"/>
    <s v="Snaptags"/>
    <n v="60"/>
    <n v="90"/>
    <n v="85"/>
    <s v="Require"/>
    <n v="90"/>
    <s v="High Priority"/>
    <s v=" 3.00  "/>
    <n v="180"/>
    <d v="2025-01-21T00:00:00"/>
    <d v="2024-03-20T00:00:00"/>
    <d v="2024-08-24T00:00:00"/>
    <n v="401"/>
    <n v="708"/>
    <n v="551"/>
    <s v="Safe"/>
    <s v="6 Orin Place"/>
    <n v="47"/>
    <n v="8460"/>
    <n v="9"/>
    <s v="Discontinued"/>
  </r>
  <r>
    <s v="11-316-8405"/>
    <s v="Mango"/>
    <x v="2"/>
    <s v="50-918-1373"/>
    <s v="Twitternation"/>
    <n v="24"/>
    <n v="55"/>
    <n v="51"/>
    <s v="Require"/>
    <n v="55"/>
    <s v="Normal"/>
    <s v=" 5.00  "/>
    <n v="120"/>
    <d v="2024-04-26T00:00:00"/>
    <d v="2025-02-24T00:00:00"/>
    <d v="2024-11-25T00:00:00"/>
    <n v="671"/>
    <n v="367"/>
    <n v="458"/>
    <s v="Expiring Soon"/>
    <s v="108 Morning Center"/>
    <n v="39"/>
    <n v="4680"/>
    <n v="15"/>
    <s v="Discontinued"/>
  </r>
  <r>
    <s v="34-086-3222"/>
    <s v="Lemon"/>
    <x v="2"/>
    <s v="34-017-9457"/>
    <s v="Layo"/>
    <n v="12"/>
    <n v="7"/>
    <n v="48"/>
    <s v="Sufficient"/>
    <n v="0"/>
    <s v="Normal"/>
    <s v=" 2.30  "/>
    <n v="27.599999999999998"/>
    <d v="2024-06-24T00:00:00"/>
    <d v="2024-12-25T00:00:00"/>
    <d v="2024-06-05T00:00:00"/>
    <n v="612"/>
    <n v="428"/>
    <n v="631"/>
    <s v="Safe"/>
    <s v="867 Merrick Place"/>
    <n v="66"/>
    <n v="1821.6"/>
    <n v="4"/>
    <s v="Discontinued"/>
  </r>
  <r>
    <s v="21-816-1004"/>
    <s v="Black Coffee"/>
    <x v="1"/>
    <s v="68-482-4786"/>
    <s v="Realpoint"/>
    <n v="84"/>
    <n v="13"/>
    <n v="88"/>
    <s v="Sufficient"/>
    <n v="0"/>
    <s v="Normal"/>
    <s v=" 15.00  "/>
    <n v="1260"/>
    <d v="2025-01-26T00:00:00"/>
    <d v="2024-04-12T00:00:00"/>
    <d v="2024-07-22T00:00:00"/>
    <n v="396"/>
    <n v="685"/>
    <n v="584"/>
    <s v="Safe"/>
    <s v="564 Hazelcrest Crossing"/>
    <n v="25"/>
    <n v="31500"/>
    <n v="34"/>
    <s v="Backordered"/>
  </r>
  <r>
    <s v="43-693-2092"/>
    <s v="Butter"/>
    <x v="4"/>
    <s v="19-469-9841"/>
    <s v="Kayveo"/>
    <n v="51"/>
    <n v="100"/>
    <n v="70"/>
    <s v="Require"/>
    <n v="100"/>
    <s v="High Priority"/>
    <s v=" 3.00  "/>
    <n v="153"/>
    <d v="2024-04-30T00:00:00"/>
    <d v="2024-10-21T00:00:00"/>
    <d v="2024-09-22T00:00:00"/>
    <n v="667"/>
    <n v="493"/>
    <n v="522"/>
    <s v="Expiring Soon"/>
    <s v="76 Toban Plaza"/>
    <n v="40"/>
    <n v="6120"/>
    <n v="21"/>
    <s v="Discontinued"/>
  </r>
  <r>
    <s v="63-270-7076"/>
    <s v="Multigrain Bread"/>
    <x v="5"/>
    <s v="85-532-0172"/>
    <s v="Roombo"/>
    <n v="65"/>
    <n v="36"/>
    <n v="37"/>
    <s v="Sufficient"/>
    <n v="0"/>
    <s v="Normal"/>
    <s v=" 3.50  "/>
    <n v="227.5"/>
    <d v="2024-04-21T00:00:00"/>
    <d v="2024-12-06T00:00:00"/>
    <d v="2025-01-24T00:00:00"/>
    <n v="676"/>
    <n v="447"/>
    <n v="398"/>
    <s v="Expiring Soon"/>
    <s v="6 Lunder Parkway"/>
    <n v="32"/>
    <n v="7280"/>
    <n v="70"/>
    <s v="Backordered"/>
  </r>
  <r>
    <s v="90-230-9767"/>
    <s v="Long Grain Rice"/>
    <x v="0"/>
    <s v="70-515-9048"/>
    <s v="Voonyx"/>
    <n v="67"/>
    <n v="88"/>
    <n v="32"/>
    <s v="Require"/>
    <n v="88"/>
    <s v="High Priority"/>
    <s v=" 1.50  "/>
    <n v="100.5"/>
    <d v="2024-06-04T00:00:00"/>
    <d v="2024-01-05T00:00:00"/>
    <d v="2024-11-17T00:00:00"/>
    <n v="632"/>
    <n v="783"/>
    <n v="466"/>
    <s v="Expiring Soon"/>
    <s v="00397 Bay Terrace"/>
    <n v="66"/>
    <n v="6633"/>
    <n v="42"/>
    <s v="Discontinued"/>
  </r>
  <r>
    <s v="05-334-2923"/>
    <s v="Bread Flour"/>
    <x v="0"/>
    <s v="41-772-6271"/>
    <s v="Browsezoom"/>
    <n v="14"/>
    <n v="74"/>
    <n v="71"/>
    <s v="Require"/>
    <n v="74"/>
    <s v="High Priority"/>
    <s v=" 1.50  "/>
    <n v="21"/>
    <d v="2024-08-18T00:00:00"/>
    <d v="2024-11-22T00:00:00"/>
    <d v="2024-05-16T00:00:00"/>
    <n v="557"/>
    <n v="461"/>
    <n v="651"/>
    <s v="Safe"/>
    <s v="8 Surrey Pass"/>
    <n v="37"/>
    <n v="777"/>
    <n v="22"/>
    <s v="Discontinued"/>
  </r>
  <r>
    <s v="52-481-5224"/>
    <s v="Kiwi"/>
    <x v="2"/>
    <s v="46-382-2024"/>
    <s v="Fiveclub"/>
    <n v="45"/>
    <n v="24"/>
    <n v="61"/>
    <s v="Sufficient"/>
    <n v="0"/>
    <s v="Normal"/>
    <s v=" 6.00  "/>
    <n v="270"/>
    <d v="2025-01-21T00:00:00"/>
    <d v="2025-07-02T00:00:00"/>
    <d v="2025-02-15T00:00:00"/>
    <n v="401"/>
    <n v="239"/>
    <n v="376"/>
    <s v="Expiring Soon"/>
    <s v="80 Old Shore Plaza"/>
    <n v="44"/>
    <n v="11880"/>
    <n v="34"/>
    <s v="Backordered"/>
  </r>
  <r>
    <s v="11-325-7396"/>
    <s v="Mango"/>
    <x v="2"/>
    <s v="98-940-7545"/>
    <s v="Skipfire"/>
    <n v="92"/>
    <n v="46"/>
    <n v="13"/>
    <s v="Sufficient"/>
    <n v="0"/>
    <s v="Normal"/>
    <s v=" 5.00  "/>
    <n v="460"/>
    <d v="2024-07-28T00:00:00"/>
    <d v="2024-10-18T00:00:00"/>
    <d v="2024-03-26T00:00:00"/>
    <n v="578"/>
    <n v="496"/>
    <n v="702"/>
    <s v="Safe"/>
    <s v="387 Jay Point"/>
    <n v="24"/>
    <n v="11040"/>
    <n v="75"/>
    <s v="Discontinued"/>
  </r>
  <r>
    <s v="70-854-6891"/>
    <s v="Sourdough Bread"/>
    <x v="5"/>
    <s v="79-575-9351"/>
    <s v="Flashspan"/>
    <n v="41"/>
    <n v="84"/>
    <n v="90"/>
    <s v="Require"/>
    <n v="84"/>
    <s v="High Priority"/>
    <s v=" 4.00  "/>
    <n v="164"/>
    <d v="2025-01-28T00:00:00"/>
    <d v="2024-11-28T00:00:00"/>
    <d v="2024-11-12T00:00:00"/>
    <n v="394"/>
    <n v="455"/>
    <n v="471"/>
    <s v="Expiring Soon"/>
    <s v="24045 Bluestem Point"/>
    <n v="42"/>
    <n v="6888"/>
    <n v="65"/>
    <s v="Active"/>
  </r>
  <r>
    <s v="46-520-1819"/>
    <s v="Short Grain Rice"/>
    <x v="0"/>
    <s v="10-762-7936"/>
    <s v="Katz"/>
    <n v="41"/>
    <n v="36"/>
    <n v="78"/>
    <s v="Sufficient"/>
    <n v="0"/>
    <s v="Normal"/>
    <s v=" 4.50  "/>
    <n v="184.5"/>
    <d v="2024-04-07T00:00:00"/>
    <d v="2024-04-10T00:00:00"/>
    <d v="2024-05-15T00:00:00"/>
    <n v="690"/>
    <n v="687"/>
    <n v="652"/>
    <s v="Safe"/>
    <s v="805 Nancy Crossing"/>
    <n v="38"/>
    <n v="7011"/>
    <n v="75"/>
    <s v="Backordered"/>
  </r>
  <r>
    <s v="91-105-7317"/>
    <s v="Orange"/>
    <x v="2"/>
    <s v="84-047-0017"/>
    <s v="Devshare"/>
    <n v="85"/>
    <n v="45"/>
    <n v="71"/>
    <s v="Sufficient"/>
    <n v="0"/>
    <s v="Normal"/>
    <s v=" 3.00  "/>
    <n v="255"/>
    <d v="2024-03-20T00:00:00"/>
    <d v="2024-12-28T00:00:00"/>
    <d v="2025-02-02T00:00:00"/>
    <n v="708"/>
    <n v="425"/>
    <n v="389"/>
    <s v="Expiring Soon"/>
    <s v="44022 Barnett Way"/>
    <n v="95"/>
    <n v="24225"/>
    <n v="72"/>
    <s v="Discontinued"/>
  </r>
  <r>
    <s v="40-751-8635"/>
    <s v="Pineapple"/>
    <x v="2"/>
    <s v="48-878-3021"/>
    <s v="Yamia"/>
    <n v="44"/>
    <n v="80"/>
    <n v="84"/>
    <s v="Require"/>
    <n v="80"/>
    <s v="High Priority"/>
    <s v=" 3.40  "/>
    <n v="149.6"/>
    <d v="2024-08-30T00:00:00"/>
    <d v="2024-10-17T00:00:00"/>
    <d v="2024-03-05T00:00:00"/>
    <n v="545"/>
    <n v="497"/>
    <n v="723"/>
    <s v="Safe"/>
    <s v="3 Ronald Regan Center"/>
    <n v="96"/>
    <n v="14361.599999999999"/>
    <n v="68"/>
    <s v="Discontinued"/>
  </r>
  <r>
    <s v="02-920-4829"/>
    <s v="White Bread"/>
    <x v="5"/>
    <s v="41-587-4864"/>
    <s v="Skyble"/>
    <n v="92"/>
    <n v="87"/>
    <n v="84"/>
    <s v="Sufficient"/>
    <n v="0"/>
    <s v="Normal"/>
    <s v=" 2.50  "/>
    <n v="230"/>
    <d v="2024-10-19T00:00:00"/>
    <d v="2024-06-14T00:00:00"/>
    <d v="2024-05-22T00:00:00"/>
    <n v="495"/>
    <n v="622"/>
    <n v="645"/>
    <s v="Safe"/>
    <s v="4 Judy Hill"/>
    <n v="61"/>
    <n v="14030"/>
    <n v="31"/>
    <s v="Backordered"/>
  </r>
  <r>
    <s v="36-918-2937"/>
    <s v="Green Coffee"/>
    <x v="1"/>
    <s v="53-844-0478"/>
    <s v="Kwinu"/>
    <n v="62"/>
    <n v="89"/>
    <n v="18"/>
    <s v="Require"/>
    <n v="89"/>
    <s v="High Priority"/>
    <s v=" 12.00  "/>
    <n v="744"/>
    <d v="2024-12-03T00:00:00"/>
    <d v="2025-12-02T00:00:00"/>
    <d v="2024-11-28T00:00:00"/>
    <n v="450"/>
    <n v="86"/>
    <n v="455"/>
    <s v="Expiring Soon"/>
    <s v="90865 Sherman Court"/>
    <n v="35"/>
    <n v="26040"/>
    <n v="36"/>
    <s v="Active"/>
  </r>
  <r>
    <s v="68-761-6907"/>
    <s v="Zucchini"/>
    <x v="2"/>
    <s v="31-199-3683"/>
    <s v="Brainverse"/>
    <n v="26"/>
    <n v="18"/>
    <n v="62"/>
    <s v="Sufficient"/>
    <n v="0"/>
    <s v="Normal"/>
    <s v=" 2.50  "/>
    <n v="65"/>
    <d v="2024-07-28T00:00:00"/>
    <d v="2024-07-21T00:00:00"/>
    <d v="2025-02-02T00:00:00"/>
    <n v="578"/>
    <n v="585"/>
    <n v="389"/>
    <s v="Expiring Soon"/>
    <s v="9695 Alpine Trail"/>
    <n v="57"/>
    <n v="3705"/>
    <n v="86"/>
    <s v="Discontinued"/>
  </r>
  <r>
    <s v="69-468-5468"/>
    <s v="Sourdough Bread"/>
    <x v="5"/>
    <s v="37-099-6976"/>
    <s v="Vinte"/>
    <n v="59"/>
    <n v="78"/>
    <n v="6"/>
    <s v="Require"/>
    <n v="78"/>
    <s v="High Priority"/>
    <s v=" 4.50  "/>
    <n v="265.5"/>
    <d v="2024-03-11T00:00:00"/>
    <d v="2024-10-06T00:00:00"/>
    <d v="2024-11-26T00:00:00"/>
    <n v="717"/>
    <n v="508"/>
    <n v="457"/>
    <s v="Expiring Soon"/>
    <s v="72083 Acker Crossing"/>
    <n v="32"/>
    <n v="8496"/>
    <n v="3"/>
    <s v="Active"/>
  </r>
  <r>
    <s v="27-635-8394"/>
    <s v="Orange"/>
    <x v="2"/>
    <s v="87-893-6089"/>
    <s v="Twitterwire"/>
    <n v="88"/>
    <n v="37"/>
    <n v="61"/>
    <s v="Sufficient"/>
    <n v="0"/>
    <s v="Normal"/>
    <s v=" 2.90  "/>
    <n v="255.2"/>
    <d v="2025-03-02T00:00:00"/>
    <d v="2024-11-13T00:00:00"/>
    <d v="2024-03-19T00:00:00"/>
    <n v="361"/>
    <n v="470"/>
    <n v="709"/>
    <s v="Safe"/>
    <s v="812 Shelley Circle"/>
    <n v="63"/>
    <n v="16077.599999999999"/>
    <n v="35"/>
    <s v="Discontinued"/>
  </r>
  <r>
    <s v="41-729-5410"/>
    <s v="Sardines"/>
    <x v="6"/>
    <s v="71-727-8611"/>
    <s v="Ntag"/>
    <n v="91"/>
    <n v="59"/>
    <n v="49"/>
    <s v="Sufficient"/>
    <n v="0"/>
    <s v="Normal"/>
    <s v=" 6.00  "/>
    <n v="546"/>
    <d v="2024-10-23T00:00:00"/>
    <d v="2024-05-04T00:00:00"/>
    <d v="2024-06-26T00:00:00"/>
    <n v="491"/>
    <n v="663"/>
    <n v="610"/>
    <s v="Safe"/>
    <s v="7193 Crownhardt Drive"/>
    <n v="30"/>
    <n v="16380"/>
    <n v="63"/>
    <s v="Active"/>
  </r>
  <r>
    <s v="33-335-9140"/>
    <s v="Olive Oil"/>
    <x v="3"/>
    <s v="08-209-1598"/>
    <s v="Blogspan"/>
    <n v="28"/>
    <n v="17"/>
    <n v="28"/>
    <s v="Sufficient"/>
    <n v="0"/>
    <s v="Normal"/>
    <s v=" 6.00  "/>
    <n v="168"/>
    <d v="2024-10-24T00:00:00"/>
    <d v="2024-08-20T00:00:00"/>
    <d v="2024-08-27T00:00:00"/>
    <n v="490"/>
    <n v="555"/>
    <n v="548"/>
    <s v="Expiring Soon"/>
    <s v="76928 Tennyson Parkway"/>
    <n v="38"/>
    <n v="6384"/>
    <n v="25"/>
    <s v="Active"/>
  </r>
  <r>
    <s v="11-581-9869"/>
    <s v="Carrot"/>
    <x v="2"/>
    <s v="22-867-3079"/>
    <s v="Avaveo"/>
    <n v="51"/>
    <n v="60"/>
    <n v="98"/>
    <s v="Require"/>
    <n v="60"/>
    <s v="Normal"/>
    <s v=" 1.50  "/>
    <n v="76.5"/>
    <d v="2024-01-05T00:00:00"/>
    <d v="2024-12-12T00:00:00"/>
    <d v="2024-09-26T00:00:00"/>
    <n v="783"/>
    <n v="441"/>
    <n v="518"/>
    <s v="Expiring Soon"/>
    <s v="44801 Myrtle Center"/>
    <n v="44"/>
    <n v="3366"/>
    <n v="95"/>
    <s v="Discontinued"/>
  </r>
  <r>
    <s v="78-237-0277"/>
    <s v="Black Tea"/>
    <x v="1"/>
    <s v="50-314-5433"/>
    <s v="Brainbox"/>
    <n v="46"/>
    <n v="27"/>
    <n v="76"/>
    <s v="Sufficient"/>
    <n v="0"/>
    <s v="Normal"/>
    <s v=" 5.00  "/>
    <n v="230"/>
    <d v="2024-09-15T00:00:00"/>
    <d v="2024-09-23T00:00:00"/>
    <d v="2025-01-13T00:00:00"/>
    <n v="529"/>
    <n v="521"/>
    <n v="409"/>
    <s v="Expiring Soon"/>
    <s v="79 Cardinal Court"/>
    <n v="64"/>
    <n v="14720"/>
    <n v="96"/>
    <s v="Active"/>
  </r>
  <r>
    <s v="75-152-8731"/>
    <s v="Pear"/>
    <x v="2"/>
    <s v="05-593-1927"/>
    <s v="Voonix"/>
    <n v="82"/>
    <n v="65"/>
    <n v="69"/>
    <s v="Sufficient"/>
    <n v="0"/>
    <s v="Normal"/>
    <s v=" 4.45  "/>
    <n v="364.90000000000003"/>
    <d v="2024-11-04T00:00:00"/>
    <d v="2024-12-11T00:00:00"/>
    <d v="2024-08-08T00:00:00"/>
    <n v="479"/>
    <n v="442"/>
    <n v="567"/>
    <s v="Safe"/>
    <s v="622 Anthes Lane"/>
    <n v="30"/>
    <n v="10947.000000000002"/>
    <n v="78"/>
    <s v="Backordered"/>
  </r>
  <r>
    <s v="65-718-0492"/>
    <s v="Olive Oil"/>
    <x v="3"/>
    <s v="91-492-8216"/>
    <s v="Midel"/>
    <n v="100"/>
    <n v="92"/>
    <n v="26"/>
    <s v="Sufficient"/>
    <n v="0"/>
    <s v="Normal"/>
    <s v=" 6.00  "/>
    <n v="600"/>
    <d v="2024-05-05T00:00:00"/>
    <d v="2025-01-23T00:00:00"/>
    <d v="2025-02-16T00:00:00"/>
    <n v="662"/>
    <n v="399"/>
    <n v="375"/>
    <s v="Expiring Soon"/>
    <s v="8626 Chinook Parkway"/>
    <n v="84"/>
    <n v="50400"/>
    <n v="9"/>
    <s v="Active"/>
  </r>
  <r>
    <s v="55-697-5242"/>
    <s v="Ricotta Cheese"/>
    <x v="4"/>
    <s v="74-726-0855"/>
    <s v="Shufflebeat"/>
    <n v="51"/>
    <n v="53"/>
    <n v="88"/>
    <s v="Require"/>
    <n v="53"/>
    <s v="Normal"/>
    <s v=" 6.00  "/>
    <n v="306"/>
    <d v="2025-01-31T00:00:00"/>
    <d v="2024-06-30T00:00:00"/>
    <d v="2024-09-24T00:00:00"/>
    <n v="391"/>
    <n v="606"/>
    <n v="520"/>
    <s v="Expiring Soon"/>
    <s v="19112 Little Fleur Road"/>
    <n v="54"/>
    <n v="16524"/>
    <n v="59"/>
    <s v="Discontinued"/>
  </r>
  <r>
    <s v="14-844-4138"/>
    <s v="Black Coffee"/>
    <x v="1"/>
    <s v="90-534-2165"/>
    <s v="Flipbug"/>
    <n v="61"/>
    <n v="43"/>
    <n v="29"/>
    <s v="Sufficient"/>
    <n v="0"/>
    <s v="Normal"/>
    <s v=" 15.00  "/>
    <n v="915"/>
    <d v="2025-03-02T00:00:00"/>
    <d v="2024-10-25T00:00:00"/>
    <d v="2024-03-03T00:00:00"/>
    <n v="361"/>
    <n v="489"/>
    <n v="725"/>
    <s v="Safe"/>
    <s v="40643 Sullivan Lane"/>
    <n v="67"/>
    <n v="61305"/>
    <n v="6"/>
    <s v="Discontinued"/>
  </r>
  <r>
    <s v="20-225-3930"/>
    <s v="White Tea"/>
    <x v="1"/>
    <s v="73-069-2753"/>
    <s v="Skipstorm"/>
    <n v="99"/>
    <n v="87"/>
    <n v="10"/>
    <s v="Sufficient"/>
    <n v="0"/>
    <s v="Normal"/>
    <s v=" 25.00  "/>
    <n v="2475"/>
    <d v="2024-08-12T00:00:00"/>
    <d v="2024-02-29T00:00:00"/>
    <d v="2024-03-17T00:00:00"/>
    <n v="563"/>
    <n v="728"/>
    <n v="711"/>
    <s v="Safe"/>
    <s v="5756 Stephen Avenue"/>
    <n v="93"/>
    <n v="230175"/>
    <n v="70"/>
    <s v="Active"/>
  </r>
  <r>
    <s v="66-993-4234"/>
    <s v="Cucumber"/>
    <x v="2"/>
    <s v="15-852-0491"/>
    <s v="Gigazoom"/>
    <n v="13"/>
    <n v="60"/>
    <n v="100"/>
    <s v="Require"/>
    <n v="60"/>
    <s v="Normal"/>
    <s v=" 1.80  "/>
    <n v="23.400000000000002"/>
    <d v="2024-07-18T00:00:00"/>
    <d v="2025-01-16T00:00:00"/>
    <d v="2024-06-24T00:00:00"/>
    <n v="588"/>
    <n v="406"/>
    <n v="612"/>
    <s v="Safe"/>
    <s v="22 Dexter Trail"/>
    <n v="44"/>
    <n v="1029.6000000000001"/>
    <n v="32"/>
    <s v="Backordered"/>
  </r>
  <r>
    <s v="87-762-1317"/>
    <s v="Mozzarella Cheese"/>
    <x v="4"/>
    <s v="58-474-3510"/>
    <s v="Dazzlesphere"/>
    <n v="45"/>
    <n v="63"/>
    <n v="75"/>
    <s v="Require"/>
    <n v="63"/>
    <s v="High Priority"/>
    <s v=" 7.00  "/>
    <n v="315"/>
    <d v="2025-01-28T00:00:00"/>
    <d v="2024-11-20T00:00:00"/>
    <d v="2025-02-09T00:00:00"/>
    <n v="394"/>
    <n v="463"/>
    <n v="382"/>
    <s v="Expiring Soon"/>
    <s v="9305 Warrior Way"/>
    <n v="83"/>
    <n v="26145"/>
    <n v="5"/>
    <s v="Discontinued"/>
  </r>
  <r>
    <s v="81-844-2979"/>
    <s v="Broccoli"/>
    <x v="2"/>
    <s v="02-575-7332"/>
    <s v="Realblab"/>
    <n v="73"/>
    <n v="87"/>
    <n v="46"/>
    <s v="Require"/>
    <n v="87"/>
    <s v="High Priority"/>
    <s v=" 4.00  "/>
    <n v="292"/>
    <d v="2024-09-24T00:00:00"/>
    <d v="2025-01-15T00:00:00"/>
    <d v="2024-05-11T00:00:00"/>
    <n v="520"/>
    <n v="407"/>
    <n v="656"/>
    <s v="Safe"/>
    <s v="16 Elgar Point"/>
    <n v="47"/>
    <n v="13724"/>
    <n v="67"/>
    <s v="Discontinued"/>
  </r>
  <r>
    <s v="44-408-7594"/>
    <s v="Eggplant"/>
    <x v="2"/>
    <s v="08-828-3804"/>
    <s v="Eire"/>
    <n v="39"/>
    <n v="21"/>
    <n v="5"/>
    <s v="Sufficient"/>
    <n v="0"/>
    <s v="Normal"/>
    <s v=" 3.00  "/>
    <n v="117"/>
    <d v="2024-11-24T00:00:00"/>
    <d v="2024-01-05T00:00:00"/>
    <d v="2025-01-08T00:00:00"/>
    <n v="459"/>
    <n v="783"/>
    <n v="414"/>
    <s v="Expiring Soon"/>
    <s v="81 Oneill Circle"/>
    <n v="51"/>
    <n v="5967"/>
    <n v="98"/>
    <s v="Backordered"/>
  </r>
  <r>
    <s v="26-010-9519"/>
    <s v="Trout"/>
    <x v="6"/>
    <s v="28-837-4164"/>
    <s v="Blogtag"/>
    <n v="29"/>
    <n v="72"/>
    <n v="96"/>
    <s v="Require"/>
    <n v="72"/>
    <s v="High Priority"/>
    <s v=" 12.00  "/>
    <n v="348"/>
    <d v="2024-03-05T00:00:00"/>
    <d v="2024-11-26T00:00:00"/>
    <d v="2025-01-09T00:00:00"/>
    <n v="723"/>
    <n v="457"/>
    <n v="413"/>
    <s v="Expiring Soon"/>
    <s v="4508 Shopko Trail"/>
    <n v="85"/>
    <n v="29580"/>
    <n v="52"/>
    <s v="Active"/>
  </r>
  <r>
    <s v="65-464-5070"/>
    <s v="Heavy Cream"/>
    <x v="4"/>
    <s v="01-517-7793"/>
    <s v="Ntags"/>
    <n v="12"/>
    <n v="60"/>
    <n v="73"/>
    <s v="Require"/>
    <n v="60"/>
    <s v="Normal"/>
    <s v=" 4.00  "/>
    <n v="48"/>
    <d v="2025-03-02T00:00:00"/>
    <d v="2024-03-16T00:00:00"/>
    <d v="2024-09-01T00:00:00"/>
    <n v="361"/>
    <n v="712"/>
    <n v="543"/>
    <s v="Expiring Soon"/>
    <s v="00 Luster Alley"/>
    <n v="20"/>
    <n v="960"/>
    <n v="35"/>
    <s v="Discontinued"/>
  </r>
  <r>
    <s v="07-970-9352"/>
    <s v="Bell Pepper"/>
    <x v="2"/>
    <s v="14-724-4622"/>
    <s v="Tagtune"/>
    <n v="96"/>
    <n v="33"/>
    <n v="72"/>
    <s v="Sufficient"/>
    <n v="0"/>
    <s v="Normal"/>
    <s v=" 4.45  "/>
    <n v="427.20000000000005"/>
    <d v="2024-10-03T00:00:00"/>
    <d v="2024-05-16T00:00:00"/>
    <d v="2024-07-12T00:00:00"/>
    <n v="511"/>
    <n v="651"/>
    <n v="594"/>
    <s v="Safe"/>
    <s v="459 Gateway Pass"/>
    <n v="74"/>
    <n v="31612.800000000003"/>
    <n v="100"/>
    <s v="Active"/>
  </r>
  <r>
    <s v="88-746-9468"/>
    <s v="Onion"/>
    <x v="2"/>
    <s v="06-159-1957"/>
    <s v="Skiba"/>
    <n v="35"/>
    <n v="92"/>
    <n v="74"/>
    <s v="Require"/>
    <n v="92"/>
    <s v="High Priority"/>
    <s v=" 2.00  "/>
    <n v="70"/>
    <d v="2024-11-25T00:00:00"/>
    <d v="2025-03-02T00:00:00"/>
    <d v="2024-11-14T00:00:00"/>
    <n v="458"/>
    <n v="361"/>
    <n v="469"/>
    <s v="Expiring Soon"/>
    <s v="82737 Ryan Place"/>
    <n v="76"/>
    <n v="5320"/>
    <n v="32"/>
    <s v="Active"/>
  </r>
  <r>
    <s v="06-336-5482"/>
    <s v="Sardines"/>
    <x v="6"/>
    <s v="99-784-4391"/>
    <s v="Voolia"/>
    <n v="89"/>
    <n v="34"/>
    <n v="15"/>
    <s v="Sufficient"/>
    <n v="0"/>
    <s v="Normal"/>
    <s v=" 6.00  "/>
    <n v="534"/>
    <d v="2024-12-31T00:00:00"/>
    <d v="2024-08-03T00:00:00"/>
    <d v="2024-08-24T00:00:00"/>
    <n v="422"/>
    <n v="572"/>
    <n v="551"/>
    <s v="Safe"/>
    <s v="7 Mockingbird Hill"/>
    <n v="60"/>
    <n v="32040"/>
    <n v="2"/>
    <s v="Discontinued"/>
  </r>
  <r>
    <s v="03-276-3931"/>
    <s v="Mango"/>
    <x v="2"/>
    <s v="42-224-8186"/>
    <s v="Oyoloo"/>
    <n v="60"/>
    <n v="36"/>
    <n v="28"/>
    <s v="Sufficient"/>
    <n v="0"/>
    <s v="Normal"/>
    <s v=" 4.50  "/>
    <n v="270"/>
    <d v="2024-06-30T00:00:00"/>
    <d v="2024-09-18T00:00:00"/>
    <d v="2024-12-20T00:00:00"/>
    <n v="606"/>
    <n v="526"/>
    <n v="433"/>
    <s v="Expiring Soon"/>
    <s v="081 Bellgrove Place"/>
    <n v="26"/>
    <n v="7020"/>
    <n v="29"/>
    <s v="Active"/>
  </r>
  <r>
    <s v="39-232-5341"/>
    <s v="Arborio Rice"/>
    <x v="0"/>
    <s v="23-319-2681"/>
    <s v="Feedmix"/>
    <n v="20"/>
    <n v="34"/>
    <n v="74"/>
    <s v="Require"/>
    <n v="34"/>
    <s v="Normal"/>
    <s v=" 4.50  "/>
    <n v="90"/>
    <d v="2024-09-21T00:00:00"/>
    <d v="2024-10-24T00:00:00"/>
    <d v="2025-02-15T00:00:00"/>
    <n v="523"/>
    <n v="490"/>
    <n v="376"/>
    <s v="Expiring Soon"/>
    <s v="05433 Towne Terrace"/>
    <n v="50"/>
    <n v="4500"/>
    <n v="83"/>
    <s v="Discontinued"/>
  </r>
  <r>
    <s v="12-239-9399"/>
    <s v="Potato"/>
    <x v="2"/>
    <s v="53-584-1853"/>
    <s v="Tagtune"/>
    <n v="28"/>
    <n v="40"/>
    <n v="27"/>
    <s v="Require"/>
    <n v="40"/>
    <s v="Normal"/>
    <s v=" 1.20  "/>
    <n v="33.6"/>
    <d v="2024-12-14T00:00:00"/>
    <d v="2024-07-29T00:00:00"/>
    <d v="2024-10-27T00:00:00"/>
    <n v="439"/>
    <n v="577"/>
    <n v="487"/>
    <s v="Expiring Soon"/>
    <s v="924 La Follette Alley"/>
    <n v="30"/>
    <n v="1008"/>
    <n v="56"/>
    <s v="Active"/>
  </r>
  <r>
    <s v="75-080-4909"/>
    <s v="Corn Oil"/>
    <x v="3"/>
    <s v="34-726-5887"/>
    <s v="Tagopia"/>
    <n v="20"/>
    <n v="55"/>
    <n v="15"/>
    <s v="Require"/>
    <n v="55"/>
    <s v="Normal"/>
    <s v=" 2.50  "/>
    <n v="50"/>
    <d v="2024-09-12T00:00:00"/>
    <d v="2024-12-04T00:00:00"/>
    <d v="2024-09-09T00:00:00"/>
    <n v="532"/>
    <n v="449"/>
    <n v="535"/>
    <s v="Expiring Soon"/>
    <s v="7 Gateway Center"/>
    <n v="86"/>
    <n v="4300"/>
    <n v="61"/>
    <s v="Backordered"/>
  </r>
  <r>
    <s v="70-815-4015"/>
    <s v="Butter Biscuit"/>
    <x v="5"/>
    <s v="89-134-9717"/>
    <s v="Ozu"/>
    <n v="38"/>
    <n v="93"/>
    <n v="61"/>
    <s v="Require"/>
    <n v="93"/>
    <s v="High Priority"/>
    <s v=" 6.00  "/>
    <n v="228"/>
    <d v="2024-10-12T00:00:00"/>
    <d v="2024-07-15T00:00:00"/>
    <d v="2024-08-30T00:00:00"/>
    <n v="502"/>
    <n v="591"/>
    <n v="545"/>
    <s v="Expiring Soon"/>
    <s v="175 Sycamore Circle"/>
    <n v="67"/>
    <n v="15276"/>
    <n v="100"/>
    <s v="Active"/>
  </r>
  <r>
    <s v="11-032-9778"/>
    <s v="Peas"/>
    <x v="2"/>
    <s v="42-380-8881"/>
    <s v="Edgepulse"/>
    <n v="99"/>
    <n v="1"/>
    <n v="4"/>
    <s v="Sufficient"/>
    <n v="0"/>
    <s v="Normal"/>
    <s v=" 3.00  "/>
    <n v="297"/>
    <d v="2024-12-13T00:00:00"/>
    <d v="2025-01-27T00:00:00"/>
    <d v="2024-08-19T00:00:00"/>
    <n v="440"/>
    <n v="395"/>
    <n v="556"/>
    <s v="Safe"/>
    <s v="553 Mayfield Crossing"/>
    <n v="50"/>
    <n v="14850"/>
    <n v="53"/>
    <s v="Backordered"/>
  </r>
  <r>
    <s v="54-374-9986"/>
    <s v="Cream"/>
    <x v="4"/>
    <s v="33-818-4917"/>
    <s v="Oyondu"/>
    <n v="92"/>
    <n v="52"/>
    <n v="80"/>
    <s v="Sufficient"/>
    <n v="0"/>
    <s v="Normal"/>
    <s v=" 2.50  "/>
    <n v="230"/>
    <d v="2024-03-06T00:00:00"/>
    <d v="2024-10-22T00:00:00"/>
    <d v="2024-03-21T00:00:00"/>
    <n v="722"/>
    <n v="492"/>
    <n v="707"/>
    <s v="Safe"/>
    <s v="74997 Katie Terrace"/>
    <n v="72"/>
    <n v="16560"/>
    <n v="96"/>
    <s v="Discontinued"/>
  </r>
  <r>
    <s v="77-312-6317"/>
    <s v="Spinach"/>
    <x v="2"/>
    <s v="12-950-4397"/>
    <s v="Abatz"/>
    <n v="41"/>
    <n v="29"/>
    <n v="76"/>
    <s v="Sufficient"/>
    <n v="0"/>
    <s v="Normal"/>
    <s v=" 2.40  "/>
    <n v="98.399999999999991"/>
    <d v="2024-02-26T00:00:00"/>
    <d v="2024-09-13T00:00:00"/>
    <d v="2024-10-01T00:00:00"/>
    <n v="731"/>
    <n v="531"/>
    <n v="513"/>
    <s v="Expiring Soon"/>
    <s v="3616 Carey Pass"/>
    <n v="59"/>
    <n v="5805.5999999999995"/>
    <n v="4"/>
    <s v="Discontinued"/>
  </r>
  <r>
    <s v="13-844-2178"/>
    <s v="Sardines"/>
    <x v="6"/>
    <s v="66-832-1802"/>
    <s v="Browsetype"/>
    <n v="44"/>
    <n v="67"/>
    <n v="48"/>
    <s v="Require"/>
    <n v="67"/>
    <s v="High Priority"/>
    <s v=" 6.00  "/>
    <n v="264"/>
    <d v="2024-05-09T00:00:00"/>
    <d v="2024-09-21T00:00:00"/>
    <d v="2024-03-24T00:00:00"/>
    <n v="658"/>
    <n v="523"/>
    <n v="704"/>
    <s v="Safe"/>
    <s v="86207 Tennyson Parkway"/>
    <n v="90"/>
    <n v="23760"/>
    <n v="11"/>
    <s v="Active"/>
  </r>
  <r>
    <s v="22-141-9798"/>
    <s v="White Sugar"/>
    <x v="0"/>
    <s v="59-849-9942"/>
    <s v="Photobean"/>
    <n v="47"/>
    <n v="7"/>
    <n v="63"/>
    <s v="Sufficient"/>
    <n v="0"/>
    <s v="Normal"/>
    <s v=" 2.00  "/>
    <n v="94"/>
    <d v="2024-05-18T00:00:00"/>
    <d v="2024-09-20T00:00:00"/>
    <d v="2024-04-30T00:00:00"/>
    <n v="649"/>
    <n v="524"/>
    <n v="667"/>
    <s v="Safe"/>
    <s v="6 Nobel Junction"/>
    <n v="29"/>
    <n v="2726"/>
    <n v="20"/>
    <s v="Backordered"/>
  </r>
  <r>
    <s v="20-022-3173"/>
    <s v="Bread Flour"/>
    <x v="0"/>
    <s v="54-188-1006"/>
    <s v="Mydeo"/>
    <n v="21"/>
    <n v="63"/>
    <n v="65"/>
    <s v="Require"/>
    <n v="63"/>
    <s v="High Priority"/>
    <s v=" 1.50  "/>
    <n v="31.5"/>
    <d v="2024-08-10T00:00:00"/>
    <d v="2024-10-11T00:00:00"/>
    <d v="2025-02-22T00:00:00"/>
    <n v="565"/>
    <n v="503"/>
    <n v="369"/>
    <s v="Expiring Soon"/>
    <s v="81878 Nobel Point"/>
    <n v="38"/>
    <n v="1197"/>
    <n v="73"/>
    <s v="Discontinued"/>
  </r>
  <r>
    <s v="26-177-5690"/>
    <s v="Cucumber"/>
    <x v="2"/>
    <s v="06-708-1412"/>
    <s v="Skinte"/>
    <n v="85"/>
    <n v="33"/>
    <n v="50"/>
    <s v="Sufficient"/>
    <n v="0"/>
    <s v="Normal"/>
    <s v=" 1.80  "/>
    <n v="153"/>
    <d v="2024-06-03T00:00:00"/>
    <d v="2024-07-15T00:00:00"/>
    <d v="2025-01-21T00:00:00"/>
    <n v="633"/>
    <n v="591"/>
    <n v="401"/>
    <s v="Expiring Soon"/>
    <s v="61707 Mariners Cove Park"/>
    <n v="64"/>
    <n v="9792"/>
    <n v="38"/>
    <s v="Discontinued"/>
  </r>
  <r>
    <s v="70-871-4536"/>
    <s v="Swiss Cheese"/>
    <x v="4"/>
    <s v="72-514-7323"/>
    <s v="Cogilith"/>
    <n v="29"/>
    <n v="4"/>
    <n v="17"/>
    <s v="Sufficient"/>
    <n v="0"/>
    <s v="Normal"/>
    <s v=" 8.00  "/>
    <n v="232"/>
    <d v="2025-01-19T00:00:00"/>
    <d v="2024-11-13T00:00:00"/>
    <d v="2024-06-17T00:00:00"/>
    <n v="403"/>
    <n v="470"/>
    <n v="619"/>
    <s v="Safe"/>
    <s v="5 Waxwing Junction"/>
    <n v="59"/>
    <n v="13688"/>
    <n v="52"/>
    <s v="Active"/>
  </r>
  <r>
    <s v="06-611-5454"/>
    <s v="Peanut Oil"/>
    <x v="3"/>
    <s v="43-786-9229"/>
    <s v="Bluezoom"/>
    <n v="64"/>
    <n v="21"/>
    <n v="13"/>
    <s v="Sufficient"/>
    <n v="0"/>
    <s v="Normal"/>
    <s v=" 4.00  "/>
    <n v="256"/>
    <d v="2025-01-30T00:00:00"/>
    <d v="2024-11-10T00:00:00"/>
    <d v="2024-11-16T00:00:00"/>
    <n v="392"/>
    <n v="473"/>
    <n v="467"/>
    <s v="Expiring Soon"/>
    <s v="16 Autumn Leaf Way"/>
    <n v="51"/>
    <n v="13056"/>
    <n v="26"/>
    <s v="Backordered"/>
  </r>
  <r>
    <s v="89-543-3456"/>
    <s v="Blueberries"/>
    <x v="2"/>
    <s v="23-178-8962"/>
    <s v="Jaloo"/>
    <n v="66"/>
    <n v="40"/>
    <n v="96"/>
    <s v="Sufficient"/>
    <n v="0"/>
    <s v="Normal"/>
    <s v=" 10.00  "/>
    <n v="660"/>
    <d v="2024-02-28T00:00:00"/>
    <d v="2024-06-22T00:00:00"/>
    <d v="2025-02-06T00:00:00"/>
    <n v="729"/>
    <n v="614"/>
    <n v="385"/>
    <s v="Expiring Soon"/>
    <s v="22782 Oriole Way"/>
    <n v="24"/>
    <n v="15840"/>
    <n v="61"/>
    <s v="Active"/>
  </r>
  <r>
    <s v="82-395-5070"/>
    <s v="Chocolate Biscuit"/>
    <x v="5"/>
    <s v="01-801-9502"/>
    <s v="Vidoo"/>
    <n v="75"/>
    <n v="81"/>
    <n v="17"/>
    <s v="Require"/>
    <n v="81"/>
    <s v="High Priority"/>
    <s v=" 5.00  "/>
    <n v="375"/>
    <d v="2024-09-07T00:00:00"/>
    <d v="2025-02-17T00:00:00"/>
    <d v="2025-02-20T00:00:00"/>
    <n v="537"/>
    <n v="374"/>
    <n v="371"/>
    <s v="Expiring Soon"/>
    <s v="43442 Homewood Street"/>
    <n v="69"/>
    <n v="25875"/>
    <n v="38"/>
    <s v="Active"/>
  </r>
  <r>
    <s v="14-305-5348"/>
    <s v="Cheese"/>
    <x v="4"/>
    <s v="71-092-6845"/>
    <s v="Shuffledrive"/>
    <n v="53"/>
    <n v="63"/>
    <n v="2"/>
    <s v="Require"/>
    <n v="63"/>
    <s v="High Priority"/>
    <s v=" 9.00  "/>
    <n v="477"/>
    <d v="2024-02-08T00:00:00"/>
    <d v="2024-12-10T00:00:00"/>
    <d v="2024-03-20T00:00:00"/>
    <n v="749"/>
    <n v="443"/>
    <n v="708"/>
    <s v="Safe"/>
    <s v="19 Shoshone Circle"/>
    <n v="56"/>
    <n v="26712"/>
    <n v="95"/>
    <s v="Active"/>
  </r>
  <r>
    <s v="82-243-3180"/>
    <s v="Palm Oil"/>
    <x v="3"/>
    <s v="18-631-1458"/>
    <s v="Zooxo"/>
    <n v="43"/>
    <n v="63"/>
    <n v="80"/>
    <s v="Require"/>
    <n v="63"/>
    <s v="High Priority"/>
    <s v=" 1.80  "/>
    <n v="77.400000000000006"/>
    <d v="2024-06-23T00:00:00"/>
    <d v="2024-07-31T00:00:00"/>
    <d v="2025-02-11T00:00:00"/>
    <n v="613"/>
    <n v="575"/>
    <n v="380"/>
    <s v="Expiring Soon"/>
    <s v="97 Sunnyside Court"/>
    <n v="33"/>
    <n v="2554.2000000000003"/>
    <n v="96"/>
    <s v="Discontinued"/>
  </r>
  <r>
    <s v="25-010-9478"/>
    <s v="Eggplant"/>
    <x v="2"/>
    <s v="24-576-3402"/>
    <s v="Topicblab"/>
    <n v="74"/>
    <n v="30"/>
    <n v="24"/>
    <s v="Sufficient"/>
    <n v="0"/>
    <s v="Normal"/>
    <s v=" 3.00  "/>
    <n v="222"/>
    <d v="2024-09-08T00:00:00"/>
    <d v="2024-10-13T00:00:00"/>
    <d v="2024-07-31T00:00:00"/>
    <n v="536"/>
    <n v="501"/>
    <n v="575"/>
    <s v="Safe"/>
    <s v="357 Maple Park"/>
    <n v="82"/>
    <n v="18204"/>
    <n v="12"/>
    <s v="Active"/>
  </r>
  <r>
    <s v="13-202-4809"/>
    <s v="Garlic"/>
    <x v="2"/>
    <s v="24-281-7685"/>
    <s v="Katz"/>
    <n v="27"/>
    <n v="22"/>
    <n v="89"/>
    <s v="Sufficient"/>
    <n v="0"/>
    <s v="Normal"/>
    <s v=" 7.00  "/>
    <n v="189"/>
    <d v="2024-01-05T00:00:00"/>
    <d v="2024-07-28T00:00:00"/>
    <d v="2024-05-20T00:00:00"/>
    <n v="783"/>
    <n v="578"/>
    <n v="647"/>
    <s v="Safe"/>
    <s v="6195 Monterey Center"/>
    <n v="91"/>
    <n v="17199"/>
    <n v="77"/>
    <s v="Discontinued"/>
  </r>
  <r>
    <s v="67-270-7464"/>
    <s v="Jasmine Rice"/>
    <x v="0"/>
    <s v="83-960-5274"/>
    <s v="Yadel"/>
    <n v="91"/>
    <n v="73"/>
    <n v="77"/>
    <s v="Sufficient"/>
    <n v="0"/>
    <s v="Normal"/>
    <s v=" 4.75  "/>
    <n v="432.25"/>
    <d v="2025-01-02T00:00:00"/>
    <d v="2024-08-24T00:00:00"/>
    <d v="2024-12-07T00:00:00"/>
    <n v="420"/>
    <n v="551"/>
    <n v="446"/>
    <s v="Expiring Soon"/>
    <s v="7242 Claremont Avenue"/>
    <n v="51"/>
    <n v="22044.75"/>
    <n v="49"/>
    <s v="Discontinued"/>
  </r>
  <r>
    <s v="11-733-1756"/>
    <s v="Rice Flour"/>
    <x v="0"/>
    <s v="27-970-8649"/>
    <s v="Mynte"/>
    <n v="52"/>
    <n v="81"/>
    <n v="53"/>
    <s v="Require"/>
    <n v="81"/>
    <s v="High Priority"/>
    <s v=" 2.00  "/>
    <n v="104"/>
    <d v="2024-08-28T00:00:00"/>
    <d v="2024-11-27T00:00:00"/>
    <d v="2025-02-24T00:00:00"/>
    <n v="547"/>
    <n v="456"/>
    <n v="367"/>
    <s v="Expiring Soon"/>
    <s v="127 Eliot Road"/>
    <n v="95"/>
    <n v="9880"/>
    <n v="88"/>
    <s v="Backordered"/>
  </r>
  <r>
    <s v="80-988-4653"/>
    <s v="Zucchini"/>
    <x v="2"/>
    <s v="02-272-0535"/>
    <s v="Livetube"/>
    <n v="43"/>
    <n v="66"/>
    <n v="85"/>
    <s v="Require"/>
    <n v="66"/>
    <s v="High Priority"/>
    <s v=" 2.50  "/>
    <n v="107.5"/>
    <d v="2024-04-20T00:00:00"/>
    <d v="2024-09-14T00:00:00"/>
    <d v="2024-04-19T00:00:00"/>
    <n v="677"/>
    <n v="530"/>
    <n v="678"/>
    <s v="Safe"/>
    <s v="8 Russell Pass"/>
    <n v="66"/>
    <n v="7095"/>
    <n v="65"/>
    <s v="Discontinued"/>
  </r>
  <r>
    <s v="60-343-7973"/>
    <s v="Multigrain Bread"/>
    <x v="5"/>
    <s v="06-303-4127"/>
    <s v="Zoombox"/>
    <n v="56"/>
    <n v="86"/>
    <n v="23"/>
    <s v="Require"/>
    <n v="86"/>
    <s v="High Priority"/>
    <s v=" 3.20  "/>
    <n v="179.20000000000002"/>
    <d v="2024-04-15T00:00:00"/>
    <d v="2024-04-29T00:00:00"/>
    <d v="2024-04-09T00:00:00"/>
    <n v="682"/>
    <n v="668"/>
    <n v="688"/>
    <s v="Safe"/>
    <s v="85408 Toban Crossing"/>
    <n v="67"/>
    <n v="12006.400000000001"/>
    <n v="56"/>
    <s v="Backordered"/>
  </r>
  <r>
    <s v="34-861-4446"/>
    <s v="Ricotta Cheese"/>
    <x v="4"/>
    <s v="40-696-4237"/>
    <s v="Photobug"/>
    <n v="66"/>
    <n v="40"/>
    <n v="8"/>
    <s v="Sufficient"/>
    <n v="0"/>
    <s v="Normal"/>
    <s v=" 6.00  "/>
    <n v="396"/>
    <d v="2024-11-27T00:00:00"/>
    <d v="2025-01-18T00:00:00"/>
    <d v="2025-01-06T00:00:00"/>
    <n v="456"/>
    <n v="404"/>
    <n v="416"/>
    <s v="Expiring Soon"/>
    <s v="113 Donald Court"/>
    <n v="43"/>
    <n v="17028"/>
    <n v="49"/>
    <s v="Active"/>
  </r>
  <r>
    <s v="67-710-5120"/>
    <s v="Bread Flour"/>
    <x v="0"/>
    <s v="00-131-9278"/>
    <s v="Skynoodle"/>
    <n v="84"/>
    <n v="92"/>
    <n v="18"/>
    <s v="Require"/>
    <n v="92"/>
    <s v="High Priority"/>
    <s v=" 1.50  "/>
    <n v="126"/>
    <d v="2024-10-29T00:00:00"/>
    <d v="2024-12-29T00:00:00"/>
    <d v="2024-02-25T00:00:00"/>
    <n v="485"/>
    <n v="424"/>
    <n v="732"/>
    <s v="Safe"/>
    <s v="978 Shasta Lane"/>
    <n v="92"/>
    <n v="11592"/>
    <n v="69"/>
    <s v="Active"/>
  </r>
  <r>
    <s v="49-891-4927"/>
    <s v="Cottage Cheese"/>
    <x v="4"/>
    <s v="89-155-3471"/>
    <s v="Midel"/>
    <n v="37"/>
    <n v="5"/>
    <n v="1"/>
    <s v="Sufficient"/>
    <n v="0"/>
    <s v="Normal"/>
    <s v=" 5.00  "/>
    <n v="185"/>
    <d v="2025-02-01T00:00:00"/>
    <d v="2024-02-26T00:00:00"/>
    <d v="2024-11-28T00:00:00"/>
    <n v="390"/>
    <n v="731"/>
    <n v="455"/>
    <s v="Expiring Soon"/>
    <s v="46 Hoffman Trail"/>
    <n v="68"/>
    <n v="12580"/>
    <n v="99"/>
    <s v="Active"/>
  </r>
  <r>
    <s v="55-522-8242"/>
    <s v="Whipped Cream"/>
    <x v="4"/>
    <s v="48-884-5431"/>
    <s v="Feedbug"/>
    <n v="29"/>
    <n v="36"/>
    <n v="40"/>
    <s v="Require"/>
    <n v="36"/>
    <s v="Normal"/>
    <s v=" 4.00  "/>
    <n v="116"/>
    <d v="2024-08-11T00:00:00"/>
    <d v="2024-03-30T00:00:00"/>
    <d v="2024-09-07T00:00:00"/>
    <n v="564"/>
    <n v="698"/>
    <n v="537"/>
    <s v="Expiring Soon"/>
    <s v="7 Spohn Avenue"/>
    <n v="60"/>
    <n v="6960"/>
    <n v="96"/>
    <s v="Backordered"/>
  </r>
  <r>
    <s v="62-509-0666"/>
    <s v="Almond Flour"/>
    <x v="0"/>
    <s v="16-419-1419"/>
    <s v="Brainverse"/>
    <n v="13"/>
    <n v="88"/>
    <n v="7"/>
    <s v="Require"/>
    <n v="88"/>
    <s v="High Priority"/>
    <s v=" 9.50  "/>
    <n v="123.5"/>
    <d v="2024-07-28T00:00:00"/>
    <d v="2024-05-15T00:00:00"/>
    <d v="2024-07-03T00:00:00"/>
    <n v="578"/>
    <n v="652"/>
    <n v="603"/>
    <s v="Safe"/>
    <s v="1468 Meadow Vale Court"/>
    <n v="24"/>
    <n v="2964"/>
    <n v="21"/>
    <s v="Backordered"/>
  </r>
  <r>
    <s v="64-478-4745"/>
    <s v="Lemon"/>
    <x v="2"/>
    <s v="36-780-8625"/>
    <s v="Mydo"/>
    <n v="63"/>
    <n v="81"/>
    <n v="94"/>
    <s v="Require"/>
    <n v="81"/>
    <s v="High Priority"/>
    <s v=" 2.50  "/>
    <n v="157.5"/>
    <d v="2024-04-06T00:00:00"/>
    <d v="2024-04-20T00:00:00"/>
    <d v="2024-11-19T00:00:00"/>
    <n v="691"/>
    <n v="677"/>
    <n v="464"/>
    <s v="Expiring Soon"/>
    <s v="208 Miller Court"/>
    <n v="56"/>
    <n v="8820"/>
    <n v="2"/>
    <s v="Active"/>
  </r>
  <r>
    <s v="35-835-5591"/>
    <s v="Tilapia"/>
    <x v="6"/>
    <s v="54-876-4296"/>
    <s v="Fiveclub"/>
    <n v="95"/>
    <n v="63"/>
    <n v="73"/>
    <s v="Sufficient"/>
    <n v="0"/>
    <s v="Normal"/>
    <s v=" 7.00  "/>
    <n v="665"/>
    <d v="2024-11-17T00:00:00"/>
    <d v="2024-05-06T00:00:00"/>
    <d v="2024-03-08T00:00:00"/>
    <n v="466"/>
    <n v="661"/>
    <n v="720"/>
    <s v="Safe"/>
    <s v="509 Carpenter Trail"/>
    <n v="61"/>
    <n v="40565"/>
    <n v="38"/>
    <s v="Backordered"/>
  </r>
  <r>
    <s v="26-690-3784"/>
    <s v="Lettuce"/>
    <x v="2"/>
    <s v="70-463-6597"/>
    <s v="Fadeo"/>
    <n v="58"/>
    <n v="5"/>
    <n v="1"/>
    <s v="Sufficient"/>
    <n v="0"/>
    <s v="Normal"/>
    <s v=" 2.00  "/>
    <n v="116"/>
    <d v="2024-02-10T00:00:00"/>
    <d v="2024-10-14T00:00:00"/>
    <d v="2024-04-06T00:00:00"/>
    <n v="747"/>
    <n v="500"/>
    <n v="691"/>
    <s v="Safe"/>
    <s v="19069 Cordelia Drive"/>
    <n v="53"/>
    <n v="6148"/>
    <n v="80"/>
    <s v="Active"/>
  </r>
  <r>
    <s v="67-546-1568"/>
    <s v="Peanut Oil"/>
    <x v="3"/>
    <s v="10-038-3988"/>
    <s v="Edgeify"/>
    <n v="57"/>
    <n v="36"/>
    <n v="53"/>
    <s v="Sufficient"/>
    <n v="0"/>
    <s v="Normal"/>
    <s v=" 4.00  "/>
    <n v="228"/>
    <d v="2024-04-06T00:00:00"/>
    <d v="2024-06-16T00:00:00"/>
    <d v="2024-03-28T00:00:00"/>
    <n v="691"/>
    <n v="620"/>
    <n v="700"/>
    <s v="Safe"/>
    <s v="203 Mariners Cove Junction"/>
    <n v="56"/>
    <n v="12768"/>
    <n v="32"/>
    <s v="Backordered"/>
  </r>
  <r>
    <s v="67-625-9704"/>
    <s v="Sardines"/>
    <x v="6"/>
    <s v="13-475-1009"/>
    <s v="Eayo"/>
    <n v="33"/>
    <n v="18"/>
    <n v="92"/>
    <s v="Sufficient"/>
    <n v="0"/>
    <s v="Normal"/>
    <s v=" 6.00  "/>
    <n v="198"/>
    <d v="2024-03-06T00:00:00"/>
    <d v="2024-09-26T00:00:00"/>
    <d v="2024-07-18T00:00:00"/>
    <n v="722"/>
    <n v="518"/>
    <n v="588"/>
    <s v="Safe"/>
    <s v="7819 Fallview Park"/>
    <n v="98"/>
    <n v="19404"/>
    <n v="56"/>
    <s v="Discontinued"/>
  </r>
  <r>
    <s v="31-969-4614"/>
    <s v="Arabica Coffee"/>
    <x v="1"/>
    <s v="83-104-8425"/>
    <s v="Voomm"/>
    <n v="62"/>
    <n v="89"/>
    <n v="6"/>
    <s v="Require"/>
    <n v="89"/>
    <s v="High Priority"/>
    <s v=" 20.00  "/>
    <n v="1240"/>
    <d v="2024-08-09T00:00:00"/>
    <d v="2024-06-06T00:00:00"/>
    <d v="2025-01-15T00:00:00"/>
    <n v="566"/>
    <n v="630"/>
    <n v="407"/>
    <s v="Expiring Soon"/>
    <s v="993 Kensington Drive"/>
    <n v="23"/>
    <n v="28520"/>
    <n v="11"/>
    <s v="Discontinued"/>
  </r>
  <r>
    <s v="50-364-5828"/>
    <s v="Coconut"/>
    <x v="2"/>
    <s v="17-239-6309"/>
    <s v="Mydo"/>
    <n v="89"/>
    <n v="57"/>
    <n v="92"/>
    <s v="Sufficient"/>
    <n v="0"/>
    <s v="Normal"/>
    <s v=" 5.00  "/>
    <n v="445"/>
    <d v="2024-08-15T00:00:00"/>
    <d v="2024-06-14T00:00:00"/>
    <d v="2024-12-23T00:00:00"/>
    <n v="560"/>
    <n v="622"/>
    <n v="430"/>
    <s v="Expiring Soon"/>
    <s v="772 Golf Course Junction"/>
    <n v="38"/>
    <n v="16910"/>
    <n v="16"/>
    <s v="Active"/>
  </r>
  <r>
    <s v="61-827-4098"/>
    <s v="Cod"/>
    <x v="6"/>
    <s v="34-850-0377"/>
    <s v="Devbug"/>
    <n v="23"/>
    <n v="42"/>
    <n v="87"/>
    <s v="Require"/>
    <n v="42"/>
    <s v="Normal"/>
    <s v=" 8.00  "/>
    <n v="184"/>
    <d v="2025-01-02T00:00:00"/>
    <d v="2024-07-15T00:00:00"/>
    <d v="2024-03-24T00:00:00"/>
    <n v="420"/>
    <n v="591"/>
    <n v="704"/>
    <s v="Safe"/>
    <s v="29992 Warrior Center"/>
    <n v="63"/>
    <n v="11592"/>
    <n v="5"/>
    <s v="Backordered"/>
  </r>
  <r>
    <s v="87-698-0944"/>
    <s v="Banana"/>
    <x v="2"/>
    <s v="73-717-0190"/>
    <s v="Vinder"/>
    <n v="56"/>
    <n v="12"/>
    <n v="59"/>
    <s v="Sufficient"/>
    <n v="0"/>
    <s v="Normal"/>
    <s v=" 98.43  "/>
    <n v="5512.08"/>
    <d v="2024-09-17T00:00:00"/>
    <d v="2024-08-27T00:00:00"/>
    <d v="2025-02-02T00:00:00"/>
    <n v="527"/>
    <n v="548"/>
    <n v="389"/>
    <s v="Expiring Soon"/>
    <s v="8 Heffernan Point"/>
    <n v="35"/>
    <n v="192922.8"/>
    <n v="16"/>
    <s v="Active"/>
  </r>
  <r>
    <s v="36-636-4873"/>
    <s v="Black Rice"/>
    <x v="0"/>
    <s v="11-098-3982"/>
    <s v="Wikivu"/>
    <n v="86"/>
    <n v="100"/>
    <n v="74"/>
    <s v="Require"/>
    <n v="100"/>
    <s v="High Priority"/>
    <s v=" 6.10  "/>
    <n v="524.6"/>
    <d v="2024-03-25T00:00:00"/>
    <d v="2025-01-17T00:00:00"/>
    <d v="2024-05-30T00:00:00"/>
    <n v="703"/>
    <n v="405"/>
    <n v="637"/>
    <s v="Safe"/>
    <s v="451 Grim Hill"/>
    <n v="80"/>
    <n v="41968"/>
    <n v="94"/>
    <s v="Active"/>
  </r>
  <r>
    <s v="98-556-5323"/>
    <s v="Pomegranate"/>
    <x v="2"/>
    <s v="21-490-8051"/>
    <s v="Dynabox"/>
    <n v="60"/>
    <n v="61"/>
    <n v="2"/>
    <s v="Require"/>
    <n v="61"/>
    <s v="High Priority"/>
    <s v=" 6.00  "/>
    <n v="360"/>
    <d v="2024-05-13T00:00:00"/>
    <d v="2024-12-08T00:00:00"/>
    <d v="2024-08-27T00:00:00"/>
    <n v="654"/>
    <n v="445"/>
    <n v="548"/>
    <s v="Expiring Soon"/>
    <s v="005 Tomscot Hill"/>
    <n v="96"/>
    <n v="34560"/>
    <n v="50"/>
    <s v="Active"/>
  </r>
  <r>
    <s v="97-772-2336"/>
    <s v="Pineapple"/>
    <x v="2"/>
    <s v="19-704-4404"/>
    <s v="Rooxo"/>
    <n v="70"/>
    <n v="30"/>
    <n v="69"/>
    <s v="Sufficient"/>
    <n v="0"/>
    <s v="Normal"/>
    <s v=" 3.50  "/>
    <n v="245"/>
    <d v="2024-08-13T00:00:00"/>
    <d v="2025-03-02T00:00:00"/>
    <d v="2024-07-14T00:00:00"/>
    <n v="562"/>
    <n v="361"/>
    <n v="592"/>
    <s v="Safe"/>
    <s v="9 Bartillon Trail"/>
    <n v="44"/>
    <n v="10780"/>
    <n v="42"/>
    <s v="Discontinued"/>
  </r>
  <r>
    <s v="19-047-4239"/>
    <s v="Peach"/>
    <x v="2"/>
    <s v="11-146-9880"/>
    <s v="Quire"/>
    <n v="47"/>
    <n v="72"/>
    <n v="73"/>
    <s v="Require"/>
    <n v="72"/>
    <s v="High Priority"/>
    <s v=" 4.00  "/>
    <n v="188"/>
    <d v="2024-05-21T00:00:00"/>
    <d v="2024-03-30T00:00:00"/>
    <d v="2024-04-30T00:00:00"/>
    <n v="646"/>
    <n v="698"/>
    <n v="667"/>
    <s v="Safe"/>
    <s v="7 West Street"/>
    <n v="93"/>
    <n v="17484"/>
    <n v="27"/>
    <s v="Backordered"/>
  </r>
  <r>
    <s v="41-316-8427"/>
    <s v="Arborio Rice"/>
    <x v="0"/>
    <s v="75-867-3635"/>
    <s v="Realcube"/>
    <n v="95"/>
    <n v="93"/>
    <n v="16"/>
    <s v="Sufficient"/>
    <n v="0"/>
    <s v="Normal"/>
    <s v=" 4.50  "/>
    <n v="427.5"/>
    <d v="2024-11-26T00:00:00"/>
    <d v="2024-06-09T00:00:00"/>
    <d v="2024-09-21T00:00:00"/>
    <n v="457"/>
    <n v="627"/>
    <n v="523"/>
    <s v="Expiring Soon"/>
    <s v="03416 Valley Edge Circle"/>
    <n v="60"/>
    <n v="25650"/>
    <n v="19"/>
    <s v="Active"/>
  </r>
  <r>
    <s v="15-907-3681"/>
    <s v="Plum"/>
    <x v="2"/>
    <s v="72-931-9828"/>
    <s v="Brainsphere"/>
    <n v="20"/>
    <n v="42"/>
    <n v="21"/>
    <s v="Require"/>
    <n v="42"/>
    <s v="Normal"/>
    <s v=" 3.85  "/>
    <n v="77"/>
    <d v="2024-11-28T00:00:00"/>
    <d v="2025-01-27T00:00:00"/>
    <d v="2025-02-20T00:00:00"/>
    <n v="455"/>
    <n v="395"/>
    <n v="371"/>
    <s v="Expiring Soon"/>
    <s v="21633 Sycamore Center"/>
    <n v="61"/>
    <n v="4697"/>
    <n v="25"/>
    <s v="Discontinued"/>
  </r>
  <r>
    <s v="14-305-9690"/>
    <s v="Sushi Rice"/>
    <x v="0"/>
    <s v="13-457-9946"/>
    <s v="Dabshots"/>
    <n v="19"/>
    <n v="17"/>
    <n v="14"/>
    <s v="Sufficient"/>
    <n v="0"/>
    <s v="Normal"/>
    <s v=" 4.30  "/>
    <n v="81.7"/>
    <d v="2024-08-30T00:00:00"/>
    <d v="2024-06-29T00:00:00"/>
    <d v="2024-03-10T00:00:00"/>
    <n v="545"/>
    <n v="607"/>
    <n v="718"/>
    <s v="Safe"/>
    <s v="43107 Schlimgen Circle"/>
    <n v="58"/>
    <n v="4738.6000000000004"/>
    <n v="23"/>
    <s v="Active"/>
  </r>
  <r>
    <s v="40-860-4532"/>
    <s v="Arabica Coffee"/>
    <x v="1"/>
    <s v="73-625-5112"/>
    <s v="Yadel"/>
    <n v="74"/>
    <n v="72"/>
    <n v="18"/>
    <s v="Sufficient"/>
    <n v="0"/>
    <s v="Normal"/>
    <s v=" 21.00  "/>
    <n v="1554"/>
    <d v="2024-11-15T00:00:00"/>
    <d v="2024-02-27T00:00:00"/>
    <d v="2025-02-05T00:00:00"/>
    <n v="468"/>
    <n v="730"/>
    <n v="386"/>
    <s v="Expiring Soon"/>
    <s v="988 Southridge Way"/>
    <n v="83"/>
    <n v="128982"/>
    <n v="54"/>
    <s v="Active"/>
  </r>
  <r>
    <s v="44-552-3909"/>
    <s v="Pear"/>
    <x v="2"/>
    <s v="80-863-1186"/>
    <s v="Riffwire"/>
    <n v="61"/>
    <n v="50"/>
    <n v="9"/>
    <s v="Sufficient"/>
    <n v="0"/>
    <s v="Normal"/>
    <s v=" 4.50  "/>
    <n v="274.5"/>
    <d v="2024-08-10T00:00:00"/>
    <d v="2024-02-26T00:00:00"/>
    <d v="2025-01-19T00:00:00"/>
    <n v="565"/>
    <n v="731"/>
    <n v="403"/>
    <s v="Expiring Soon"/>
    <s v="6 Charing Cross Circle"/>
    <n v="24"/>
    <n v="6588"/>
    <n v="92"/>
    <s v="Active"/>
  </r>
  <r>
    <s v="75-029-9003"/>
    <s v="Sourdough Bread"/>
    <x v="5"/>
    <s v="61-917-4271"/>
    <s v="Eadel"/>
    <n v="34"/>
    <n v="42"/>
    <n v="86"/>
    <s v="Require"/>
    <n v="42"/>
    <s v="Normal"/>
    <s v=" 4.00  "/>
    <n v="136"/>
    <d v="2024-05-16T00:00:00"/>
    <d v="2024-07-10T00:00:00"/>
    <d v="2024-04-01T00:00:00"/>
    <n v="651"/>
    <n v="596"/>
    <n v="696"/>
    <s v="Safe"/>
    <s v="19180 Hagan Parkway"/>
    <n v="28"/>
    <n v="3808"/>
    <n v="23"/>
    <s v="Discontinued"/>
  </r>
  <r>
    <s v="74-587-2065"/>
    <s v="Pear"/>
    <x v="2"/>
    <s v="33-141-1402"/>
    <s v="Gigaclub"/>
    <n v="29"/>
    <n v="20"/>
    <n v="85"/>
    <s v="Sufficient"/>
    <n v="0"/>
    <s v="Normal"/>
    <s v=" 4.50  "/>
    <n v="130.5"/>
    <d v="2024-10-27T00:00:00"/>
    <d v="2025-02-20T00:00:00"/>
    <d v="2024-03-02T00:00:00"/>
    <n v="487"/>
    <n v="371"/>
    <n v="726"/>
    <s v="Safe"/>
    <s v="84642 Clarendon Point"/>
    <n v="31"/>
    <n v="4045.5"/>
    <n v="31"/>
    <s v="Active"/>
  </r>
  <r>
    <s v="70-149-6756"/>
    <s v="Heavy Cream"/>
    <x v="4"/>
    <s v="97-150-9199"/>
    <s v="Skynoodle"/>
    <n v="14"/>
    <n v="99"/>
    <n v="97"/>
    <s v="Require"/>
    <n v="99"/>
    <s v="High Priority"/>
    <s v=" 4.20  "/>
    <n v="58.800000000000004"/>
    <d v="2024-04-21T00:00:00"/>
    <d v="2025-06-01T00:00:00"/>
    <d v="2024-06-26T00:00:00"/>
    <n v="676"/>
    <n v="270"/>
    <n v="610"/>
    <s v="Safe"/>
    <s v="6 Messerschmidt Place"/>
    <n v="28"/>
    <n v="1646.4"/>
    <n v="45"/>
    <s v="Discontinued"/>
  </r>
  <r>
    <s v="29-896-7926"/>
    <s v="White Rice"/>
    <x v="0"/>
    <s v="86-400-4155"/>
    <s v="Centidel"/>
    <n v="20"/>
    <n v="20"/>
    <n v="56"/>
    <s v="Require"/>
    <n v="20"/>
    <s v="Normal"/>
    <s v=" 1.80  "/>
    <n v="36"/>
    <d v="2025-06-01T00:00:00"/>
    <d v="2024-01-06T00:00:00"/>
    <d v="2024-05-06T00:00:00"/>
    <n v="270"/>
    <n v="782"/>
    <n v="661"/>
    <s v="Safe"/>
    <s v="80930 Briar Crest Point"/>
    <n v="62"/>
    <n v="2232"/>
    <n v="69"/>
    <s v="Backordered"/>
  </r>
  <r>
    <s v="54-822-9009"/>
    <s v="Cauliflower"/>
    <x v="0"/>
    <s v="23-197-9965"/>
    <s v="Shufflester"/>
    <n v="40"/>
    <n v="38"/>
    <n v="32"/>
    <s v="Sufficient"/>
    <n v="0"/>
    <s v="Normal"/>
    <s v=" 3.20  "/>
    <n v="128"/>
    <d v="2024-10-25T00:00:00"/>
    <d v="2024-08-06T00:00:00"/>
    <d v="2025-01-03T00:00:00"/>
    <n v="489"/>
    <n v="569"/>
    <n v="419"/>
    <s v="Expiring Soon"/>
    <s v="64389 Arkansas Alley"/>
    <n v="21"/>
    <n v="2688"/>
    <n v="45"/>
    <s v="Backordered"/>
  </r>
  <r>
    <s v="84-075-7647"/>
    <s v="Canola Oil"/>
    <x v="3"/>
    <s v="95-889-8592"/>
    <s v="Mydeo"/>
    <n v="91"/>
    <n v="82"/>
    <n v="58"/>
    <s v="Sufficient"/>
    <n v="0"/>
    <s v="Normal"/>
    <s v=" 2.30  "/>
    <n v="209.29999999999998"/>
    <d v="2024-04-27T00:00:00"/>
    <d v="2024-10-21T00:00:00"/>
    <d v="2025-02-22T00:00:00"/>
    <n v="670"/>
    <n v="493"/>
    <n v="369"/>
    <s v="Expiring Soon"/>
    <s v="51 7th Court"/>
    <n v="43"/>
    <n v="8999.9"/>
    <n v="45"/>
    <s v="Discontinued"/>
  </r>
  <r>
    <s v="88-602-8210"/>
    <s v="Avocado Oil"/>
    <x v="3"/>
    <s v="26-411-9126"/>
    <s v="Skajo"/>
    <n v="99"/>
    <n v="96"/>
    <n v="39"/>
    <s v="Sufficient"/>
    <n v="0"/>
    <s v="Normal"/>
    <s v=" 10.00  "/>
    <n v="990"/>
    <d v="2024-06-22T00:00:00"/>
    <d v="2024-06-19T00:00:00"/>
    <d v="2024-09-28T00:00:00"/>
    <n v="614"/>
    <n v="617"/>
    <n v="516"/>
    <s v="Expiring Soon"/>
    <s v="042 Di Loreto Court"/>
    <n v="94"/>
    <n v="93060"/>
    <n v="89"/>
    <s v="Backordered"/>
  </r>
  <r>
    <s v="04-542-3863"/>
    <s v="Bread Flour"/>
    <x v="0"/>
    <s v="55-952-9832"/>
    <s v="Eidel"/>
    <n v="34"/>
    <n v="46"/>
    <n v="45"/>
    <s v="Require"/>
    <n v="46"/>
    <s v="Normal"/>
    <s v=" 1.50  "/>
    <n v="51"/>
    <d v="2024-09-10T00:00:00"/>
    <d v="2024-11-12T00:00:00"/>
    <d v="2024-12-22T00:00:00"/>
    <n v="534"/>
    <n v="471"/>
    <n v="431"/>
    <s v="Expiring Soon"/>
    <s v="403 Loomis Way"/>
    <n v="49"/>
    <n v="2499"/>
    <n v="25"/>
    <s v="Backordered"/>
  </r>
  <r>
    <s v="57-613-5779"/>
    <s v="Gouda Cheese"/>
    <x v="4"/>
    <s v="29-009-9132"/>
    <s v="Thoughtblab"/>
    <n v="100"/>
    <n v="21"/>
    <n v="64"/>
    <s v="Sufficient"/>
    <n v="0"/>
    <s v="Normal"/>
    <s v=" 7.00  "/>
    <n v="700"/>
    <d v="2024-06-19T00:00:00"/>
    <d v="2024-11-03T00:00:00"/>
    <d v="2024-08-29T00:00:00"/>
    <n v="617"/>
    <n v="480"/>
    <n v="546"/>
    <s v="Expiring Soon"/>
    <s v="6 John Wall Plaza"/>
    <n v="20"/>
    <n v="14000"/>
    <n v="13"/>
    <s v="Backordered"/>
  </r>
  <r>
    <s v="90-737-0044"/>
    <s v="Black Rice"/>
    <x v="0"/>
    <s v="39-339-3869"/>
    <s v="Bubblemix"/>
    <n v="79"/>
    <n v="98"/>
    <n v="97"/>
    <s v="Require"/>
    <n v="98"/>
    <s v="High Priority"/>
    <s v=" 6.00  "/>
    <n v="474"/>
    <d v="2024-10-12T00:00:00"/>
    <d v="2025-01-17T00:00:00"/>
    <d v="2024-05-17T00:00:00"/>
    <n v="502"/>
    <n v="405"/>
    <n v="650"/>
    <s v="Safe"/>
    <s v="92321 Nelson Trail"/>
    <n v="26"/>
    <n v="12324"/>
    <n v="21"/>
    <s v="Backordered"/>
  </r>
  <r>
    <s v="28-956-1320"/>
    <s v="Greek Yogurt"/>
    <x v="4"/>
    <s v="01-445-8931"/>
    <s v="Thoughtblab"/>
    <n v="62"/>
    <n v="2"/>
    <n v="98"/>
    <s v="Sufficient"/>
    <n v="0"/>
    <s v="Normal"/>
    <s v=" 3.00  "/>
    <n v="186"/>
    <d v="2024-05-23T00:00:00"/>
    <d v="2024-10-18T00:00:00"/>
    <d v="2024-09-05T00:00:00"/>
    <n v="644"/>
    <n v="496"/>
    <n v="539"/>
    <s v="Expiring Soon"/>
    <s v="95 Onsgard Way"/>
    <n v="50"/>
    <n v="9300"/>
    <n v="11"/>
    <s v="Discontinued"/>
  </r>
  <r>
    <s v="87-791-5803"/>
    <s v="Tuna"/>
    <x v="6"/>
    <s v="89-843-0880"/>
    <s v="Meemm"/>
    <n v="25"/>
    <n v="44"/>
    <n v="96"/>
    <s v="Require"/>
    <n v="44"/>
    <s v="Normal"/>
    <s v=" 18.00  "/>
    <n v="450"/>
    <d v="2024-04-07T00:00:00"/>
    <d v="2024-09-03T00:00:00"/>
    <d v="2024-09-01T00:00:00"/>
    <n v="690"/>
    <n v="541"/>
    <n v="543"/>
    <s v="Expiring Soon"/>
    <s v="8 Fremont Circle"/>
    <n v="36"/>
    <n v="16200"/>
    <n v="16"/>
    <s v="Active"/>
  </r>
  <r>
    <s v="14-521-4167"/>
    <s v="Buttermilk"/>
    <x v="4"/>
    <s v="68-609-1972"/>
    <s v="Vinder"/>
    <n v="47"/>
    <n v="2"/>
    <n v="76"/>
    <s v="Sufficient"/>
    <n v="0"/>
    <s v="Normal"/>
    <s v=" 2.50  "/>
    <n v="117.5"/>
    <d v="2024-05-13T00:00:00"/>
    <d v="2024-06-29T00:00:00"/>
    <d v="2024-03-06T00:00:00"/>
    <n v="654"/>
    <n v="607"/>
    <n v="722"/>
    <s v="Safe"/>
    <s v="00847 Reindahl Place"/>
    <n v="48"/>
    <n v="5640"/>
    <n v="36"/>
    <s v="Discontinued"/>
  </r>
  <r>
    <s v="51-572-5497"/>
    <s v="Orange"/>
    <x v="2"/>
    <s v="43-035-3382"/>
    <s v="Kanoodle"/>
    <n v="15"/>
    <n v="44"/>
    <n v="88"/>
    <s v="Require"/>
    <n v="44"/>
    <s v="Normal"/>
    <s v=" 3.00  "/>
    <n v="45"/>
    <d v="2024-08-31T00:00:00"/>
    <d v="2025-02-13T00:00:00"/>
    <d v="2024-04-28T00:00:00"/>
    <n v="544"/>
    <n v="378"/>
    <n v="669"/>
    <s v="Safe"/>
    <s v="9516 Burrows Circle"/>
    <n v="56"/>
    <n v="2520"/>
    <n v="12"/>
    <s v="Discontinued"/>
  </r>
  <r>
    <s v="28-840-6096"/>
    <s v="Pomegranate"/>
    <x v="2"/>
    <s v="15-444-8224"/>
    <s v="Flipopia"/>
    <n v="19"/>
    <n v="65"/>
    <n v="48"/>
    <s v="Require"/>
    <n v="65"/>
    <s v="High Priority"/>
    <s v=" 6.00  "/>
    <n v="114"/>
    <d v="2024-09-09T00:00:00"/>
    <d v="2025-02-14T00:00:00"/>
    <d v="2024-09-12T00:00:00"/>
    <n v="535"/>
    <n v="377"/>
    <n v="532"/>
    <s v="Expiring Soon"/>
    <s v="92655 Pond Park"/>
    <n v="59"/>
    <n v="6726"/>
    <n v="53"/>
    <s v="Discontinued"/>
  </r>
  <r>
    <s v="44-538-3366"/>
    <s v="Tuna"/>
    <x v="6"/>
    <s v="33-898-6242"/>
    <s v="Realbridge"/>
    <n v="58"/>
    <n v="77"/>
    <n v="96"/>
    <s v="Require"/>
    <n v="77"/>
    <s v="High Priority"/>
    <s v=" 18.00  "/>
    <n v="1044"/>
    <d v="2024-11-09T00:00:00"/>
    <d v="2024-04-17T00:00:00"/>
    <d v="2024-03-30T00:00:00"/>
    <n v="474"/>
    <n v="680"/>
    <n v="698"/>
    <s v="Safe"/>
    <s v="46 Cardinal Way"/>
    <n v="25"/>
    <n v="26100"/>
    <n v="17"/>
    <s v="Discontinued"/>
  </r>
  <r>
    <s v="51-459-5630"/>
    <s v="Sour Cream"/>
    <x v="4"/>
    <s v="29-567-3732"/>
    <s v="Skyvu"/>
    <n v="11"/>
    <n v="30"/>
    <n v="4"/>
    <s v="Require"/>
    <n v="30"/>
    <s v="Normal"/>
    <s v=" 4.00  "/>
    <n v="44"/>
    <d v="2024-02-08T00:00:00"/>
    <d v="2024-09-29T00:00:00"/>
    <d v="2024-12-14T00:00:00"/>
    <n v="749"/>
    <n v="515"/>
    <n v="439"/>
    <s v="Expiring Soon"/>
    <s v="805 Center Parkway"/>
    <n v="84"/>
    <n v="3696"/>
    <n v="4"/>
    <s v="Active"/>
  </r>
  <r>
    <s v="02-655-3240"/>
    <s v="Rice Flour"/>
    <x v="0"/>
    <s v="95-200-1972"/>
    <s v="Jabberstorm"/>
    <n v="99"/>
    <n v="44"/>
    <n v="52"/>
    <s v="Sufficient"/>
    <n v="0"/>
    <s v="Normal"/>
    <s v=" 2.00  "/>
    <n v="198"/>
    <d v="2024-10-25T00:00:00"/>
    <d v="2024-05-21T00:00:00"/>
    <d v="2024-06-20T00:00:00"/>
    <n v="489"/>
    <n v="646"/>
    <n v="616"/>
    <s v="Safe"/>
    <s v="6738 Tennyson Road"/>
    <n v="36"/>
    <n v="7128"/>
    <n v="2"/>
    <s v="Discontinued"/>
  </r>
  <r>
    <s v="42-887-6557"/>
    <s v="Long Grain Rice"/>
    <x v="0"/>
    <s v="49-092-2735"/>
    <s v="Geba"/>
    <n v="26"/>
    <n v="82"/>
    <n v="19"/>
    <s v="Require"/>
    <n v="82"/>
    <s v="High Priority"/>
    <s v=" 1.50  "/>
    <n v="39"/>
    <d v="2024-09-23T00:00:00"/>
    <d v="2024-10-07T00:00:00"/>
    <d v="2024-03-30T00:00:00"/>
    <n v="521"/>
    <n v="507"/>
    <n v="698"/>
    <s v="Safe"/>
    <s v="61224 Northridge Avenue"/>
    <n v="76"/>
    <n v="2964"/>
    <n v="88"/>
    <s v="Active"/>
  </r>
  <r>
    <s v="96-316-7600"/>
    <s v="Bell Pepper"/>
    <x v="2"/>
    <s v="76-671-7104"/>
    <s v="Linklinks"/>
    <n v="70"/>
    <n v="31"/>
    <n v="55"/>
    <s v="Sufficient"/>
    <n v="0"/>
    <s v="Normal"/>
    <s v=" 4.50  "/>
    <n v="315"/>
    <d v="2024-07-31T00:00:00"/>
    <d v="2024-07-27T00:00:00"/>
    <d v="2024-07-07T00:00:00"/>
    <n v="575"/>
    <n v="579"/>
    <n v="599"/>
    <s v="Safe"/>
    <s v="6 Swallow Crossing"/>
    <n v="23"/>
    <n v="7245"/>
    <n v="80"/>
    <s v="Discontinued"/>
  </r>
  <r>
    <s v="58-063-8633"/>
    <s v="Bell Pepper"/>
    <x v="2"/>
    <s v="21-932-5200"/>
    <s v="Skimia"/>
    <n v="50"/>
    <n v="3"/>
    <n v="88"/>
    <s v="Sufficient"/>
    <n v="0"/>
    <s v="Normal"/>
    <s v=" 4.50  "/>
    <n v="225"/>
    <d v="2024-07-21T00:00:00"/>
    <d v="2024-06-30T00:00:00"/>
    <d v="2024-09-22T00:00:00"/>
    <n v="585"/>
    <n v="606"/>
    <n v="522"/>
    <s v="Expiring Soon"/>
    <s v="33424 Express Avenue"/>
    <n v="69"/>
    <n v="15525"/>
    <n v="73"/>
    <s v="Discontinued"/>
  </r>
  <r>
    <s v="43-703-9939"/>
    <s v="Pineapple"/>
    <x v="2"/>
    <s v="69-928-4929"/>
    <s v="Bubblemix"/>
    <n v="55"/>
    <n v="91"/>
    <n v="35"/>
    <s v="Require"/>
    <n v="91"/>
    <s v="High Priority"/>
    <s v=" 3.50  "/>
    <n v="192.5"/>
    <d v="2024-08-05T00:00:00"/>
    <d v="2024-05-22T00:00:00"/>
    <d v="2025-02-17T00:00:00"/>
    <n v="570"/>
    <n v="645"/>
    <n v="374"/>
    <s v="Expiring Soon"/>
    <s v="4 Sundown Place"/>
    <n v="81"/>
    <n v="15592.5"/>
    <n v="19"/>
    <s v="Active"/>
  </r>
  <r>
    <s v="88-069-5486"/>
    <s v="Cod"/>
    <x v="6"/>
    <s v="95-878-1614"/>
    <s v="Buzzshare"/>
    <n v="31"/>
    <n v="87"/>
    <n v="19"/>
    <s v="Require"/>
    <n v="87"/>
    <s v="High Priority"/>
    <s v=" 8.00  "/>
    <n v="248"/>
    <d v="2024-05-23T00:00:00"/>
    <d v="2024-07-13T00:00:00"/>
    <d v="2024-05-01T00:00:00"/>
    <n v="644"/>
    <n v="593"/>
    <n v="666"/>
    <s v="Safe"/>
    <s v="01330 Sheridan Way"/>
    <n v="41"/>
    <n v="10168"/>
    <n v="10"/>
    <s v="Active"/>
  </r>
  <r>
    <s v="74-845-3299"/>
    <s v="Green Tea"/>
    <x v="1"/>
    <s v="21-792-1000"/>
    <s v="Oyoyo"/>
    <n v="63"/>
    <n v="92"/>
    <n v="26"/>
    <s v="Require"/>
    <n v="92"/>
    <s v="High Priority"/>
    <s v=" 8.00  "/>
    <n v="504"/>
    <d v="2024-08-18T00:00:00"/>
    <d v="2025-12-02T00:00:00"/>
    <d v="2024-04-29T00:00:00"/>
    <n v="557"/>
    <n v="86"/>
    <n v="668"/>
    <s v="Safe"/>
    <s v="2 Petterle Road"/>
    <n v="93"/>
    <n v="46872"/>
    <n v="99"/>
    <s v="Active"/>
  </r>
  <r>
    <s v="81-605-6246"/>
    <s v="Sardines"/>
    <x v="6"/>
    <s v="62-086-0407"/>
    <s v="Shufflester"/>
    <n v="73"/>
    <n v="31"/>
    <n v="49"/>
    <s v="Sufficient"/>
    <n v="0"/>
    <s v="Normal"/>
    <s v=" 6.00  "/>
    <n v="438"/>
    <d v="2025-01-26T00:00:00"/>
    <d v="2024-02-03T00:00:00"/>
    <d v="2024-03-06T00:00:00"/>
    <n v="396"/>
    <n v="754"/>
    <n v="722"/>
    <s v="Safe"/>
    <s v="65721 Caliangt Crossing"/>
    <n v="22"/>
    <n v="9636"/>
    <n v="47"/>
    <s v="Discontinued"/>
  </r>
  <r>
    <s v="73-561-2867"/>
    <s v="Sourdough Bread"/>
    <x v="5"/>
    <s v="60-386-5077"/>
    <s v="Eayo"/>
    <n v="12"/>
    <n v="86"/>
    <n v="98"/>
    <s v="Require"/>
    <n v="86"/>
    <s v="High Priority"/>
    <s v=" 4.00  "/>
    <n v="48"/>
    <d v="2024-10-10T00:00:00"/>
    <d v="2024-06-29T00:00:00"/>
    <d v="2024-09-29T00:00:00"/>
    <n v="504"/>
    <n v="607"/>
    <n v="515"/>
    <s v="Expiring Soon"/>
    <s v="7444 Saint Paul Circle"/>
    <n v="75"/>
    <n v="3600"/>
    <n v="86"/>
    <s v="Discontinued"/>
  </r>
  <r>
    <s v="19-967-0632"/>
    <s v="Short Grain Rice"/>
    <x v="0"/>
    <s v="90-445-1753"/>
    <s v="Yombu"/>
    <n v="53"/>
    <n v="86"/>
    <n v="54"/>
    <s v="Require"/>
    <n v="86"/>
    <s v="High Priority"/>
    <s v=" 3.00  "/>
    <n v="159"/>
    <d v="2024-08-14T00:00:00"/>
    <d v="2025-04-02T00:00:00"/>
    <d v="2024-11-06T00:00:00"/>
    <n v="561"/>
    <n v="330"/>
    <n v="477"/>
    <s v="Expiring Soon"/>
    <s v="6990 Kings Place"/>
    <n v="44"/>
    <n v="6996"/>
    <n v="3"/>
    <s v="Discontinued"/>
  </r>
  <r>
    <s v="23-070-2433"/>
    <s v="Powdered Sugar"/>
    <x v="0"/>
    <s v="82-235-9317"/>
    <s v="Meeveo"/>
    <n v="68"/>
    <n v="7"/>
    <n v="37"/>
    <s v="Sufficient"/>
    <n v="0"/>
    <s v="Normal"/>
    <s v=" 2.50  "/>
    <n v="170"/>
    <d v="2024-08-08T00:00:00"/>
    <d v="2024-11-04T00:00:00"/>
    <d v="2024-12-28T00:00:00"/>
    <n v="567"/>
    <n v="479"/>
    <n v="425"/>
    <s v="Expiring Soon"/>
    <s v="836 Brown Alley"/>
    <n v="69"/>
    <n v="11730"/>
    <n v="1"/>
    <s v="Discontinued"/>
  </r>
  <r>
    <s v="27-262-2437"/>
    <s v="Swiss Cheese"/>
    <x v="4"/>
    <s v="05-181-2682"/>
    <s v="Skidoo"/>
    <n v="80"/>
    <n v="9"/>
    <n v="29"/>
    <s v="Sufficient"/>
    <n v="0"/>
    <s v="Normal"/>
    <s v=" 8.10  "/>
    <n v="648"/>
    <d v="2024-08-26T00:00:00"/>
    <d v="2024-11-20T00:00:00"/>
    <d v="2024-10-09T00:00:00"/>
    <n v="549"/>
    <n v="463"/>
    <n v="505"/>
    <s v="Expiring Soon"/>
    <s v="739 Swallow Road"/>
    <n v="54"/>
    <n v="34992"/>
    <n v="62"/>
    <s v="Active"/>
  </r>
  <r>
    <s v="39-479-5147"/>
    <s v="Tuna"/>
    <x v="6"/>
    <s v="02-156-7270"/>
    <s v="Meedoo"/>
    <n v="92"/>
    <n v="68"/>
    <n v="79"/>
    <s v="Sufficient"/>
    <n v="0"/>
    <s v="Normal"/>
    <s v=" 18.00  "/>
    <n v="1656"/>
    <d v="2024-12-24T00:00:00"/>
    <d v="2024-08-18T00:00:00"/>
    <d v="2024-04-04T00:00:00"/>
    <n v="429"/>
    <n v="557"/>
    <n v="693"/>
    <s v="Safe"/>
    <s v="14 Talmadge Park"/>
    <n v="40"/>
    <n v="66240"/>
    <n v="57"/>
    <s v="Discontinued"/>
  </r>
  <r>
    <s v="71-085-4290"/>
    <s v="Cucumber"/>
    <x v="2"/>
    <s v="26-593-3478"/>
    <s v="Eire"/>
    <n v="31"/>
    <n v="98"/>
    <n v="72"/>
    <s v="Require"/>
    <n v="98"/>
    <s v="High Priority"/>
    <s v=" 1.80  "/>
    <n v="55.800000000000004"/>
    <d v="2024-08-26T00:00:00"/>
    <d v="2024-07-10T00:00:00"/>
    <d v="2024-12-04T00:00:00"/>
    <n v="549"/>
    <n v="596"/>
    <n v="449"/>
    <s v="Expiring Soon"/>
    <s v="2 Basil Street"/>
    <n v="91"/>
    <n v="5077.8"/>
    <n v="29"/>
    <s v="Active"/>
  </r>
  <r>
    <s v="48-957-6116"/>
    <s v="Eggplant"/>
    <x v="2"/>
    <s v="34-334-6888"/>
    <s v="Topicstorm"/>
    <n v="31"/>
    <n v="44"/>
    <n v="9"/>
    <s v="Require"/>
    <n v="44"/>
    <s v="Normal"/>
    <s v=" 3.00  "/>
    <n v="93"/>
    <d v="2024-05-30T00:00:00"/>
    <d v="2024-05-16T00:00:00"/>
    <d v="2024-08-05T00:00:00"/>
    <n v="637"/>
    <n v="651"/>
    <n v="570"/>
    <s v="Safe"/>
    <s v="938 Hanover Point"/>
    <n v="46"/>
    <n v="4278"/>
    <n v="9"/>
    <s v="Discontinued"/>
  </r>
  <r>
    <s v="83-917-7384"/>
    <s v="Garlic"/>
    <x v="2"/>
    <s v="84-923-5086"/>
    <s v="Tavu"/>
    <n v="76"/>
    <n v="97"/>
    <n v="20"/>
    <s v="Require"/>
    <n v="97"/>
    <s v="High Priority"/>
    <s v=" 7.00  "/>
    <n v="532"/>
    <d v="2024-03-27T00:00:00"/>
    <d v="2024-08-24T00:00:00"/>
    <d v="2024-05-11T00:00:00"/>
    <n v="701"/>
    <n v="551"/>
    <n v="656"/>
    <s v="Safe"/>
    <s v="3 Ilene Terrace"/>
    <n v="52"/>
    <n v="27664"/>
    <n v="82"/>
    <s v="Discontinued"/>
  </r>
  <r>
    <s v="26-031-8070"/>
    <s v="Vegetable Oil"/>
    <x v="3"/>
    <s v="11-096-4003"/>
    <s v="Trudeo"/>
    <n v="57"/>
    <n v="99"/>
    <n v="23"/>
    <s v="Require"/>
    <n v="99"/>
    <s v="High Priority"/>
    <s v=" 2.00  "/>
    <n v="114"/>
    <d v="2024-07-25T00:00:00"/>
    <d v="2024-05-25T00:00:00"/>
    <d v="2024-04-19T00:00:00"/>
    <n v="581"/>
    <n v="642"/>
    <n v="678"/>
    <s v="Safe"/>
    <s v="5414 Linden Point"/>
    <n v="89"/>
    <n v="10146"/>
    <n v="21"/>
    <s v="Backordered"/>
  </r>
  <r>
    <s v="03-149-9760"/>
    <s v="Whipped Cream"/>
    <x v="4"/>
    <s v="08-141-2402"/>
    <s v="Yotz"/>
    <n v="92"/>
    <n v="99"/>
    <n v="93"/>
    <s v="Require"/>
    <n v="99"/>
    <s v="High Priority"/>
    <s v=" 4.00  "/>
    <n v="368"/>
    <d v="2025-02-19T00:00:00"/>
    <d v="2024-07-13T00:00:00"/>
    <d v="2024-03-26T00:00:00"/>
    <n v="372"/>
    <n v="593"/>
    <n v="702"/>
    <s v="Safe"/>
    <s v="554 Eliot Point"/>
    <n v="43"/>
    <n v="15824"/>
    <n v="90"/>
    <s v="Discontinued"/>
  </r>
  <r>
    <s v="53-680-5293"/>
    <s v="Cheddar Cheese"/>
    <x v="4"/>
    <s v="47-732-4446"/>
    <s v="Demizz"/>
    <n v="88"/>
    <n v="74"/>
    <n v="97"/>
    <s v="Sufficient"/>
    <n v="0"/>
    <s v="Normal"/>
    <s v=" 9.00  "/>
    <n v="792"/>
    <d v="2024-05-28T00:00:00"/>
    <d v="2024-05-31T00:00:00"/>
    <d v="2024-08-24T00:00:00"/>
    <n v="639"/>
    <n v="636"/>
    <n v="551"/>
    <s v="Safe"/>
    <s v="97687 Mendota Terrace"/>
    <n v="79"/>
    <n v="62568"/>
    <n v="5"/>
    <s v="Active"/>
  </r>
  <r>
    <s v="49-861-7823"/>
    <s v="Coconut"/>
    <x v="2"/>
    <s v="22-152-0111"/>
    <s v="Skippad"/>
    <n v="99"/>
    <n v="8"/>
    <n v="27"/>
    <s v="Sufficient"/>
    <n v="0"/>
    <s v="Normal"/>
    <s v=" 5.00  "/>
    <n v="495"/>
    <d v="2024-07-16T00:00:00"/>
    <d v="2024-07-13T00:00:00"/>
    <d v="2024-08-10T00:00:00"/>
    <n v="590"/>
    <n v="593"/>
    <n v="565"/>
    <s v="Safe"/>
    <s v="26 Graceland Circle"/>
    <n v="41"/>
    <n v="20295"/>
    <n v="50"/>
    <s v="Discontinued"/>
  </r>
  <r>
    <s v="24-364-3341"/>
    <s v="Egg (Turkey)"/>
    <x v="4"/>
    <s v="13-290-8513"/>
    <s v="Topiclounge"/>
    <n v="44"/>
    <n v="84"/>
    <n v="63"/>
    <s v="Require"/>
    <n v="84"/>
    <s v="High Priority"/>
    <s v=" 2.50  "/>
    <n v="110"/>
    <d v="2024-07-29T00:00:00"/>
    <d v="2024-11-04T00:00:00"/>
    <d v="2024-09-25T00:00:00"/>
    <n v="577"/>
    <n v="479"/>
    <n v="519"/>
    <s v="Expiring Soon"/>
    <s v="120 Gale Circle"/>
    <n v="51"/>
    <n v="5610"/>
    <n v="67"/>
    <s v="Discontinued"/>
  </r>
  <r>
    <s v="80-374-5711"/>
    <s v="Herbal Tea"/>
    <x v="1"/>
    <s v="77-566-9826"/>
    <s v="Browsecat"/>
    <n v="48"/>
    <n v="77"/>
    <n v="81"/>
    <s v="Require"/>
    <n v="77"/>
    <s v="High Priority"/>
    <s v=" 31.00  "/>
    <n v="1488"/>
    <d v="2025-01-28T00:00:00"/>
    <d v="2024-05-10T00:00:00"/>
    <d v="2024-12-07T00:00:00"/>
    <n v="394"/>
    <n v="657"/>
    <n v="446"/>
    <s v="Expiring Soon"/>
    <s v="13 Bluejay Way"/>
    <n v="70"/>
    <n v="104160"/>
    <n v="74"/>
    <s v="Backordered"/>
  </r>
  <r>
    <s v="76-325-9093"/>
    <s v="Sesame Oil"/>
    <x v="3"/>
    <s v="67-922-3399"/>
    <s v="Feedbug"/>
    <n v="27"/>
    <n v="92"/>
    <n v="56"/>
    <s v="Require"/>
    <n v="92"/>
    <s v="High Priority"/>
    <s v=" 6.50  "/>
    <n v="175.5"/>
    <d v="2024-04-18T00:00:00"/>
    <d v="2024-10-19T00:00:00"/>
    <d v="2024-12-18T00:00:00"/>
    <n v="679"/>
    <n v="495"/>
    <n v="435"/>
    <s v="Expiring Soon"/>
    <s v="01471 Burrows Lane"/>
    <n v="29"/>
    <n v="5089.5"/>
    <n v="32"/>
    <s v="Discontinued"/>
  </r>
  <r>
    <s v="30-429-2162"/>
    <s v="Black Rice"/>
    <x v="0"/>
    <s v="05-100-7102"/>
    <s v="Npath"/>
    <n v="34"/>
    <n v="96"/>
    <n v="76"/>
    <s v="Require"/>
    <n v="96"/>
    <s v="High Priority"/>
    <s v=" 6.15  "/>
    <n v="209.10000000000002"/>
    <d v="2024-03-10T00:00:00"/>
    <d v="2024-06-12T00:00:00"/>
    <d v="2025-01-15T00:00:00"/>
    <n v="718"/>
    <n v="624"/>
    <n v="407"/>
    <s v="Expiring Soon"/>
    <s v="6382 Anniversary Pass"/>
    <n v="90"/>
    <n v="18819.000000000004"/>
    <n v="34"/>
    <s v="Discontinued"/>
  </r>
  <r>
    <s v="53-446-8243"/>
    <s v="Orange"/>
    <x v="2"/>
    <s v="51-666-7174"/>
    <s v="Skipfire"/>
    <n v="41"/>
    <n v="94"/>
    <n v="4"/>
    <s v="Require"/>
    <n v="94"/>
    <s v="High Priority"/>
    <s v=" 3.00  "/>
    <n v="123"/>
    <d v="2025-04-02T00:00:00"/>
    <d v="2024-07-26T00:00:00"/>
    <d v="2024-04-23T00:00:00"/>
    <n v="330"/>
    <n v="580"/>
    <n v="674"/>
    <s v="Safe"/>
    <s v="757 Grasskamp Drive"/>
    <n v="88"/>
    <n v="10824"/>
    <n v="92"/>
    <s v="Discontinued"/>
  </r>
  <r>
    <s v="67-473-7093"/>
    <s v="Black Tea"/>
    <x v="1"/>
    <s v="92-830-6986"/>
    <s v="Topicstorm"/>
    <n v="56"/>
    <n v="12"/>
    <n v="85"/>
    <s v="Sufficient"/>
    <n v="0"/>
    <s v="Normal"/>
    <s v=" 5.00  "/>
    <n v="280"/>
    <d v="2024-10-12T00:00:00"/>
    <d v="2024-03-20T00:00:00"/>
    <d v="2024-04-19T00:00:00"/>
    <n v="502"/>
    <n v="708"/>
    <n v="678"/>
    <s v="Safe"/>
    <s v="87417 Forest Pass"/>
    <n v="52"/>
    <n v="14560"/>
    <n v="46"/>
    <s v="Active"/>
  </r>
  <r>
    <s v="98-235-2711"/>
    <s v="Asparagus"/>
    <x v="2"/>
    <s v="23-052-4744"/>
    <s v="Devpoint"/>
    <n v="22"/>
    <n v="40"/>
    <n v="7"/>
    <s v="Require"/>
    <n v="40"/>
    <s v="Normal"/>
    <s v=" 5.00  "/>
    <n v="110"/>
    <d v="2024-12-09T00:00:00"/>
    <d v="2024-12-31T00:00:00"/>
    <d v="2025-01-26T00:00:00"/>
    <n v="444"/>
    <n v="422"/>
    <n v="396"/>
    <s v="Expiring Soon"/>
    <s v="5 Transport Pass"/>
    <n v="98"/>
    <n v="10780"/>
    <n v="60"/>
    <s v="Active"/>
  </r>
  <r>
    <s v="07-219-8017"/>
    <s v="Palm Oil"/>
    <x v="3"/>
    <s v="95-148-9287"/>
    <s v="Skibox"/>
    <n v="40"/>
    <n v="2"/>
    <n v="58"/>
    <s v="Sufficient"/>
    <n v="0"/>
    <s v="Normal"/>
    <s v=" 1.80  "/>
    <n v="72"/>
    <d v="2024-10-31T00:00:00"/>
    <d v="2024-08-13T00:00:00"/>
    <d v="2024-11-08T00:00:00"/>
    <n v="483"/>
    <n v="562"/>
    <n v="475"/>
    <s v="Expiring Soon"/>
    <s v="357 High Crossing Parkway"/>
    <n v="71"/>
    <n v="5112"/>
    <n v="10"/>
    <s v="Active"/>
  </r>
  <r>
    <s v="97-040-3822"/>
    <s v="Swiss Cheese"/>
    <x v="4"/>
    <s v="78-459-1417"/>
    <s v="Gevee"/>
    <n v="50"/>
    <n v="99"/>
    <n v="73"/>
    <s v="Require"/>
    <n v="99"/>
    <s v="High Priority"/>
    <s v=" 8.00  "/>
    <n v="400"/>
    <d v="2024-12-05T00:00:00"/>
    <d v="2024-08-23T00:00:00"/>
    <d v="2024-05-17T00:00:00"/>
    <n v="448"/>
    <n v="552"/>
    <n v="650"/>
    <s v="Safe"/>
    <s v="42 Clemons Terrace"/>
    <n v="42"/>
    <n v="16800"/>
    <n v="1"/>
    <s v="Backordered"/>
  </r>
  <r>
    <s v="10-002-6494"/>
    <s v="Mango"/>
    <x v="2"/>
    <s v="47-509-7282"/>
    <s v="Meevee"/>
    <n v="89"/>
    <n v="92"/>
    <n v="62"/>
    <s v="Require"/>
    <n v="92"/>
    <s v="High Priority"/>
    <s v=" 4.80  "/>
    <n v="427.2"/>
    <d v="2024-02-03T00:00:00"/>
    <d v="2024-08-07T00:00:00"/>
    <d v="2024-11-11T00:00:00"/>
    <n v="754"/>
    <n v="568"/>
    <n v="472"/>
    <s v="Expiring Soon"/>
    <s v="48 Vahlen Place"/>
    <n v="46"/>
    <n v="19651.2"/>
    <n v="11"/>
    <s v="Backordered"/>
  </r>
  <r>
    <s v="12-998-3882"/>
    <s v="Egg (Turkey)"/>
    <x v="4"/>
    <s v="06-151-9076"/>
    <s v="Bluezoom"/>
    <n v="76"/>
    <n v="54"/>
    <n v="76"/>
    <s v="Sufficient"/>
    <n v="0"/>
    <s v="Normal"/>
    <s v=" 2.50  "/>
    <n v="190"/>
    <d v="2024-01-10T00:00:00"/>
    <d v="2024-08-17T00:00:00"/>
    <d v="2024-05-26T00:00:00"/>
    <n v="778"/>
    <n v="558"/>
    <n v="641"/>
    <s v="Safe"/>
    <s v="94862 Beilfuss Terrace"/>
    <n v="69"/>
    <n v="13110"/>
    <n v="27"/>
    <s v="Backordered"/>
  </r>
  <r>
    <s v="31-746-4951"/>
    <s v="Whole Wheat Flour"/>
    <x v="0"/>
    <s v="70-212-0990"/>
    <s v="Gigaclub"/>
    <n v="67"/>
    <n v="60"/>
    <n v="21"/>
    <s v="Sufficient"/>
    <n v="0"/>
    <s v="Normal"/>
    <s v=" 2.75  "/>
    <n v="184.25"/>
    <d v="2024-03-04T00:00:00"/>
    <d v="2024-05-20T00:00:00"/>
    <d v="2024-09-06T00:00:00"/>
    <n v="724"/>
    <n v="647"/>
    <n v="538"/>
    <s v="Expiring Soon"/>
    <s v="759 Waywood Court"/>
    <n v="30"/>
    <n v="5527.5"/>
    <n v="6"/>
    <s v="Active"/>
  </r>
  <r>
    <s v="87-097-5691"/>
    <s v="Robusta Coffee"/>
    <x v="1"/>
    <s v="26-213-7885"/>
    <s v="Photofeed"/>
    <n v="62"/>
    <n v="78"/>
    <n v="97"/>
    <s v="Require"/>
    <n v="78"/>
    <s v="High Priority"/>
    <s v=" 10.00  "/>
    <n v="620"/>
    <d v="2024-08-04T00:00:00"/>
    <d v="2024-08-29T00:00:00"/>
    <d v="2024-03-26T00:00:00"/>
    <n v="571"/>
    <n v="546"/>
    <n v="702"/>
    <s v="Safe"/>
    <s v="236 Gateway Lane"/>
    <n v="62"/>
    <n v="38440"/>
    <n v="97"/>
    <s v="Discontinued"/>
  </r>
  <r>
    <s v="34-075-0371"/>
    <s v="Watermelon"/>
    <x v="2"/>
    <s v="32-771-2617"/>
    <s v="Latz"/>
    <n v="75"/>
    <n v="10"/>
    <n v="68"/>
    <s v="Sufficient"/>
    <n v="0"/>
    <s v="Normal"/>
    <s v=" 3.00  "/>
    <n v="225"/>
    <d v="2024-11-09T00:00:00"/>
    <d v="2025-10-01T00:00:00"/>
    <d v="2024-12-03T00:00:00"/>
    <n v="474"/>
    <n v="148"/>
    <n v="450"/>
    <s v="Expiring Soon"/>
    <s v="0039 Shelley Place"/>
    <n v="90"/>
    <n v="20250"/>
    <n v="42"/>
    <s v="Active"/>
  </r>
  <r>
    <s v="40-810-9261"/>
    <s v="Green Coffee"/>
    <x v="1"/>
    <s v="56-554-1762"/>
    <s v="Cogibox"/>
    <n v="75"/>
    <n v="47"/>
    <n v="33"/>
    <s v="Sufficient"/>
    <n v="0"/>
    <s v="Normal"/>
    <s v=" 12.50  "/>
    <n v="937.5"/>
    <d v="2024-06-26T00:00:00"/>
    <d v="2024-09-12T00:00:00"/>
    <d v="2024-05-23T00:00:00"/>
    <n v="610"/>
    <n v="532"/>
    <n v="644"/>
    <s v="Safe"/>
    <s v="3 Raven Court"/>
    <n v="33"/>
    <n v="30937.5"/>
    <n v="12"/>
    <s v="Discontinued"/>
  </r>
  <r>
    <s v="46-931-6897"/>
    <s v="Cream"/>
    <x v="4"/>
    <s v="22-946-8052"/>
    <s v="Meevee"/>
    <n v="29"/>
    <n v="32"/>
    <n v="26"/>
    <s v="Require"/>
    <n v="32"/>
    <s v="Normal"/>
    <s v=" 2.50  "/>
    <n v="72.5"/>
    <d v="2024-09-21T00:00:00"/>
    <d v="2024-06-15T00:00:00"/>
    <d v="2024-09-15T00:00:00"/>
    <n v="523"/>
    <n v="621"/>
    <n v="529"/>
    <s v="Expiring Soon"/>
    <s v="44 Kensington Road"/>
    <n v="64"/>
    <n v="4640"/>
    <n v="85"/>
    <s v="Discontinued"/>
  </r>
  <r>
    <s v="58-182-6781"/>
    <s v="Oatmeal Biscuit"/>
    <x v="5"/>
    <s v="75-328-1709"/>
    <s v="Pixope"/>
    <n v="34"/>
    <n v="55"/>
    <n v="22"/>
    <s v="Require"/>
    <n v="55"/>
    <s v="Normal"/>
    <s v=" 5.00  "/>
    <n v="170"/>
    <d v="2024-11-10T00:00:00"/>
    <d v="2024-06-29T00:00:00"/>
    <d v="2024-11-15T00:00:00"/>
    <n v="473"/>
    <n v="607"/>
    <n v="468"/>
    <s v="Expiring Soon"/>
    <s v="86 Maryland Junction"/>
    <n v="77"/>
    <n v="13090"/>
    <n v="85"/>
    <s v="Active"/>
  </r>
  <r>
    <s v="06-706-6490"/>
    <s v="Green Tea"/>
    <x v="1"/>
    <s v="85-670-6379"/>
    <s v="Tanoodle"/>
    <n v="15"/>
    <n v="66"/>
    <n v="85"/>
    <s v="Require"/>
    <n v="66"/>
    <s v="High Priority"/>
    <s v=" 8.00  "/>
    <n v="120"/>
    <d v="2024-10-18T00:00:00"/>
    <d v="2024-03-07T00:00:00"/>
    <d v="2024-03-15T00:00:00"/>
    <n v="496"/>
    <n v="721"/>
    <n v="713"/>
    <s v="Safe"/>
    <s v="443 Browning Terrace"/>
    <n v="60"/>
    <n v="7200"/>
    <n v="40"/>
    <s v="Backordered"/>
  </r>
  <r>
    <s v="47-578-4161"/>
    <s v="Anchovies"/>
    <x v="6"/>
    <s v="96-001-5429"/>
    <s v="Jaxspan"/>
    <n v="88"/>
    <n v="56"/>
    <n v="81"/>
    <s v="Sufficient"/>
    <n v="0"/>
    <s v="Normal"/>
    <s v=" 10.00  "/>
    <n v="880"/>
    <d v="2024-10-05T00:00:00"/>
    <d v="2024-10-03T00:00:00"/>
    <d v="2024-09-14T00:00:00"/>
    <n v="509"/>
    <n v="511"/>
    <n v="530"/>
    <s v="Expiring Soon"/>
    <s v="5 Forest Run Way"/>
    <n v="98"/>
    <n v="86240"/>
    <n v="86"/>
    <s v="Discontinued"/>
  </r>
  <r>
    <s v="18-199-5799"/>
    <s v="Cheddar Cheese"/>
    <x v="4"/>
    <s v="76-870-2139"/>
    <s v="Jayo"/>
    <n v="40"/>
    <n v="81"/>
    <n v="40"/>
    <s v="Require"/>
    <n v="81"/>
    <s v="High Priority"/>
    <s v=" 9.00  "/>
    <n v="360"/>
    <d v="2024-09-10T00:00:00"/>
    <d v="2024-04-28T00:00:00"/>
    <d v="2024-10-30T00:00:00"/>
    <n v="534"/>
    <n v="669"/>
    <n v="484"/>
    <s v="Expiring Soon"/>
    <s v="87784 Blaine Way"/>
    <n v="40"/>
    <n v="14400"/>
    <n v="48"/>
    <s v="Backordered"/>
  </r>
  <r>
    <s v="00-357-2313"/>
    <s v="Avocado Oil"/>
    <x v="3"/>
    <s v="93-619-6639"/>
    <s v="Quamba"/>
    <n v="10"/>
    <n v="86"/>
    <n v="23"/>
    <s v="Require"/>
    <n v="86"/>
    <s v="High Priority"/>
    <s v=" 10.00  "/>
    <n v="100"/>
    <d v="2024-06-29T00:00:00"/>
    <d v="2024-11-26T00:00:00"/>
    <d v="2024-12-13T00:00:00"/>
    <n v="607"/>
    <n v="457"/>
    <n v="440"/>
    <s v="Expiring Soon"/>
    <s v="0 Oxford Crossing"/>
    <n v="24"/>
    <n v="2400"/>
    <n v="52"/>
    <s v="Backordered"/>
  </r>
  <r>
    <s v="83-704-6367"/>
    <s v="Arabica Coffee"/>
    <x v="1"/>
    <s v="41-628-8713"/>
    <s v="Feedmix"/>
    <n v="21"/>
    <n v="87"/>
    <n v="12"/>
    <s v="Require"/>
    <n v="87"/>
    <s v="High Priority"/>
    <s v=" 21.00  "/>
    <n v="441"/>
    <d v="2024-11-17T00:00:00"/>
    <d v="2024-02-09T00:00:00"/>
    <d v="2024-09-07T00:00:00"/>
    <n v="466"/>
    <n v="748"/>
    <n v="537"/>
    <s v="Expiring Soon"/>
    <s v="298 Corry Plaza"/>
    <n v="20"/>
    <n v="8820"/>
    <n v="38"/>
    <s v="Discontinued"/>
  </r>
  <r>
    <s v="01-144-5960"/>
    <s v="Trout"/>
    <x v="6"/>
    <s v="80-848-7493"/>
    <s v="Zazio"/>
    <n v="75"/>
    <n v="25"/>
    <n v="99"/>
    <s v="Sufficient"/>
    <n v="0"/>
    <s v="Normal"/>
    <s v=" 12.00  "/>
    <n v="900"/>
    <d v="2024-10-20T00:00:00"/>
    <d v="2024-05-29T00:00:00"/>
    <d v="2024-07-13T00:00:00"/>
    <n v="494"/>
    <n v="638"/>
    <n v="593"/>
    <s v="Safe"/>
    <s v="52105 Mandrake Place"/>
    <n v="89"/>
    <n v="80100"/>
    <n v="42"/>
    <s v="Active"/>
  </r>
  <r>
    <s v="96-774-0457"/>
    <s v="Cod"/>
    <x v="6"/>
    <s v="71-991-5737"/>
    <s v="Izio"/>
    <n v="56"/>
    <n v="50"/>
    <n v="80"/>
    <s v="Sufficient"/>
    <n v="0"/>
    <s v="Normal"/>
    <s v=" 8.00  "/>
    <n v="448"/>
    <d v="2025-02-24T00:00:00"/>
    <d v="2024-12-03T00:00:00"/>
    <d v="2024-10-22T00:00:00"/>
    <n v="367"/>
    <n v="450"/>
    <n v="492"/>
    <s v="Expiring Soon"/>
    <s v="7369 Thackeray Drive"/>
    <n v="99"/>
    <n v="44352"/>
    <n v="5"/>
    <s v="Discontinued"/>
  </r>
  <r>
    <s v="24-310-9184"/>
    <s v="Rye Bread"/>
    <x v="5"/>
    <s v="69-378-2045"/>
    <s v="Brainlounge"/>
    <n v="69"/>
    <n v="65"/>
    <n v="91"/>
    <s v="Sufficient"/>
    <n v="0"/>
    <s v="Normal"/>
    <s v=" 3.00  "/>
    <n v="207"/>
    <d v="2024-05-07T00:00:00"/>
    <d v="2024-07-26T00:00:00"/>
    <d v="2024-04-08T00:00:00"/>
    <n v="660"/>
    <n v="580"/>
    <n v="689"/>
    <s v="Safe"/>
    <s v="6 Haas Circle"/>
    <n v="98"/>
    <n v="20286"/>
    <n v="50"/>
    <s v="Backordered"/>
  </r>
  <r>
    <s v="10-255-8579"/>
    <s v="Basmati Rice"/>
    <x v="0"/>
    <s v="29-112-1577"/>
    <s v="Trilia"/>
    <n v="56"/>
    <n v="53"/>
    <n v="77"/>
    <s v="Sufficient"/>
    <n v="0"/>
    <s v="Normal"/>
    <s v=" 4.50  "/>
    <n v="252"/>
    <d v="2024-12-07T00:00:00"/>
    <d v="2024-07-24T00:00:00"/>
    <d v="2025-01-28T00:00:00"/>
    <n v="446"/>
    <n v="582"/>
    <n v="394"/>
    <s v="Expiring Soon"/>
    <s v="1959 Marcy Center"/>
    <n v="69"/>
    <n v="17388"/>
    <n v="69"/>
    <s v="Active"/>
  </r>
  <r>
    <s v="38-417-4656"/>
    <s v="White Sugar"/>
    <x v="0"/>
    <s v="57-202-5756"/>
    <s v="Dazzlesphere"/>
    <n v="24"/>
    <n v="69"/>
    <n v="2"/>
    <s v="Require"/>
    <n v="69"/>
    <s v="High Priority"/>
    <s v=" 2.00  "/>
    <n v="48"/>
    <d v="2024-05-10T00:00:00"/>
    <d v="2024-04-13T00:00:00"/>
    <d v="2024-12-23T00:00:00"/>
    <n v="657"/>
    <n v="684"/>
    <n v="430"/>
    <s v="Expiring Soon"/>
    <s v="1309 Elka Junction"/>
    <n v="20"/>
    <n v="960"/>
    <n v="20"/>
    <s v="Backordered"/>
  </r>
  <r>
    <s v="53-080-8252"/>
    <s v="Sourdough Bread"/>
    <x v="5"/>
    <s v="73-744-7022"/>
    <s v="Thoughtstorm"/>
    <n v="30"/>
    <n v="85"/>
    <n v="21"/>
    <s v="Require"/>
    <n v="85"/>
    <s v="High Priority"/>
    <s v=" 4.50  "/>
    <n v="135"/>
    <d v="2024-12-19T00:00:00"/>
    <d v="2024-09-24T00:00:00"/>
    <d v="2024-11-20T00:00:00"/>
    <n v="434"/>
    <n v="520"/>
    <n v="463"/>
    <s v="Expiring Soon"/>
    <s v="2 Grayhawk Junction"/>
    <n v="32"/>
    <n v="4320"/>
    <n v="83"/>
    <s v="Discontinued"/>
  </r>
  <r>
    <s v="14-681-7035"/>
    <s v="White Tea"/>
    <x v="1"/>
    <s v="01-308-0960"/>
    <s v="Voolith"/>
    <n v="36"/>
    <n v="90"/>
    <n v="57"/>
    <s v="Require"/>
    <n v="90"/>
    <s v="High Priority"/>
    <s v=" 25.00  "/>
    <n v="900"/>
    <d v="2024-11-12T00:00:00"/>
    <d v="2024-07-08T00:00:00"/>
    <d v="2024-05-18T00:00:00"/>
    <n v="471"/>
    <n v="598"/>
    <n v="649"/>
    <s v="Safe"/>
    <s v="95261 Morningstar Way"/>
    <n v="35"/>
    <n v="31500"/>
    <n v="68"/>
    <s v="Backordered"/>
  </r>
  <r>
    <s v="96-503-7712"/>
    <s v="White Bread"/>
    <x v="5"/>
    <s v="97-325-5889"/>
    <s v="Twitterbridge"/>
    <n v="93"/>
    <n v="76"/>
    <n v="82"/>
    <s v="Sufficient"/>
    <n v="0"/>
    <s v="Normal"/>
    <s v=" 2.50  "/>
    <n v="232.5"/>
    <d v="2024-05-25T00:00:00"/>
    <d v="2024-07-28T00:00:00"/>
    <d v="2025-01-19T00:00:00"/>
    <n v="642"/>
    <n v="578"/>
    <n v="403"/>
    <s v="Expiring Soon"/>
    <s v="84148 Prairie Rose Center"/>
    <n v="76"/>
    <n v="17670"/>
    <n v="51"/>
    <s v="Backordered"/>
  </r>
  <r>
    <s v="98-064-4465"/>
    <s v="Mozzarella Cheese"/>
    <x v="4"/>
    <s v="93-719-9817"/>
    <s v="Feedfire"/>
    <n v="96"/>
    <n v="38"/>
    <n v="17"/>
    <s v="Sufficient"/>
    <n v="0"/>
    <s v="Normal"/>
    <s v=" 7.00  "/>
    <n v="672"/>
    <d v="2024-04-19T00:00:00"/>
    <d v="2024-01-10T00:00:00"/>
    <d v="2024-11-11T00:00:00"/>
    <n v="678"/>
    <n v="778"/>
    <n v="472"/>
    <s v="Expiring Soon"/>
    <s v="109 Twin Pines Avenue"/>
    <n v="72"/>
    <n v="48384"/>
    <n v="84"/>
    <s v="Active"/>
  </r>
  <r>
    <s v="84-198-7276"/>
    <s v="Peanut Oil"/>
    <x v="3"/>
    <s v="34-158-6684"/>
    <s v="Eidel"/>
    <n v="60"/>
    <n v="88"/>
    <n v="65"/>
    <s v="Require"/>
    <n v="88"/>
    <s v="High Priority"/>
    <s v=" 4.00  "/>
    <n v="240"/>
    <d v="2024-08-29T00:00:00"/>
    <d v="2025-01-16T00:00:00"/>
    <d v="2024-06-15T00:00:00"/>
    <n v="546"/>
    <n v="406"/>
    <n v="621"/>
    <s v="Safe"/>
    <s v="6 Harbort Hill"/>
    <n v="94"/>
    <n v="22560"/>
    <n v="15"/>
    <s v="Active"/>
  </r>
  <r>
    <s v="18-278-2383"/>
    <s v="Gouda Cheese"/>
    <x v="4"/>
    <s v="73-210-4267"/>
    <s v="Skimia"/>
    <n v="97"/>
    <n v="77"/>
    <n v="13"/>
    <s v="Sufficient"/>
    <n v="0"/>
    <s v="Normal"/>
    <s v=" 7.00  "/>
    <n v="679"/>
    <d v="2024-11-11T00:00:00"/>
    <d v="2024-09-15T00:00:00"/>
    <d v="2024-07-02T00:00:00"/>
    <n v="472"/>
    <n v="529"/>
    <n v="604"/>
    <s v="Safe"/>
    <s v="96 American Center"/>
    <n v="43"/>
    <n v="29197"/>
    <n v="40"/>
    <s v="Backordered"/>
  </r>
  <r>
    <s v="20-054-3716"/>
    <s v="Chocolate Biscuit"/>
    <x v="5"/>
    <s v="49-591-1019"/>
    <s v="JumpXS"/>
    <n v="11"/>
    <n v="6"/>
    <n v="100"/>
    <s v="Sufficient"/>
    <n v="0"/>
    <s v="Normal"/>
    <s v=" 5.00  "/>
    <n v="55"/>
    <d v="2024-05-03T00:00:00"/>
    <d v="2024-09-16T00:00:00"/>
    <d v="2024-02-25T00:00:00"/>
    <n v="664"/>
    <n v="528"/>
    <n v="732"/>
    <s v="Safe"/>
    <s v="39 Lakewood Gardens Center"/>
    <n v="88"/>
    <n v="4840"/>
    <n v="24"/>
    <s v="Discontinued"/>
  </r>
  <r>
    <s v="63-822-5278"/>
    <s v="Pomegranate"/>
    <x v="2"/>
    <s v="27-636-1606"/>
    <s v="Kamba"/>
    <n v="14"/>
    <n v="66"/>
    <n v="1"/>
    <s v="Require"/>
    <n v="66"/>
    <s v="High Priority"/>
    <s v=" 6.00  "/>
    <n v="84"/>
    <d v="2024-08-13T00:00:00"/>
    <d v="2024-12-13T00:00:00"/>
    <d v="2024-02-27T00:00:00"/>
    <n v="562"/>
    <n v="440"/>
    <n v="730"/>
    <s v="Safe"/>
    <s v="5900 Vahlen Avenue"/>
    <n v="86"/>
    <n v="7224"/>
    <n v="15"/>
    <s v="Backordered"/>
  </r>
  <r>
    <s v="01-439-6231"/>
    <s v="Sunflower Oil"/>
    <x v="3"/>
    <s v="08-490-1714"/>
    <s v="Skidoo"/>
    <n v="88"/>
    <n v="100"/>
    <n v="17"/>
    <s v="Require"/>
    <n v="100"/>
    <s v="High Priority"/>
    <s v=" 2.50  "/>
    <n v="220"/>
    <d v="2024-11-12T00:00:00"/>
    <d v="2024-10-28T00:00:00"/>
    <d v="2024-12-09T00:00:00"/>
    <n v="471"/>
    <n v="486"/>
    <n v="444"/>
    <s v="Expiring Soon"/>
    <s v="8 Spaight Circle"/>
    <n v="25"/>
    <n v="5500"/>
    <n v="28"/>
    <s v="Discontinued"/>
  </r>
  <r>
    <s v="06-690-2335"/>
    <s v="Jasmine Rice"/>
    <x v="0"/>
    <s v="66-317-4895"/>
    <s v="Jabbertype"/>
    <n v="24"/>
    <n v="15"/>
    <n v="6"/>
    <s v="Sufficient"/>
    <n v="0"/>
    <s v="Normal"/>
    <s v=" 4.75  "/>
    <n v="114"/>
    <d v="2025-02-22T00:00:00"/>
    <d v="2024-06-16T00:00:00"/>
    <d v="2024-05-07T00:00:00"/>
    <n v="369"/>
    <n v="620"/>
    <n v="660"/>
    <s v="Safe"/>
    <s v="5 Linden Terrace"/>
    <n v="35"/>
    <n v="3990"/>
    <n v="4"/>
    <s v="Discontinued"/>
  </r>
  <r>
    <s v="47-554-5780"/>
    <s v="Haddock"/>
    <x v="6"/>
    <s v="62-979-5038"/>
    <s v="Babbleopia"/>
    <n v="93"/>
    <n v="62"/>
    <n v="65"/>
    <s v="Sufficient"/>
    <n v="0"/>
    <s v="Normal"/>
    <s v=" 9.00  "/>
    <n v="837"/>
    <d v="2024-09-06T00:00:00"/>
    <d v="2024-06-22T00:00:00"/>
    <d v="2024-04-17T00:00:00"/>
    <n v="538"/>
    <n v="614"/>
    <n v="680"/>
    <s v="Safe"/>
    <s v="1 Westport Crossing"/>
    <n v="78"/>
    <n v="65286"/>
    <n v="87"/>
    <s v="Active"/>
  </r>
  <r>
    <s v="70-587-1204"/>
    <s v="Black Rice"/>
    <x v="0"/>
    <s v="41-399-9203"/>
    <s v="Reallinks"/>
    <n v="68"/>
    <n v="68"/>
    <n v="97"/>
    <s v="Require"/>
    <n v="68"/>
    <s v="High Priority"/>
    <s v=" 6.00  "/>
    <n v="408"/>
    <d v="2024-08-07T00:00:00"/>
    <d v="2024-07-15T00:00:00"/>
    <d v="2024-06-23T00:00:00"/>
    <n v="568"/>
    <n v="591"/>
    <n v="613"/>
    <s v="Safe"/>
    <s v="2446 Anhalt Way"/>
    <n v="37"/>
    <n v="15096"/>
    <n v="31"/>
    <s v="Discontinued"/>
  </r>
  <r>
    <s v="97-710-2449"/>
    <s v="Rye Bread"/>
    <x v="5"/>
    <s v="39-676-9308"/>
    <s v="Tanoodle"/>
    <n v="28"/>
    <n v="94"/>
    <n v="80"/>
    <s v="Require"/>
    <n v="94"/>
    <s v="High Priority"/>
    <s v=" 2.80  "/>
    <n v="78.399999999999991"/>
    <d v="2024-05-23T00:00:00"/>
    <d v="2025-01-23T00:00:00"/>
    <d v="2024-06-19T00:00:00"/>
    <n v="644"/>
    <n v="399"/>
    <n v="617"/>
    <s v="Safe"/>
    <s v="0 Miller Pass"/>
    <n v="31"/>
    <n v="2430.3999999999996"/>
    <n v="1"/>
    <s v="Backordered"/>
  </r>
  <r>
    <s v="51-462-0747"/>
    <s v="Lime"/>
    <x v="2"/>
    <s v="40-417-9838"/>
    <s v="Vinder"/>
    <n v="21"/>
    <n v="30"/>
    <n v="32"/>
    <s v="Require"/>
    <n v="30"/>
    <s v="Normal"/>
    <s v=" 2.00  "/>
    <n v="42"/>
    <d v="2025-01-22T00:00:00"/>
    <d v="2025-07-02T00:00:00"/>
    <d v="2024-03-10T00:00:00"/>
    <n v="400"/>
    <n v="239"/>
    <n v="718"/>
    <s v="Safe"/>
    <s v="453 Dryden Park"/>
    <n v="43"/>
    <n v="1806"/>
    <n v="54"/>
    <s v="Backordered"/>
  </r>
  <r>
    <s v="90-492-0564"/>
    <s v="Pomegranate"/>
    <x v="2"/>
    <s v="18-085-1667"/>
    <s v="Shuffledrive"/>
    <n v="92"/>
    <n v="96"/>
    <n v="56"/>
    <s v="Require"/>
    <n v="96"/>
    <s v="High Priority"/>
    <s v=" 6.00  "/>
    <n v="552"/>
    <d v="2024-11-18T00:00:00"/>
    <d v="2024-06-25T00:00:00"/>
    <d v="2024-07-20T00:00:00"/>
    <n v="465"/>
    <n v="611"/>
    <n v="586"/>
    <s v="Safe"/>
    <s v="54 Pawling Crossing"/>
    <n v="32"/>
    <n v="17664"/>
    <n v="22"/>
    <s v="Discontinued"/>
  </r>
  <r>
    <s v="63-956-0739"/>
    <s v="Robusta Coffee"/>
    <x v="1"/>
    <s v="17-123-1252"/>
    <s v="Jetwire"/>
    <n v="68"/>
    <n v="12"/>
    <n v="42"/>
    <s v="Sufficient"/>
    <n v="0"/>
    <s v="Normal"/>
    <s v=" 10.00  "/>
    <n v="680"/>
    <d v="2024-05-12T00:00:00"/>
    <d v="2025-02-21T00:00:00"/>
    <d v="2024-12-22T00:00:00"/>
    <n v="655"/>
    <n v="370"/>
    <n v="431"/>
    <s v="Expiring Soon"/>
    <s v="6808 Chinook Parkway"/>
    <n v="39"/>
    <n v="26520"/>
    <n v="6"/>
    <s v="Backordered"/>
  </r>
  <r>
    <s v="30-832-5429"/>
    <s v="Multigrain Bread"/>
    <x v="5"/>
    <s v="41-800-2842"/>
    <s v="Topicshots"/>
    <n v="46"/>
    <n v="43"/>
    <n v="46"/>
    <s v="Sufficient"/>
    <n v="0"/>
    <s v="Normal"/>
    <s v=" 3.50  "/>
    <n v="161"/>
    <d v="2025-10-01T00:00:00"/>
    <d v="2024-05-10T00:00:00"/>
    <d v="2024-09-17T00:00:00"/>
    <n v="148"/>
    <n v="657"/>
    <n v="527"/>
    <s v="Expiring Soon"/>
    <s v="894 Kingsford Road"/>
    <n v="68"/>
    <n v="10948"/>
    <n v="59"/>
    <s v="Backordered"/>
  </r>
  <r>
    <s v="38-822-8005"/>
    <s v="Cucumber"/>
    <x v="2"/>
    <s v="45-886-1540"/>
    <s v="Innojam"/>
    <n v="47"/>
    <n v="20"/>
    <n v="65"/>
    <s v="Sufficient"/>
    <n v="0"/>
    <s v="Normal"/>
    <s v=" 1.75  "/>
    <n v="82.25"/>
    <d v="2025-01-19T00:00:00"/>
    <d v="2025-12-01T00:00:00"/>
    <d v="2024-03-31T00:00:00"/>
    <n v="403"/>
    <n v="87"/>
    <n v="697"/>
    <s v="Safe"/>
    <s v="6 Stang Hill"/>
    <n v="49"/>
    <n v="4030.25"/>
    <n v="19"/>
    <s v="Backordered"/>
  </r>
  <r>
    <s v="73-118-1117"/>
    <s v="Olive Oil"/>
    <x v="3"/>
    <s v="55-557-8544"/>
    <s v="Layo"/>
    <n v="52"/>
    <n v="88"/>
    <n v="55"/>
    <s v="Require"/>
    <n v="88"/>
    <s v="High Priority"/>
    <s v=" 6.00  "/>
    <n v="312"/>
    <d v="2024-05-27T00:00:00"/>
    <d v="2024-05-05T00:00:00"/>
    <d v="2024-11-13T00:00:00"/>
    <n v="640"/>
    <n v="662"/>
    <n v="470"/>
    <s v="Expiring Soon"/>
    <s v="482 Green Center"/>
    <n v="100"/>
    <n v="31200"/>
    <n v="46"/>
    <s v="Discontinued"/>
  </r>
  <r>
    <s v="60-285-3783"/>
    <s v="Mushrooms"/>
    <x v="2"/>
    <s v="58-827-9061"/>
    <s v="Youfeed"/>
    <n v="51"/>
    <n v="62"/>
    <n v="95"/>
    <s v="Require"/>
    <n v="62"/>
    <s v="High Priority"/>
    <s v=" 6.00  "/>
    <n v="306"/>
    <d v="2024-07-04T00:00:00"/>
    <d v="2024-03-28T00:00:00"/>
    <d v="2025-01-15T00:00:00"/>
    <n v="602"/>
    <n v="700"/>
    <n v="407"/>
    <s v="Expiring Soon"/>
    <s v="37973 Parkside Junction"/>
    <n v="52"/>
    <n v="15912"/>
    <n v="21"/>
    <s v="Active"/>
  </r>
  <r>
    <s v="00-215-7434"/>
    <s v="Egg (Goose)"/>
    <x v="4"/>
    <s v="85-272-3969"/>
    <s v="Quatz"/>
    <n v="14"/>
    <n v="63"/>
    <n v="74"/>
    <s v="Require"/>
    <n v="63"/>
    <s v="High Priority"/>
    <s v=" 2.50  "/>
    <n v="35"/>
    <d v="2024-04-28T00:00:00"/>
    <d v="2025-02-19T00:00:00"/>
    <d v="2024-11-28T00:00:00"/>
    <n v="669"/>
    <n v="372"/>
    <n v="455"/>
    <s v="Expiring Soon"/>
    <s v="389 Ridgeway Park"/>
    <n v="59"/>
    <n v="2065"/>
    <n v="63"/>
    <s v="Backordered"/>
  </r>
  <r>
    <s v="68-734-1585"/>
    <s v="Greek Yogurt"/>
    <x v="2"/>
    <s v="54-537-5633"/>
    <s v="Meeveo"/>
    <n v="62"/>
    <n v="44"/>
    <n v="11"/>
    <s v="Sufficient"/>
    <n v="0"/>
    <s v="Normal"/>
    <s v=" 51.17  "/>
    <n v="3172.54"/>
    <d v="2025-08-01T00:00:00"/>
    <d v="2024-04-16T00:00:00"/>
    <d v="2024-07-13T00:00:00"/>
    <n v="209"/>
    <n v="681"/>
    <n v="593"/>
    <s v="Safe"/>
    <s v="3 Hagan Drive"/>
    <n v="92"/>
    <n v="291873.68"/>
    <n v="37"/>
    <s v="Discontinued"/>
  </r>
  <r>
    <s v="08-703-1382"/>
    <s v="Peach"/>
    <x v="2"/>
    <s v="29-975-3449"/>
    <s v="Wikizz"/>
    <n v="40"/>
    <n v="53"/>
    <n v="7"/>
    <s v="Require"/>
    <n v="53"/>
    <s v="Normal"/>
    <s v=" 4.00  "/>
    <n v="160"/>
    <d v="2025-02-21T00:00:00"/>
    <d v="2024-06-03T00:00:00"/>
    <d v="2024-06-21T00:00:00"/>
    <n v="370"/>
    <n v="633"/>
    <n v="615"/>
    <s v="Safe"/>
    <s v="082 Clove Plaza"/>
    <n v="70"/>
    <n v="11200"/>
    <n v="20"/>
    <s v="Backordered"/>
  </r>
  <r>
    <s v="65-282-0419"/>
    <s v="White Tea"/>
    <x v="1"/>
    <s v="85-932-1011"/>
    <s v="Feedbug"/>
    <n v="50"/>
    <n v="100"/>
    <n v="91"/>
    <s v="Require"/>
    <n v="100"/>
    <s v="High Priority"/>
    <s v=" 25.50  "/>
    <n v="1275"/>
    <d v="2024-12-28T00:00:00"/>
    <d v="2024-07-17T00:00:00"/>
    <d v="2024-12-05T00:00:00"/>
    <n v="425"/>
    <n v="589"/>
    <n v="448"/>
    <s v="Expiring Soon"/>
    <s v="509 Waywood Center"/>
    <n v="29"/>
    <n v="36975"/>
    <n v="31"/>
    <s v="Active"/>
  </r>
  <r>
    <s v="62-777-6010"/>
    <s v="Sushi Rice"/>
    <x v="0"/>
    <s v="40-914-7156"/>
    <s v="Katz"/>
    <n v="77"/>
    <n v="20"/>
    <n v="37"/>
    <s v="Sufficient"/>
    <n v="0"/>
    <s v="Normal"/>
    <s v=" 4.25  "/>
    <n v="327.25"/>
    <d v="2024-03-07T00:00:00"/>
    <d v="2024-06-03T00:00:00"/>
    <d v="2024-11-05T00:00:00"/>
    <n v="721"/>
    <n v="633"/>
    <n v="478"/>
    <s v="Expiring Soon"/>
    <s v="5743 Superior Place"/>
    <n v="42"/>
    <n v="13744.5"/>
    <n v="19"/>
    <s v="Backordered"/>
  </r>
  <r>
    <s v="87-675-1506"/>
    <s v="Strawberries"/>
    <x v="2"/>
    <s v="21-697-8128"/>
    <s v="Skalith"/>
    <n v="31"/>
    <n v="89"/>
    <n v="7"/>
    <s v="Require"/>
    <n v="89"/>
    <s v="High Priority"/>
    <s v=" 5.90  "/>
    <n v="182.9"/>
    <d v="2024-08-26T00:00:00"/>
    <d v="2024-07-12T00:00:00"/>
    <d v="2024-05-21T00:00:00"/>
    <n v="549"/>
    <n v="594"/>
    <n v="646"/>
    <s v="Safe"/>
    <s v="60241 Portage Point"/>
    <n v="46"/>
    <n v="8413.4"/>
    <n v="54"/>
    <s v="Discontinued"/>
  </r>
  <r>
    <s v="67-027-7269"/>
    <s v="Mushrooms"/>
    <x v="2"/>
    <s v="50-050-5707"/>
    <s v="Twitterbeat"/>
    <n v="35"/>
    <n v="19"/>
    <n v="30"/>
    <s v="Sufficient"/>
    <n v="0"/>
    <s v="Normal"/>
    <s v=" 6.50  "/>
    <n v="227.5"/>
    <d v="2025-06-01T00:00:00"/>
    <d v="2024-11-30T00:00:00"/>
    <d v="2024-11-09T00:00:00"/>
    <n v="270"/>
    <n v="453"/>
    <n v="474"/>
    <s v="Expiring Soon"/>
    <s v="615 Mayer Drive"/>
    <n v="88"/>
    <n v="20020"/>
    <n v="6"/>
    <s v="Backordered"/>
  </r>
  <r>
    <s v="72-066-4597"/>
    <s v="Broccoli"/>
    <x v="2"/>
    <s v="97-994-0773"/>
    <s v="Zoovu"/>
    <n v="31"/>
    <n v="54"/>
    <n v="52"/>
    <s v="Require"/>
    <n v="54"/>
    <s v="Normal"/>
    <s v=" 4.00  "/>
    <n v="124"/>
    <d v="2025-02-20T00:00:00"/>
    <d v="2024-08-12T00:00:00"/>
    <d v="2024-12-13T00:00:00"/>
    <n v="371"/>
    <n v="563"/>
    <n v="440"/>
    <s v="Expiring Soon"/>
    <s v="03 Fisk Alley"/>
    <n v="69"/>
    <n v="8556"/>
    <n v="77"/>
    <s v="Active"/>
  </r>
  <r>
    <s v="31-627-6025"/>
    <s v="White Bread"/>
    <x v="5"/>
    <s v="17-084-8551"/>
    <s v="Ozu"/>
    <n v="56"/>
    <n v="62"/>
    <n v="64"/>
    <s v="Require"/>
    <n v="62"/>
    <s v="High Priority"/>
    <s v=" 2.50  "/>
    <n v="140"/>
    <d v="2024-08-22T00:00:00"/>
    <d v="2024-03-09T00:00:00"/>
    <d v="2025-01-20T00:00:00"/>
    <n v="553"/>
    <n v="719"/>
    <n v="402"/>
    <s v="Expiring Soon"/>
    <s v="44638 Corscot Lane"/>
    <n v="56"/>
    <n v="7840"/>
    <n v="73"/>
    <s v="Backordered"/>
  </r>
  <r>
    <s v="09-286-8107"/>
    <s v="Greek Yogurt"/>
    <x v="4"/>
    <s v="90-727-4816"/>
    <s v="Skyndu"/>
    <n v="90"/>
    <n v="62"/>
    <n v="54"/>
    <s v="Sufficient"/>
    <n v="0"/>
    <s v="Normal"/>
    <s v=" 3.00  "/>
    <n v="270"/>
    <d v="2025-01-20T00:00:00"/>
    <d v="2024-07-09T00:00:00"/>
    <d v="2024-12-15T00:00:00"/>
    <n v="402"/>
    <n v="597"/>
    <n v="438"/>
    <s v="Expiring Soon"/>
    <s v="75 Bunting Junction"/>
    <n v="70"/>
    <n v="18900"/>
    <n v="83"/>
    <s v="Discontinued"/>
  </r>
  <r>
    <s v="77-013-1553"/>
    <s v="Canola Oil"/>
    <x v="3"/>
    <s v="42-252-5861"/>
    <s v="Yodo"/>
    <n v="79"/>
    <n v="31"/>
    <n v="66"/>
    <s v="Sufficient"/>
    <n v="0"/>
    <s v="Normal"/>
    <s v=" 2.30  "/>
    <n v="181.7"/>
    <d v="2024-10-04T00:00:00"/>
    <d v="2024-10-13T00:00:00"/>
    <d v="2024-08-20T00:00:00"/>
    <n v="510"/>
    <n v="501"/>
    <n v="555"/>
    <s v="Safe"/>
    <s v="48788 Chinook Place"/>
    <n v="92"/>
    <n v="16716.399999999998"/>
    <n v="13"/>
    <s v="Discontinued"/>
  </r>
  <r>
    <s v="15-762-1058"/>
    <s v="Lime"/>
    <x v="2"/>
    <s v="32-914-1424"/>
    <s v="Tazz"/>
    <n v="29"/>
    <n v="83"/>
    <n v="91"/>
    <s v="Require"/>
    <n v="83"/>
    <s v="High Priority"/>
    <s v=" 2.00  "/>
    <n v="58"/>
    <d v="2024-11-29T00:00:00"/>
    <d v="2025-07-02T00:00:00"/>
    <d v="2025-01-04T00:00:00"/>
    <n v="454"/>
    <n v="239"/>
    <n v="418"/>
    <s v="Expiring Soon"/>
    <s v="083 Mccormick Park"/>
    <n v="81"/>
    <n v="4698"/>
    <n v="53"/>
    <s v="Backordered"/>
  </r>
  <r>
    <s v="48-193-1199"/>
    <s v="Canola Oil"/>
    <x v="3"/>
    <s v="63-924-5144"/>
    <s v="Omba"/>
    <n v="46"/>
    <n v="51"/>
    <n v="92"/>
    <s v="Require"/>
    <n v="51"/>
    <s v="Normal"/>
    <s v=" 2.30  "/>
    <n v="105.8"/>
    <d v="2024-07-05T00:00:00"/>
    <d v="2024-12-24T00:00:00"/>
    <d v="2024-06-09T00:00:00"/>
    <n v="601"/>
    <n v="429"/>
    <n v="627"/>
    <s v="Safe"/>
    <s v="339 Paget Place"/>
    <n v="47"/>
    <n v="4972.5999999999995"/>
    <n v="25"/>
    <s v="Discontinued"/>
  </r>
  <r>
    <s v="01-173-0029"/>
    <s v="Blueberries"/>
    <x v="2"/>
    <s v="18-880-7910"/>
    <s v="DabZ"/>
    <n v="42"/>
    <n v="4"/>
    <n v="53"/>
    <s v="Sufficient"/>
    <n v="0"/>
    <s v="Normal"/>
    <s v=" 10.00  "/>
    <n v="420"/>
    <d v="2025-10-01T00:00:00"/>
    <d v="2024-05-07T00:00:00"/>
    <d v="2024-04-12T00:00:00"/>
    <n v="148"/>
    <n v="660"/>
    <n v="685"/>
    <s v="Safe"/>
    <s v="8 Dakota Avenue"/>
    <n v="37"/>
    <n v="15540"/>
    <n v="53"/>
    <s v="Active"/>
  </r>
  <r>
    <s v="79-400-6216"/>
    <s v="Mozzarella Cheese"/>
    <x v="4"/>
    <s v="83-361-7509"/>
    <s v="Devpoint"/>
    <n v="16"/>
    <n v="56"/>
    <n v="13"/>
    <s v="Require"/>
    <n v="56"/>
    <s v="Normal"/>
    <s v=" 7.20  "/>
    <n v="115.2"/>
    <d v="2025-10-02T00:00:00"/>
    <d v="2024-10-03T00:00:00"/>
    <d v="2024-10-02T00:00:00"/>
    <n v="147"/>
    <n v="511"/>
    <n v="512"/>
    <s v="Expiring Soon"/>
    <s v="4 Warbler Center"/>
    <n v="56"/>
    <n v="6451.2"/>
    <n v="28"/>
    <s v="Discontinued"/>
  </r>
  <r>
    <s v="80-072-8774"/>
    <s v="Tuna"/>
    <x v="6"/>
    <s v="61-222-8413"/>
    <s v="Viva"/>
    <n v="89"/>
    <n v="95"/>
    <n v="41"/>
    <s v="Require"/>
    <n v="95"/>
    <s v="High Priority"/>
    <s v=" 18.00  "/>
    <n v="1602"/>
    <d v="2024-09-24T00:00:00"/>
    <d v="2024-06-07T00:00:00"/>
    <d v="2024-10-15T00:00:00"/>
    <n v="520"/>
    <n v="629"/>
    <n v="499"/>
    <s v="Expiring Soon"/>
    <s v="239 Anderson Court"/>
    <n v="76"/>
    <n v="121752"/>
    <n v="96"/>
    <s v="Discontinued"/>
  </r>
  <r>
    <s v="78-689-8958"/>
    <s v="White Tea"/>
    <x v="1"/>
    <s v="52-744-6162"/>
    <s v="Chatterbridge"/>
    <n v="20"/>
    <n v="43"/>
    <n v="43"/>
    <s v="Require"/>
    <n v="43"/>
    <s v="Normal"/>
    <s v=" 25.00  "/>
    <n v="500"/>
    <d v="2025-07-01T00:00:00"/>
    <d v="2024-02-27T00:00:00"/>
    <d v="2024-03-29T00:00:00"/>
    <n v="240"/>
    <n v="730"/>
    <n v="699"/>
    <s v="Safe"/>
    <s v="04 Mesta Parkway"/>
    <n v="73"/>
    <n v="36500"/>
    <n v="6"/>
    <s v="Active"/>
  </r>
  <r>
    <s v="57-562-2358"/>
    <s v="Black Coffee"/>
    <x v="1"/>
    <s v="22-644-6447"/>
    <s v="Quamba"/>
    <n v="37"/>
    <n v="94"/>
    <n v="76"/>
    <s v="Require"/>
    <n v="94"/>
    <s v="High Priority"/>
    <s v=" 15.00  "/>
    <n v="555"/>
    <d v="2024-06-17T00:00:00"/>
    <d v="2025-01-19T00:00:00"/>
    <d v="2025-02-04T00:00:00"/>
    <n v="619"/>
    <n v="403"/>
    <n v="387"/>
    <s v="Expiring Soon"/>
    <s v="00 6th Parkway"/>
    <n v="94"/>
    <n v="52170"/>
    <n v="66"/>
    <s v="Backordered"/>
  </r>
  <r>
    <s v="56-191-6497"/>
    <s v="Bread Flour"/>
    <x v="0"/>
    <s v="65-395-5947"/>
    <s v="Bubblebox"/>
    <n v="97"/>
    <n v="41"/>
    <n v="68"/>
    <s v="Sufficient"/>
    <n v="0"/>
    <s v="Normal"/>
    <s v=" 1.50  "/>
    <n v="145.5"/>
    <d v="2025-01-14T00:00:00"/>
    <d v="2024-04-10T00:00:00"/>
    <d v="2025-01-07T00:00:00"/>
    <n v="408"/>
    <n v="687"/>
    <n v="415"/>
    <s v="Expiring Soon"/>
    <s v="844 Schurz Point"/>
    <n v="35"/>
    <n v="5092.5"/>
    <n v="16"/>
    <s v="Discontinued"/>
  </r>
  <r>
    <s v="46-753-8430"/>
    <s v="Feta Cheese"/>
    <x v="4"/>
    <s v="35-042-9391"/>
    <s v="Rhynyx"/>
    <n v="98"/>
    <n v="77"/>
    <n v="7"/>
    <s v="Sufficient"/>
    <n v="0"/>
    <s v="Normal"/>
    <s v=" 7.00  "/>
    <n v="686"/>
    <d v="2024-02-10T00:00:00"/>
    <d v="2024-11-19T00:00:00"/>
    <d v="2024-08-05T00:00:00"/>
    <n v="747"/>
    <n v="464"/>
    <n v="570"/>
    <s v="Safe"/>
    <s v="60356 Derek Lane"/>
    <n v="92"/>
    <n v="63112"/>
    <n v="29"/>
    <s v="Discontinued"/>
  </r>
  <r>
    <s v="48-461-3742"/>
    <s v="Kiwi"/>
    <x v="2"/>
    <s v="78-381-5054"/>
    <s v="Zooveo"/>
    <n v="37"/>
    <n v="8"/>
    <n v="50"/>
    <s v="Sufficient"/>
    <n v="0"/>
    <s v="Normal"/>
    <s v=" 6.00  "/>
    <n v="222"/>
    <d v="2024-06-07T00:00:00"/>
    <d v="2024-05-17T00:00:00"/>
    <d v="2025-01-23T00:00:00"/>
    <n v="629"/>
    <n v="650"/>
    <n v="399"/>
    <s v="Expiring Soon"/>
    <s v="42719 Milwaukee Avenue"/>
    <n v="47"/>
    <n v="10434"/>
    <n v="62"/>
    <s v="Discontinued"/>
  </r>
  <r>
    <s v="16-354-8122"/>
    <s v="Digestive Biscuit"/>
    <x v="5"/>
    <s v="61-604-8116"/>
    <s v="BlogXS"/>
    <n v="97"/>
    <n v="99"/>
    <n v="96"/>
    <s v="Require"/>
    <n v="99"/>
    <s v="High Priority"/>
    <s v=" 4.00  "/>
    <n v="388"/>
    <d v="2024-04-25T00:00:00"/>
    <d v="2025-01-22T00:00:00"/>
    <d v="2024-11-27T00:00:00"/>
    <n v="672"/>
    <n v="400"/>
    <n v="456"/>
    <s v="Expiring Soon"/>
    <s v="66 Raven Pass"/>
    <n v="57"/>
    <n v="22116"/>
    <n v="42"/>
    <s v="Backordered"/>
  </r>
  <r>
    <s v="76-954-1442"/>
    <s v="Arabica Coffee"/>
    <x v="1"/>
    <s v="68-200-8955"/>
    <s v="Mynte"/>
    <n v="97"/>
    <n v="77"/>
    <n v="99"/>
    <s v="Sufficient"/>
    <n v="0"/>
    <s v="Normal"/>
    <s v=" 20.00  "/>
    <n v="1940"/>
    <d v="2024-11-22T00:00:00"/>
    <d v="2024-04-24T00:00:00"/>
    <d v="2024-03-18T00:00:00"/>
    <n v="461"/>
    <n v="673"/>
    <n v="710"/>
    <s v="Safe"/>
    <s v="43024 Elka Avenue"/>
    <n v="74"/>
    <n v="143560"/>
    <n v="98"/>
    <s v="Backordered"/>
  </r>
  <r>
    <s v="44-476-0390"/>
    <s v="Lemon"/>
    <x v="2"/>
    <s v="48-562-3582"/>
    <s v="Flashspan"/>
    <n v="90"/>
    <n v="92"/>
    <n v="56"/>
    <s v="Require"/>
    <n v="92"/>
    <s v="High Priority"/>
    <s v=" 2.50  "/>
    <n v="225"/>
    <d v="2024-07-28T00:00:00"/>
    <d v="2024-04-27T00:00:00"/>
    <d v="2024-03-14T00:00:00"/>
    <n v="578"/>
    <n v="670"/>
    <n v="714"/>
    <s v="Safe"/>
    <s v="022 Pierstorff Point"/>
    <n v="71"/>
    <n v="15975"/>
    <n v="13"/>
    <s v="Active"/>
  </r>
  <r>
    <s v="35-617-3857"/>
    <s v="Arabica Coffee"/>
    <x v="1"/>
    <s v="90-718-2724"/>
    <s v="Youspan"/>
    <n v="46"/>
    <n v="31"/>
    <n v="89"/>
    <s v="Sufficient"/>
    <n v="0"/>
    <s v="Normal"/>
    <s v=" 20.00  "/>
    <n v="920"/>
    <d v="2025-04-01T00:00:00"/>
    <d v="2024-03-21T00:00:00"/>
    <d v="2024-03-06T00:00:00"/>
    <n v="331"/>
    <n v="707"/>
    <n v="722"/>
    <s v="Safe"/>
    <s v="292 Charing Cross Terrace"/>
    <n v="59"/>
    <n v="54280"/>
    <n v="65"/>
    <s v="Backordered"/>
  </r>
  <r>
    <s v="94-029-2717"/>
    <s v="Broccoli"/>
    <x v="2"/>
    <s v="37-878-9392"/>
    <s v="Jetpulse"/>
    <n v="40"/>
    <n v="8"/>
    <n v="98"/>
    <s v="Sufficient"/>
    <n v="0"/>
    <s v="Normal"/>
    <s v=" 4.00  "/>
    <n v="160"/>
    <d v="2024-07-26T00:00:00"/>
    <d v="2025-06-02T00:00:00"/>
    <d v="2024-06-09T00:00:00"/>
    <n v="580"/>
    <n v="269"/>
    <n v="627"/>
    <s v="Safe"/>
    <s v="071 Nobel Circle"/>
    <n v="86"/>
    <n v="13760"/>
    <n v="12"/>
    <s v="Discontinued"/>
  </r>
  <r>
    <s v="49-526-7806"/>
    <s v="Kale"/>
    <x v="2"/>
    <s v="66-973-4855"/>
    <s v="Yodoo"/>
    <n v="77"/>
    <n v="52"/>
    <n v="28"/>
    <s v="Sufficient"/>
    <n v="0"/>
    <s v="Normal"/>
    <s v=" 4.00  "/>
    <n v="308"/>
    <d v="2024-12-19T00:00:00"/>
    <d v="2024-11-19T00:00:00"/>
    <d v="2024-05-01T00:00:00"/>
    <n v="434"/>
    <n v="464"/>
    <n v="666"/>
    <s v="Safe"/>
    <s v="6744 Helena Pass"/>
    <n v="48"/>
    <n v="14784"/>
    <n v="43"/>
    <s v="Active"/>
  </r>
  <r>
    <s v="99-137-1730"/>
    <s v="Bread Flour"/>
    <x v="0"/>
    <s v="65-797-3468"/>
    <s v="Skyndu"/>
    <n v="62"/>
    <n v="79"/>
    <n v="23"/>
    <s v="Require"/>
    <n v="79"/>
    <s v="High Priority"/>
    <s v=" 1.50  "/>
    <n v="93"/>
    <d v="2024-07-22T00:00:00"/>
    <d v="2024-02-28T00:00:00"/>
    <d v="2024-10-18T00:00:00"/>
    <n v="584"/>
    <n v="729"/>
    <n v="496"/>
    <s v="Expiring Soon"/>
    <s v="4105 Fair Oaks Parkway"/>
    <n v="32"/>
    <n v="2976"/>
    <n v="80"/>
    <s v="Active"/>
  </r>
  <r>
    <s v="27-442-3654"/>
    <s v="Herbal Tea"/>
    <x v="1"/>
    <s v="57-544-2465"/>
    <s v="Yoveo"/>
    <n v="59"/>
    <n v="17"/>
    <n v="1"/>
    <s v="Sufficient"/>
    <n v="0"/>
    <s v="Normal"/>
    <s v=" 30.00  "/>
    <n v="1770"/>
    <d v="2024-07-21T00:00:00"/>
    <d v="2024-08-26T00:00:00"/>
    <d v="2024-12-03T00:00:00"/>
    <n v="585"/>
    <n v="549"/>
    <n v="450"/>
    <s v="Expiring Soon"/>
    <s v="67677 Lakewood Gardens Way"/>
    <n v="69"/>
    <n v="122130"/>
    <n v="82"/>
    <s v="Active"/>
  </r>
  <r>
    <s v="32-933-0329"/>
    <s v="Blueberries"/>
    <x v="2"/>
    <s v="86-760-5412"/>
    <s v="Linklinks"/>
    <n v="23"/>
    <n v="38"/>
    <n v="54"/>
    <s v="Require"/>
    <n v="38"/>
    <s v="Normal"/>
    <s v=" 10.00  "/>
    <n v="230"/>
    <d v="2025-01-17T00:00:00"/>
    <d v="2024-07-14T00:00:00"/>
    <d v="2024-04-15T00:00:00"/>
    <n v="405"/>
    <n v="592"/>
    <n v="682"/>
    <s v="Safe"/>
    <s v="57150 Del Sol Alley"/>
    <n v="40"/>
    <n v="9200"/>
    <n v="15"/>
    <s v="Active"/>
  </r>
  <r>
    <s v="93-813-2419"/>
    <s v="Digestive Biscuit"/>
    <x v="5"/>
    <s v="12-264-4503"/>
    <s v="Dynabox"/>
    <n v="39"/>
    <n v="16"/>
    <n v="57"/>
    <s v="Sufficient"/>
    <n v="0"/>
    <s v="Normal"/>
    <s v=" 4.00  "/>
    <n v="156"/>
    <d v="2024-12-21T00:00:00"/>
    <d v="2024-09-04T00:00:00"/>
    <d v="2024-06-22T00:00:00"/>
    <n v="432"/>
    <n v="540"/>
    <n v="614"/>
    <s v="Safe"/>
    <s v="7407 Farragut Pass"/>
    <n v="98"/>
    <n v="15288"/>
    <n v="12"/>
    <s v="Active"/>
  </r>
  <r>
    <s v="85-440-3667"/>
    <s v="Gouda Cheese"/>
    <x v="4"/>
    <s v="00-680-5333"/>
    <s v="Kamba"/>
    <n v="68"/>
    <n v="29"/>
    <n v="31"/>
    <s v="Sufficient"/>
    <n v="0"/>
    <s v="Normal"/>
    <s v=" 7.00  "/>
    <n v="476"/>
    <d v="2024-06-08T00:00:00"/>
    <d v="2024-03-06T00:00:00"/>
    <d v="2024-09-09T00:00:00"/>
    <n v="628"/>
    <n v="722"/>
    <n v="535"/>
    <s v="Expiring Soon"/>
    <s v="6151 Forster Drive"/>
    <n v="53"/>
    <n v="25228"/>
    <n v="20"/>
    <s v="Backordered"/>
  </r>
  <r>
    <s v="77-224-2227"/>
    <s v="Almond Flour"/>
    <x v="0"/>
    <s v="89-226-5813"/>
    <s v="Eimbee"/>
    <n v="75"/>
    <n v="46"/>
    <n v="75"/>
    <s v="Sufficient"/>
    <n v="0"/>
    <s v="Normal"/>
    <s v=" 9.50  "/>
    <n v="712.5"/>
    <d v="2024-08-26T00:00:00"/>
    <d v="2024-09-30T00:00:00"/>
    <d v="2024-10-26T00:00:00"/>
    <n v="549"/>
    <n v="514"/>
    <n v="488"/>
    <s v="Expiring Soon"/>
    <s v="5426 Fordem Pass"/>
    <n v="43"/>
    <n v="30637.5"/>
    <n v="77"/>
    <s v="Backordered"/>
  </r>
  <r>
    <s v="60-632-8752"/>
    <s v="Chocolate Biscuit"/>
    <x v="5"/>
    <s v="07-948-8632"/>
    <s v="Trunyx"/>
    <n v="96"/>
    <n v="16"/>
    <n v="48"/>
    <s v="Sufficient"/>
    <n v="0"/>
    <s v="Normal"/>
    <s v=" 5.00  "/>
    <n v="480"/>
    <d v="2024-04-11T00:00:00"/>
    <d v="2024-04-04T00:00:00"/>
    <d v="2025-01-26T00:00:00"/>
    <n v="686"/>
    <n v="693"/>
    <n v="396"/>
    <s v="Expiring Soon"/>
    <s v="48 Golf View Pass"/>
    <n v="45"/>
    <n v="21600"/>
    <n v="68"/>
    <s v="Active"/>
  </r>
  <r>
    <s v="99-561-4871"/>
    <s v="Haddock"/>
    <x v="6"/>
    <s v="04-786-5408"/>
    <s v="Buzzdog"/>
    <n v="17"/>
    <n v="38"/>
    <n v="93"/>
    <s v="Require"/>
    <n v="38"/>
    <s v="Normal"/>
    <s v=" 9.00  "/>
    <n v="153"/>
    <d v="2025-02-14T00:00:00"/>
    <d v="2024-08-20T00:00:00"/>
    <d v="2024-07-28T00:00:00"/>
    <n v="377"/>
    <n v="555"/>
    <n v="578"/>
    <s v="Safe"/>
    <s v="952 Rowland Junction"/>
    <n v="100"/>
    <n v="15300"/>
    <n v="63"/>
    <s v="Active"/>
  </r>
  <r>
    <s v="61-607-7622"/>
    <s v="Egg (Duck)"/>
    <x v="4"/>
    <s v="77-175-2969"/>
    <s v="Zoonoodle"/>
    <n v="23"/>
    <n v="38"/>
    <n v="25"/>
    <s v="Require"/>
    <n v="38"/>
    <s v="Normal"/>
    <s v=" 1.00  "/>
    <n v="23"/>
    <d v="2024-05-13T00:00:00"/>
    <d v="2025-02-21T00:00:00"/>
    <d v="2025-01-15T00:00:00"/>
    <n v="654"/>
    <n v="370"/>
    <n v="407"/>
    <s v="Expiring Soon"/>
    <s v="329 Helena Park"/>
    <n v="84"/>
    <n v="1932"/>
    <n v="78"/>
    <s v="Discontinued"/>
  </r>
  <r>
    <s v="11-745-3025"/>
    <s v="Peach"/>
    <x v="2"/>
    <s v="54-711-1582"/>
    <s v="Oyoloo"/>
    <n v="15"/>
    <n v="27"/>
    <n v="21"/>
    <s v="Require"/>
    <n v="27"/>
    <s v="Normal"/>
    <s v=" 4.00  "/>
    <n v="60"/>
    <d v="2024-11-06T00:00:00"/>
    <d v="2025-02-21T00:00:00"/>
    <d v="2024-09-03T00:00:00"/>
    <n v="477"/>
    <n v="370"/>
    <n v="541"/>
    <s v="Expiring Soon"/>
    <s v="3104 Ridge Oak Hill"/>
    <n v="37"/>
    <n v="2220"/>
    <n v="67"/>
    <s v="Backordered"/>
  </r>
  <r>
    <s v="56-810-0550"/>
    <s v="Mackerel"/>
    <x v="6"/>
    <s v="94-145-9423"/>
    <s v="Janyx"/>
    <n v="71"/>
    <n v="7"/>
    <n v="6"/>
    <s v="Sufficient"/>
    <n v="0"/>
    <s v="Normal"/>
    <s v=" 7.50  "/>
    <n v="532.5"/>
    <d v="2024-08-29T00:00:00"/>
    <d v="2024-02-12T00:00:00"/>
    <d v="2024-09-04T00:00:00"/>
    <n v="546"/>
    <n v="745"/>
    <n v="540"/>
    <s v="Expiring Soon"/>
    <s v="376 Reinke Court"/>
    <n v="52"/>
    <n v="27690"/>
    <n v="68"/>
    <s v="Backordered"/>
  </r>
  <r>
    <s v="59-075-2457"/>
    <s v="Egg (Goose)"/>
    <x v="4"/>
    <s v="18-733-2453"/>
    <s v="Dynava"/>
    <n v="97"/>
    <n v="26"/>
    <n v="15"/>
    <s v="Sufficient"/>
    <n v="0"/>
    <s v="Normal"/>
    <s v=" 2.50  "/>
    <n v="242.5"/>
    <d v="2024-08-21T00:00:00"/>
    <d v="2025-03-02T00:00:00"/>
    <d v="2024-11-10T00:00:00"/>
    <n v="554"/>
    <n v="361"/>
    <n v="473"/>
    <s v="Expiring Soon"/>
    <s v="2 Barby Lane"/>
    <n v="33"/>
    <n v="8002.5"/>
    <n v="58"/>
    <s v="Discontinued"/>
  </r>
  <r>
    <s v="40-021-2400"/>
    <s v="Zucchini"/>
    <x v="2"/>
    <s v="62-648-2577"/>
    <s v="Katz"/>
    <n v="29"/>
    <n v="18"/>
    <n v="86"/>
    <s v="Sufficient"/>
    <n v="0"/>
    <s v="Normal"/>
    <s v=" 2.50  "/>
    <n v="72.5"/>
    <d v="2024-10-24T00:00:00"/>
    <d v="2024-11-16T00:00:00"/>
    <d v="2024-05-11T00:00:00"/>
    <n v="490"/>
    <n v="467"/>
    <n v="656"/>
    <s v="Safe"/>
    <s v="265 Columbus Way"/>
    <n v="53"/>
    <n v="3842.5"/>
    <n v="69"/>
    <s v="Active"/>
  </r>
  <r>
    <s v="29-017-6255"/>
    <s v="Bell Pepper"/>
    <x v="2"/>
    <s v="43-348-2450"/>
    <s v="Eimbee"/>
    <n v="46"/>
    <n v="64"/>
    <n v="17"/>
    <s v="Require"/>
    <n v="64"/>
    <s v="High Priority"/>
    <s v=" 4.60  "/>
    <n v="211.6"/>
    <d v="2024-01-03T00:00:00"/>
    <d v="2025-06-01T00:00:00"/>
    <d v="2025-01-31T00:00:00"/>
    <n v="785"/>
    <n v="270"/>
    <n v="391"/>
    <s v="Expiring Soon"/>
    <s v="20 Pennsylvania Parkway"/>
    <n v="96"/>
    <n v="20313.599999999999"/>
    <n v="55"/>
    <s v="Discontinued"/>
  </r>
  <r>
    <s v="92-291-7089"/>
    <s v="Cheese"/>
    <x v="4"/>
    <s v="08-523-5066"/>
    <s v="Jaxspan"/>
    <n v="76"/>
    <n v="15"/>
    <n v="99"/>
    <s v="Sufficient"/>
    <n v="0"/>
    <s v="Normal"/>
    <s v=" 9.50  "/>
    <n v="722"/>
    <d v="2025-01-02T00:00:00"/>
    <d v="2024-07-26T00:00:00"/>
    <d v="2024-05-06T00:00:00"/>
    <n v="420"/>
    <n v="580"/>
    <n v="661"/>
    <s v="Safe"/>
    <s v="9307 Kingsford Road"/>
    <n v="60"/>
    <n v="43320"/>
    <n v="49"/>
    <s v="Discontinued"/>
  </r>
  <r>
    <s v="69-287-9113"/>
    <s v="Zucchini"/>
    <x v="2"/>
    <s v="20-952-0731"/>
    <s v="Jaxspan"/>
    <n v="59"/>
    <n v="91"/>
    <n v="24"/>
    <s v="Require"/>
    <n v="91"/>
    <s v="High Priority"/>
    <s v=" 2.50  "/>
    <n v="147.5"/>
    <d v="2024-10-27T00:00:00"/>
    <d v="2024-06-29T00:00:00"/>
    <d v="2024-12-16T00:00:00"/>
    <n v="487"/>
    <n v="607"/>
    <n v="437"/>
    <s v="Expiring Soon"/>
    <s v="11 Golden Leaf Alley"/>
    <n v="54"/>
    <n v="7965"/>
    <n v="87"/>
    <s v="Active"/>
  </r>
  <r>
    <s v="76-540-6407"/>
    <s v="Orange"/>
    <x v="2"/>
    <s v="78-644-5877"/>
    <s v="Demimbu"/>
    <n v="92"/>
    <n v="54"/>
    <n v="73"/>
    <s v="Sufficient"/>
    <n v="0"/>
    <s v="Normal"/>
    <s v=" 3.10  "/>
    <n v="285.2"/>
    <d v="2025-07-02T00:00:00"/>
    <d v="2025-01-17T00:00:00"/>
    <d v="2024-12-13T00:00:00"/>
    <n v="239"/>
    <n v="405"/>
    <n v="440"/>
    <s v="Expiring Soon"/>
    <s v="77 Prairie Rose Park"/>
    <n v="79"/>
    <n v="22530.799999999999"/>
    <n v="1"/>
    <s v="Backordered"/>
  </r>
  <r>
    <s v="85-561-4694"/>
    <s v="Kiwi"/>
    <x v="2"/>
    <s v="57-486-8971"/>
    <s v="Tazz"/>
    <n v="28"/>
    <n v="27"/>
    <n v="22"/>
    <s v="Sufficient"/>
    <n v="0"/>
    <s v="Normal"/>
    <s v=" 6.00  "/>
    <n v="168"/>
    <d v="2024-05-15T00:00:00"/>
    <d v="2024-08-15T00:00:00"/>
    <d v="2024-05-11T00:00:00"/>
    <n v="652"/>
    <n v="560"/>
    <n v="656"/>
    <s v="Safe"/>
    <s v="1 Lake View Trail"/>
    <n v="70"/>
    <n v="11760"/>
    <n v="30"/>
    <s v="Discontinued"/>
  </r>
  <r>
    <s v="34-928-2775"/>
    <s v="Coconut"/>
    <x v="2"/>
    <s v="07-959-3210"/>
    <s v="Browseblab"/>
    <n v="19"/>
    <n v="47"/>
    <n v="25"/>
    <s v="Require"/>
    <n v="47"/>
    <s v="Normal"/>
    <s v=" 5.00  "/>
    <n v="95"/>
    <d v="2024-12-18T00:00:00"/>
    <d v="2025-02-24T00:00:00"/>
    <d v="2025-01-28T00:00:00"/>
    <n v="435"/>
    <n v="367"/>
    <n v="394"/>
    <s v="Expiring Soon"/>
    <s v="7945 Mayer Center"/>
    <n v="96"/>
    <n v="9120"/>
    <n v="37"/>
    <s v="Discontinued"/>
  </r>
  <r>
    <s v="90-773-9557"/>
    <s v="Butter"/>
    <x v="4"/>
    <s v="02-165-5779"/>
    <s v="Npath"/>
    <n v="85"/>
    <n v="28"/>
    <n v="21"/>
    <s v="Sufficient"/>
    <n v="0"/>
    <s v="Normal"/>
    <s v=" 3.00  "/>
    <n v="255"/>
    <d v="2024-08-20T00:00:00"/>
    <d v="2024-06-30T00:00:00"/>
    <d v="2024-06-12T00:00:00"/>
    <n v="555"/>
    <n v="606"/>
    <n v="624"/>
    <s v="Safe"/>
    <s v="904 Del Mar Crossing"/>
    <n v="45"/>
    <n v="11475"/>
    <n v="89"/>
    <s v="Active"/>
  </r>
  <r>
    <s v="57-394-1587"/>
    <s v="Bread Flour"/>
    <x v="0"/>
    <s v="59-595-7531"/>
    <s v="Roomm"/>
    <n v="57"/>
    <n v="63"/>
    <n v="41"/>
    <s v="Require"/>
    <n v="63"/>
    <s v="High Priority"/>
    <s v=" 1.50  "/>
    <n v="85.5"/>
    <d v="2024-08-25T00:00:00"/>
    <d v="2025-02-17T00:00:00"/>
    <d v="2024-10-30T00:00:00"/>
    <n v="550"/>
    <n v="374"/>
    <n v="484"/>
    <s v="Expiring Soon"/>
    <s v="561 Blue Bill Park Road"/>
    <n v="53"/>
    <n v="4531.5"/>
    <n v="94"/>
    <s v="Discontinued"/>
  </r>
  <r>
    <s v="28-008-2951"/>
    <s v="Broccoli"/>
    <x v="2"/>
    <s v="64-118-1480"/>
    <s v="Buzzster"/>
    <n v="95"/>
    <n v="29"/>
    <n v="28"/>
    <s v="Sufficient"/>
    <n v="0"/>
    <s v="Normal"/>
    <s v=" 4.00  "/>
    <n v="380"/>
    <d v="2024-07-20T00:00:00"/>
    <d v="2025-01-16T00:00:00"/>
    <d v="2024-05-20T00:00:00"/>
    <n v="586"/>
    <n v="406"/>
    <n v="647"/>
    <s v="Safe"/>
    <s v="26 Barnett Junction"/>
    <n v="52"/>
    <n v="19760"/>
    <n v="46"/>
    <s v="Discontinued"/>
  </r>
  <r>
    <s v="74-711-7160"/>
    <s v="Sushi Rice"/>
    <x v="0"/>
    <s v="40-662-8853"/>
    <s v="Meembee"/>
    <n v="84"/>
    <n v="69"/>
    <n v="77"/>
    <s v="Sufficient"/>
    <n v="0"/>
    <s v="Normal"/>
    <s v=" 4.50  "/>
    <n v="378"/>
    <d v="2025-01-22T00:00:00"/>
    <d v="2024-12-28T00:00:00"/>
    <d v="2024-06-01T00:00:00"/>
    <n v="400"/>
    <n v="425"/>
    <n v="635"/>
    <s v="Safe"/>
    <s v="44296 Kropf Avenue"/>
    <n v="39"/>
    <n v="14742"/>
    <n v="69"/>
    <s v="Backordered"/>
  </r>
  <r>
    <s v="22-895-6595"/>
    <s v="Rice Flour"/>
    <x v="0"/>
    <s v="18-445-5057"/>
    <s v="Topicblab"/>
    <n v="31"/>
    <n v="32"/>
    <n v="69"/>
    <s v="Require"/>
    <n v="32"/>
    <s v="Normal"/>
    <s v=" 2.00  "/>
    <n v="62"/>
    <d v="2024-02-29T00:00:00"/>
    <d v="2024-04-06T00:00:00"/>
    <d v="2024-11-21T00:00:00"/>
    <n v="728"/>
    <n v="691"/>
    <n v="462"/>
    <s v="Expiring Soon"/>
    <s v="34642 Carpenter Place"/>
    <n v="38"/>
    <n v="2356"/>
    <n v="23"/>
    <s v="Active"/>
  </r>
  <r>
    <s v="19-214-5762"/>
    <s v="Pear"/>
    <x v="2"/>
    <s v="88-108-3774"/>
    <s v="Gigashots"/>
    <n v="41"/>
    <n v="52"/>
    <n v="75"/>
    <s v="Require"/>
    <n v="52"/>
    <s v="Normal"/>
    <s v=" 4.50  "/>
    <n v="184.5"/>
    <d v="2024-06-04T00:00:00"/>
    <d v="2024-04-24T00:00:00"/>
    <d v="2024-10-13T00:00:00"/>
    <n v="632"/>
    <n v="673"/>
    <n v="501"/>
    <s v="Expiring Soon"/>
    <s v="7 Bonner Terrace"/>
    <n v="57"/>
    <n v="10516.5"/>
    <n v="62"/>
    <s v="Backordered"/>
  </r>
  <r>
    <s v="95-349-0828"/>
    <s v="Feta Cheese"/>
    <x v="4"/>
    <s v="43-977-2343"/>
    <s v="Avaveo"/>
    <n v="97"/>
    <n v="57"/>
    <n v="84"/>
    <s v="Sufficient"/>
    <n v="0"/>
    <s v="Normal"/>
    <s v=" 7.00  "/>
    <n v="679"/>
    <d v="2024-09-27T00:00:00"/>
    <d v="2024-08-29T00:00:00"/>
    <d v="2025-02-06T00:00:00"/>
    <n v="517"/>
    <n v="546"/>
    <n v="385"/>
    <s v="Expiring Soon"/>
    <s v="60 Towne Hill"/>
    <n v="95"/>
    <n v="64505"/>
    <n v="28"/>
    <s v="Active"/>
  </r>
  <r>
    <s v="00-963-2193"/>
    <s v="Milk"/>
    <x v="4"/>
    <s v="39-521-8484"/>
    <s v="Thoughtsphere"/>
    <n v="43"/>
    <n v="88"/>
    <n v="33"/>
    <s v="Require"/>
    <n v="88"/>
    <s v="High Priority"/>
    <s v=" 1.00  "/>
    <n v="43"/>
    <d v="2024-07-19T00:00:00"/>
    <d v="2025-03-02T00:00:00"/>
    <d v="2024-12-23T00:00:00"/>
    <n v="587"/>
    <n v="361"/>
    <n v="430"/>
    <s v="Expiring Soon"/>
    <s v="5030 Moose Junction"/>
    <n v="84"/>
    <n v="3612"/>
    <n v="75"/>
    <s v="Discontinued"/>
  </r>
  <r>
    <s v="76-459-2392"/>
    <s v="Palm Oil"/>
    <x v="3"/>
    <s v="91-030-6609"/>
    <s v="Fivebridge"/>
    <n v="74"/>
    <n v="4"/>
    <n v="67"/>
    <s v="Sufficient"/>
    <n v="0"/>
    <s v="Normal"/>
    <s v=" 1.80  "/>
    <n v="133.20000000000002"/>
    <d v="2024-03-26T00:00:00"/>
    <d v="2024-04-13T00:00:00"/>
    <d v="2024-05-24T00:00:00"/>
    <n v="702"/>
    <n v="684"/>
    <n v="643"/>
    <s v="Safe"/>
    <s v="2005 Mccormick Road"/>
    <n v="31"/>
    <n v="4129.2000000000007"/>
    <n v="34"/>
    <s v="Backordered"/>
  </r>
  <r>
    <s v="10-034-7654"/>
    <s v="Bread Flour"/>
    <x v="0"/>
    <s v="27-292-4656"/>
    <s v="Zava"/>
    <n v="70"/>
    <n v="96"/>
    <n v="92"/>
    <s v="Require"/>
    <n v="96"/>
    <s v="High Priority"/>
    <s v=" 1.50  "/>
    <n v="105"/>
    <d v="2024-04-18T00:00:00"/>
    <d v="2024-10-25T00:00:00"/>
    <d v="2024-05-28T00:00:00"/>
    <n v="679"/>
    <n v="489"/>
    <n v="639"/>
    <s v="Safe"/>
    <s v="21 Esker Way"/>
    <n v="27"/>
    <n v="2835"/>
    <n v="58"/>
    <s v="Backordered"/>
  </r>
  <r>
    <s v="24-972-6969"/>
    <s v="Cheese"/>
    <x v="4"/>
    <s v="27-532-7847"/>
    <s v="Twitterbeat"/>
    <n v="69"/>
    <n v="53"/>
    <n v="32"/>
    <s v="Sufficient"/>
    <n v="0"/>
    <s v="Normal"/>
    <s v=" 9.20  "/>
    <n v="634.79999999999995"/>
    <d v="2024-11-09T00:00:00"/>
    <d v="2024-05-28T00:00:00"/>
    <d v="2024-06-13T00:00:00"/>
    <n v="474"/>
    <n v="639"/>
    <n v="623"/>
    <s v="Safe"/>
    <s v="5862 Hooker Pass"/>
    <n v="28"/>
    <n v="17774.399999999998"/>
    <n v="56"/>
    <s v="Active"/>
  </r>
  <r>
    <s v="94-190-5193"/>
    <s v="Carrot"/>
    <x v="2"/>
    <s v="95-778-2888"/>
    <s v="Quinu"/>
    <n v="67"/>
    <n v="68"/>
    <n v="50"/>
    <s v="Require"/>
    <n v="68"/>
    <s v="High Priority"/>
    <s v=" 1.50  "/>
    <n v="100.5"/>
    <d v="2024-09-23T00:00:00"/>
    <d v="2024-11-21T00:00:00"/>
    <d v="2024-04-09T00:00:00"/>
    <n v="521"/>
    <n v="462"/>
    <n v="688"/>
    <s v="Safe"/>
    <s v="24385 Prentice Plaza"/>
    <n v="67"/>
    <n v="6733.5"/>
    <n v="82"/>
    <s v="Discontinued"/>
  </r>
  <r>
    <s v="92-791-0606"/>
    <s v="Short Grain Rice"/>
    <x v="0"/>
    <s v="56-050-1773"/>
    <s v="Photobean"/>
    <n v="18"/>
    <n v="62"/>
    <n v="2"/>
    <s v="Require"/>
    <n v="62"/>
    <s v="High Priority"/>
    <s v=" 3.00  "/>
    <n v="54"/>
    <d v="2024-03-26T00:00:00"/>
    <d v="2024-04-28T00:00:00"/>
    <d v="2024-09-06T00:00:00"/>
    <n v="702"/>
    <n v="669"/>
    <n v="538"/>
    <s v="Expiring Soon"/>
    <s v="739 Grayhawk Trail"/>
    <n v="61"/>
    <n v="3294"/>
    <n v="78"/>
    <s v="Discontinued"/>
  </r>
  <r>
    <s v="84-629-1532"/>
    <s v="Arabica Coffee"/>
    <x v="1"/>
    <s v="50-378-4320"/>
    <s v="Chatterpoint"/>
    <n v="22"/>
    <n v="89"/>
    <n v="25"/>
    <s v="Require"/>
    <n v="89"/>
    <s v="High Priority"/>
    <s v=" 21.00  "/>
    <n v="462"/>
    <d v="2024-02-25T00:00:00"/>
    <d v="2024-11-27T00:00:00"/>
    <d v="2024-07-20T00:00:00"/>
    <n v="732"/>
    <n v="456"/>
    <n v="586"/>
    <s v="Safe"/>
    <s v="7 Sloan Park"/>
    <n v="30"/>
    <n v="13860"/>
    <n v="62"/>
    <s v="Discontinued"/>
  </r>
  <r>
    <s v="68-977-2498"/>
    <s v="Grapes"/>
    <x v="2"/>
    <s v="26-222-1156"/>
    <s v="Skinix"/>
    <n v="88"/>
    <n v="99"/>
    <n v="41"/>
    <s v="Require"/>
    <n v="99"/>
    <s v="High Priority"/>
    <s v=" 5.50  "/>
    <n v="484"/>
    <d v="2024-07-30T00:00:00"/>
    <d v="2024-05-20T00:00:00"/>
    <d v="2024-07-21T00:00:00"/>
    <n v="576"/>
    <n v="647"/>
    <n v="585"/>
    <s v="Safe"/>
    <s v="6482 Ramsey Alley"/>
    <n v="93"/>
    <n v="45012"/>
    <n v="99"/>
    <s v="Backordered"/>
  </r>
  <r>
    <s v="91-257-3672"/>
    <s v="Tilapia"/>
    <x v="6"/>
    <s v="30-438-6295"/>
    <s v="InnoZ"/>
    <n v="78"/>
    <n v="75"/>
    <n v="3"/>
    <s v="Sufficient"/>
    <n v="0"/>
    <s v="Normal"/>
    <s v=" 7.00  "/>
    <n v="546"/>
    <d v="2024-08-08T00:00:00"/>
    <d v="2024-12-18T00:00:00"/>
    <d v="2024-07-05T00:00:00"/>
    <n v="567"/>
    <n v="435"/>
    <n v="601"/>
    <s v="Safe"/>
    <s v="10997 Dexter Parkway"/>
    <n v="63"/>
    <n v="34398"/>
    <n v="100"/>
    <s v="Active"/>
  </r>
  <r>
    <s v="09-536-2626"/>
    <s v="Olive Oil"/>
    <x v="3"/>
    <s v="14-483-5712"/>
    <s v="Fliptune"/>
    <n v="83"/>
    <n v="52"/>
    <n v="32"/>
    <s v="Sufficient"/>
    <n v="0"/>
    <s v="Normal"/>
    <s v=" 6.00  "/>
    <n v="498"/>
    <d v="2024-10-17T00:00:00"/>
    <d v="2024-08-26T00:00:00"/>
    <d v="2024-03-21T00:00:00"/>
    <n v="497"/>
    <n v="549"/>
    <n v="707"/>
    <s v="Safe"/>
    <s v="205 Straubel Court"/>
    <n v="47"/>
    <n v="23406"/>
    <n v="7"/>
    <s v="Active"/>
  </r>
  <r>
    <s v="61-801-8665"/>
    <s v="Robusta Coffee"/>
    <x v="1"/>
    <s v="78-283-9751"/>
    <s v="Demivee"/>
    <n v="42"/>
    <n v="88"/>
    <n v="17"/>
    <s v="Require"/>
    <n v="88"/>
    <s v="High Priority"/>
    <s v=" 10.50  "/>
    <n v="441"/>
    <d v="2024-10-19T00:00:00"/>
    <d v="2024-06-12T00:00:00"/>
    <d v="2024-06-24T00:00:00"/>
    <n v="495"/>
    <n v="624"/>
    <n v="612"/>
    <s v="Safe"/>
    <s v="58 La Follette Park"/>
    <n v="34"/>
    <n v="14994"/>
    <n v="51"/>
    <s v="Discontinued"/>
  </r>
  <r>
    <s v="38-296-6634"/>
    <s v="Peas"/>
    <x v="2"/>
    <s v="41-083-3955"/>
    <s v="Skipfire"/>
    <n v="49"/>
    <n v="46"/>
    <n v="8"/>
    <s v="Sufficient"/>
    <n v="0"/>
    <s v="Normal"/>
    <s v=" 3.00  "/>
    <n v="147"/>
    <d v="2024-10-22T00:00:00"/>
    <d v="2024-03-31T00:00:00"/>
    <d v="2024-12-10T00:00:00"/>
    <n v="492"/>
    <n v="697"/>
    <n v="443"/>
    <s v="Expiring Soon"/>
    <s v="160 Kings Street"/>
    <n v="82"/>
    <n v="12054"/>
    <n v="21"/>
    <s v="Discontinued"/>
  </r>
  <r>
    <s v="30-591-7275"/>
    <s v="Brown Rice"/>
    <x v="0"/>
    <s v="12-431-9207"/>
    <s v="Oyondu"/>
    <n v="17"/>
    <n v="88"/>
    <n v="41"/>
    <s v="Require"/>
    <n v="88"/>
    <s v="High Priority"/>
    <s v=" 2.50  "/>
    <n v="42.5"/>
    <d v="2024-10-21T00:00:00"/>
    <d v="2025-02-19T00:00:00"/>
    <d v="2025-01-18T00:00:00"/>
    <n v="493"/>
    <n v="372"/>
    <n v="404"/>
    <s v="Expiring Soon"/>
    <s v="7020 Porter Trail"/>
    <n v="45"/>
    <n v="1912.5"/>
    <n v="29"/>
    <s v="Backordered"/>
  </r>
  <r>
    <s v="83-763-5038"/>
    <s v="Buttermilk"/>
    <x v="4"/>
    <s v="26-438-8349"/>
    <s v="Jatri"/>
    <n v="52"/>
    <n v="64"/>
    <n v="54"/>
    <s v="Require"/>
    <n v="64"/>
    <s v="High Priority"/>
    <s v=" 2.40  "/>
    <n v="124.8"/>
    <d v="2024-11-22T00:00:00"/>
    <d v="2024-09-09T00:00:00"/>
    <d v="2024-10-23T00:00:00"/>
    <n v="461"/>
    <n v="535"/>
    <n v="491"/>
    <s v="Expiring Soon"/>
    <s v="5 Armistice Parkway"/>
    <n v="21"/>
    <n v="2620.7999999999997"/>
    <n v="55"/>
    <s v="Backordered"/>
  </r>
  <r>
    <s v="37-709-3532"/>
    <s v="Mushrooms"/>
    <x v="2"/>
    <s v="08-439-3820"/>
    <s v="Demivee"/>
    <n v="79"/>
    <n v="45"/>
    <n v="39"/>
    <s v="Sufficient"/>
    <n v="0"/>
    <s v="Normal"/>
    <s v=" 6.00  "/>
    <n v="474"/>
    <d v="2024-10-29T00:00:00"/>
    <d v="2024-07-11T00:00:00"/>
    <d v="2024-05-11T00:00:00"/>
    <n v="485"/>
    <n v="595"/>
    <n v="656"/>
    <s v="Safe"/>
    <s v="524 Saint Paul Park"/>
    <n v="55"/>
    <n v="26070"/>
    <n v="20"/>
    <s v="Backordered"/>
  </r>
  <r>
    <s v="62-795-7801"/>
    <s v="Palm Oil"/>
    <x v="3"/>
    <s v="08-312-0872"/>
    <s v="Buzzshare"/>
    <n v="35"/>
    <n v="41"/>
    <n v="84"/>
    <s v="Require"/>
    <n v="41"/>
    <s v="Normal"/>
    <s v=" 1.80  "/>
    <n v="63"/>
    <d v="2024-08-17T00:00:00"/>
    <d v="2024-07-28T00:00:00"/>
    <d v="2024-11-23T00:00:00"/>
    <n v="558"/>
    <n v="578"/>
    <n v="460"/>
    <s v="Expiring Soon"/>
    <s v="94451 Arkansas Park"/>
    <n v="62"/>
    <n v="3906"/>
    <n v="14"/>
    <s v="Backordered"/>
  </r>
  <r>
    <s v="98-575-4736"/>
    <s v="Cucumber"/>
    <x v="2"/>
    <s v="44-429-6199"/>
    <s v="Flashset"/>
    <n v="76"/>
    <n v="11"/>
    <n v="15"/>
    <s v="Sufficient"/>
    <n v="0"/>
    <s v="Normal"/>
    <s v=" 1.80  "/>
    <n v="136.80000000000001"/>
    <d v="2024-10-20T00:00:00"/>
    <d v="2024-05-25T00:00:00"/>
    <d v="2024-09-17T00:00:00"/>
    <n v="494"/>
    <n v="642"/>
    <n v="527"/>
    <s v="Expiring Soon"/>
    <s v="83 Pleasure Street"/>
    <n v="22"/>
    <n v="3009.6000000000004"/>
    <n v="91"/>
    <s v="Active"/>
  </r>
  <r>
    <s v="57-861-4379"/>
    <s v="Swiss Cheese"/>
    <x v="4"/>
    <s v="73-383-4390"/>
    <s v="Feedmix"/>
    <n v="93"/>
    <n v="8"/>
    <n v="51"/>
    <s v="Sufficient"/>
    <n v="0"/>
    <s v="Normal"/>
    <s v=" 8.00  "/>
    <n v="744"/>
    <d v="2024-02-28T00:00:00"/>
    <d v="2024-05-15T00:00:00"/>
    <d v="2025-02-04T00:00:00"/>
    <n v="729"/>
    <n v="652"/>
    <n v="387"/>
    <s v="Expiring Soon"/>
    <s v="64407 Marcy Plaza"/>
    <n v="93"/>
    <n v="69192"/>
    <n v="85"/>
    <s v="Backordered"/>
  </r>
  <r>
    <s v="00-119-8780"/>
    <s v="Halibut"/>
    <x v="6"/>
    <s v="14-703-2550"/>
    <s v="Jaxspan"/>
    <n v="40"/>
    <n v="81"/>
    <n v="78"/>
    <s v="Require"/>
    <n v="81"/>
    <s v="High Priority"/>
    <s v=" 20.00  "/>
    <n v="800"/>
    <d v="2025-02-17T00:00:00"/>
    <d v="2024-07-16T00:00:00"/>
    <d v="2024-03-04T00:00:00"/>
    <n v="374"/>
    <n v="590"/>
    <n v="724"/>
    <s v="Safe"/>
    <s v="21 Sunbrook Court"/>
    <n v="39"/>
    <n v="31200"/>
    <n v="65"/>
    <s v="Backordered"/>
  </r>
  <r>
    <s v="28-824-9017"/>
    <s v="Trout"/>
    <x v="6"/>
    <s v="93-712-3934"/>
    <s v="Flipbug"/>
    <n v="19"/>
    <n v="94"/>
    <n v="17"/>
    <s v="Require"/>
    <n v="94"/>
    <s v="High Priority"/>
    <s v=" 11.50  "/>
    <n v="218.5"/>
    <d v="2024-08-22T00:00:00"/>
    <d v="2024-08-06T00:00:00"/>
    <d v="2024-06-14T00:00:00"/>
    <n v="553"/>
    <n v="569"/>
    <n v="622"/>
    <s v="Safe"/>
    <s v="4 Jay Terrace"/>
    <n v="96"/>
    <n v="20976"/>
    <n v="74"/>
    <s v="Discontinued"/>
  </r>
  <r>
    <s v="56-668-5370"/>
    <s v="Vegetable Oil"/>
    <x v="3"/>
    <s v="13-526-1392"/>
    <s v="Vimbo"/>
    <n v="70"/>
    <n v="96"/>
    <n v="21"/>
    <s v="Require"/>
    <n v="96"/>
    <s v="High Priority"/>
    <s v=" 2.00  "/>
    <n v="140"/>
    <d v="2024-11-26T00:00:00"/>
    <d v="2024-10-09T00:00:00"/>
    <d v="2024-08-03T00:00:00"/>
    <n v="457"/>
    <n v="505"/>
    <n v="572"/>
    <s v="Safe"/>
    <s v="05686 Golden Leaf Point"/>
    <n v="100"/>
    <n v="14000"/>
    <n v="15"/>
    <s v="Discontinued"/>
  </r>
  <r>
    <s v="29-756-7042"/>
    <s v="Digestive Biscuit"/>
    <x v="5"/>
    <s v="20-426-2191"/>
    <s v="Dabvine"/>
    <n v="90"/>
    <n v="52"/>
    <n v="50"/>
    <s v="Sufficient"/>
    <n v="0"/>
    <s v="Normal"/>
    <s v=" 4.00  "/>
    <n v="360"/>
    <d v="2024-06-29T00:00:00"/>
    <d v="2024-04-15T00:00:00"/>
    <d v="2024-05-07T00:00:00"/>
    <n v="607"/>
    <n v="682"/>
    <n v="660"/>
    <s v="Safe"/>
    <s v="99 Fair Oaks Circle"/>
    <n v="63"/>
    <n v="22680"/>
    <n v="14"/>
    <s v="Discontinued"/>
  </r>
  <r>
    <s v="41-538-3129"/>
    <s v="Digestive Biscuit"/>
    <x v="5"/>
    <s v="91-589-9007"/>
    <s v="Devshare"/>
    <n v="77"/>
    <n v="79"/>
    <n v="65"/>
    <s v="Require"/>
    <n v="79"/>
    <s v="High Priority"/>
    <s v=" 4.00  "/>
    <n v="308"/>
    <d v="2024-01-09T00:00:00"/>
    <d v="2024-03-17T00:00:00"/>
    <d v="2024-07-31T00:00:00"/>
    <n v="779"/>
    <n v="711"/>
    <n v="575"/>
    <s v="Safe"/>
    <s v="2 Carioca Crossing"/>
    <n v="62"/>
    <n v="19096"/>
    <n v="75"/>
    <s v="Backordered"/>
  </r>
  <r>
    <s v="16-380-0753"/>
    <s v="Apricot"/>
    <x v="2"/>
    <s v="24-603-5521"/>
    <s v="Quinu"/>
    <n v="38"/>
    <n v="22"/>
    <n v="71"/>
    <s v="Sufficient"/>
    <n v="0"/>
    <s v="Normal"/>
    <s v=" 5.00  "/>
    <n v="190"/>
    <d v="2024-07-10T00:00:00"/>
    <d v="2024-05-16T00:00:00"/>
    <d v="2024-05-08T00:00:00"/>
    <n v="596"/>
    <n v="651"/>
    <n v="659"/>
    <s v="Safe"/>
    <s v="701 Logan Court"/>
    <n v="33"/>
    <n v="6270"/>
    <n v="62"/>
    <s v="Active"/>
  </r>
  <r>
    <s v="26-535-4727"/>
    <s v="Tilapia"/>
    <x v="6"/>
    <s v="17-939-1338"/>
    <s v="Jamia"/>
    <n v="93"/>
    <n v="25"/>
    <n v="23"/>
    <s v="Sufficient"/>
    <n v="0"/>
    <s v="Normal"/>
    <s v=" 7.00  "/>
    <n v="651"/>
    <d v="2024-06-21T00:00:00"/>
    <d v="2024-08-17T00:00:00"/>
    <d v="2024-04-29T00:00:00"/>
    <n v="615"/>
    <n v="558"/>
    <n v="668"/>
    <s v="Safe"/>
    <s v="4 Darwin Circle"/>
    <n v="72"/>
    <n v="46872"/>
    <n v="83"/>
    <s v="Backordered"/>
  </r>
  <r>
    <s v="59-857-6577"/>
    <s v="Evaporated Milk"/>
    <x v="4"/>
    <s v="57-569-7172"/>
    <s v="Blognation"/>
    <n v="23"/>
    <n v="100"/>
    <n v="77"/>
    <s v="Require"/>
    <n v="100"/>
    <s v="High Priority"/>
    <s v=" 2.00  "/>
    <n v="46"/>
    <d v="2024-10-05T00:00:00"/>
    <d v="2024-10-08T00:00:00"/>
    <d v="2024-03-04T00:00:00"/>
    <n v="509"/>
    <n v="506"/>
    <n v="724"/>
    <s v="Safe"/>
    <s v="230 Tony Court"/>
    <n v="63"/>
    <n v="2898"/>
    <n v="26"/>
    <s v="Discontinued"/>
  </r>
  <r>
    <s v="14-550-2152"/>
    <s v="Green Tea"/>
    <x v="1"/>
    <s v="60-003-2919"/>
    <s v="Livepath"/>
    <n v="51"/>
    <n v="1"/>
    <n v="61"/>
    <s v="Sufficient"/>
    <n v="0"/>
    <s v="Normal"/>
    <s v=" 7.60  "/>
    <n v="387.59999999999997"/>
    <d v="2024-03-29T00:00:00"/>
    <d v="2024-06-18T00:00:00"/>
    <d v="2024-11-17T00:00:00"/>
    <n v="699"/>
    <n v="618"/>
    <n v="466"/>
    <s v="Expiring Soon"/>
    <s v="3 Forster Point"/>
    <n v="96"/>
    <n v="37209.599999999999"/>
    <n v="26"/>
    <s v="Active"/>
  </r>
  <r>
    <s v="39-315-3936"/>
    <s v="Heavy Cream"/>
    <x v="4"/>
    <s v="99-034-7010"/>
    <s v="Yata"/>
    <n v="57"/>
    <n v="62"/>
    <n v="72"/>
    <s v="Require"/>
    <n v="62"/>
    <s v="High Priority"/>
    <s v=" 4.00  "/>
    <n v="228"/>
    <d v="2025-02-21T00:00:00"/>
    <d v="2024-09-25T00:00:00"/>
    <d v="2024-08-10T00:00:00"/>
    <n v="370"/>
    <n v="519"/>
    <n v="565"/>
    <s v="Safe"/>
    <s v="850 Glacier Hill Drive"/>
    <n v="23"/>
    <n v="5244"/>
    <n v="4"/>
    <s v="Backordered"/>
  </r>
  <r>
    <s v="87-199-2743"/>
    <s v="Papaya"/>
    <x v="2"/>
    <s v="54-907-6531"/>
    <s v="Demivee"/>
    <n v="59"/>
    <n v="74"/>
    <n v="100"/>
    <s v="Require"/>
    <n v="74"/>
    <s v="High Priority"/>
    <s v=" 4.50  "/>
    <n v="265.5"/>
    <d v="2024-03-26T00:00:00"/>
    <d v="2024-09-15T00:00:00"/>
    <d v="2024-11-12T00:00:00"/>
    <n v="702"/>
    <n v="529"/>
    <n v="471"/>
    <s v="Expiring Soon"/>
    <s v="38695 Kenwood Circle"/>
    <n v="63"/>
    <n v="16726.5"/>
    <n v="69"/>
    <s v="Active"/>
  </r>
  <r>
    <s v="60-771-0879"/>
    <s v="Blueberries"/>
    <x v="2"/>
    <s v="90-554-0576"/>
    <s v="Kayveo"/>
    <n v="89"/>
    <n v="15"/>
    <n v="22"/>
    <s v="Sufficient"/>
    <n v="0"/>
    <s v="Normal"/>
    <s v=" 10.00  "/>
    <n v="890"/>
    <d v="2024-11-17T00:00:00"/>
    <d v="2025-11-02T00:00:00"/>
    <d v="2024-05-03T00:00:00"/>
    <n v="466"/>
    <n v="116"/>
    <n v="664"/>
    <s v="Safe"/>
    <s v="9 Karstens Center"/>
    <n v="79"/>
    <n v="70310"/>
    <n v="42"/>
    <s v="Discontinued"/>
  </r>
  <r>
    <s v="00-440-9568"/>
    <s v="Blueberries"/>
    <x v="2"/>
    <s v="43-605-2448"/>
    <s v="Kamba"/>
    <n v="53"/>
    <n v="98"/>
    <n v="25"/>
    <s v="Require"/>
    <n v="98"/>
    <s v="High Priority"/>
    <s v=" 10.00  "/>
    <n v="530"/>
    <d v="2024-09-23T00:00:00"/>
    <d v="2024-04-09T00:00:00"/>
    <d v="2024-12-20T00:00:00"/>
    <n v="521"/>
    <n v="688"/>
    <n v="433"/>
    <s v="Expiring Soon"/>
    <s v="052 Northland Trail"/>
    <n v="55"/>
    <n v="29150"/>
    <n v="51"/>
    <s v="Active"/>
  </r>
  <r>
    <s v="07-074-1196"/>
    <s v="Plum"/>
    <x v="2"/>
    <s v="69-112-6969"/>
    <s v="Skajo"/>
    <n v="11"/>
    <n v="56"/>
    <n v="62"/>
    <s v="Require"/>
    <n v="56"/>
    <s v="Normal"/>
    <s v=" 3.90  "/>
    <n v="42.9"/>
    <d v="2024-04-14T00:00:00"/>
    <d v="2025-10-01T00:00:00"/>
    <d v="2024-10-10T00:00:00"/>
    <n v="683"/>
    <n v="148"/>
    <n v="504"/>
    <s v="Expiring Soon"/>
    <s v="27 New Castle Avenue"/>
    <n v="40"/>
    <n v="1716"/>
    <n v="5"/>
    <s v="Backordered"/>
  </r>
  <r>
    <s v="69-674-5387"/>
    <s v="Yogurt"/>
    <x v="4"/>
    <s v="04-313-0298"/>
    <s v="Miboo"/>
    <n v="59"/>
    <n v="27"/>
    <n v="63"/>
    <s v="Sufficient"/>
    <n v="0"/>
    <s v="Normal"/>
    <s v=" 1.75  "/>
    <n v="103.25"/>
    <d v="2024-06-15T00:00:00"/>
    <d v="2024-06-27T00:00:00"/>
    <d v="2025-02-01T00:00:00"/>
    <n v="621"/>
    <n v="609"/>
    <n v="390"/>
    <s v="Expiring Soon"/>
    <s v="6211 Hanson Terrace"/>
    <n v="92"/>
    <n v="9499"/>
    <n v="82"/>
    <s v="Discontinued"/>
  </r>
  <r>
    <s v="08-940-8578"/>
    <s v="Onion"/>
    <x v="2"/>
    <s v="37-686-1726"/>
    <s v="Oba"/>
    <n v="34"/>
    <n v="29"/>
    <n v="65"/>
    <s v="Sufficient"/>
    <n v="0"/>
    <s v="Normal"/>
    <s v=" 2.00  "/>
    <n v="68"/>
    <d v="2024-03-05T00:00:00"/>
    <d v="2024-04-10T00:00:00"/>
    <d v="2024-11-22T00:00:00"/>
    <n v="723"/>
    <n v="687"/>
    <n v="461"/>
    <s v="Expiring Soon"/>
    <s v="74 Menomonie Point"/>
    <n v="90"/>
    <n v="6120"/>
    <n v="23"/>
    <s v="Discontinued"/>
  </r>
  <r>
    <s v="94-020-6982"/>
    <s v="Tuna"/>
    <x v="6"/>
    <s v="72-649-3163"/>
    <s v="Thoughtstorm"/>
    <n v="25"/>
    <n v="75"/>
    <n v="27"/>
    <s v="Require"/>
    <n v="75"/>
    <s v="High Priority"/>
    <s v=" 18.00  "/>
    <n v="450"/>
    <d v="2025-02-01T00:00:00"/>
    <d v="2024-05-10T00:00:00"/>
    <d v="2024-05-04T00:00:00"/>
    <n v="390"/>
    <n v="657"/>
    <n v="663"/>
    <s v="Safe"/>
    <s v="381 Rutledge Place"/>
    <n v="31"/>
    <n v="13950"/>
    <n v="36"/>
    <s v="Active"/>
  </r>
  <r>
    <s v="42-879-9478"/>
    <s v="Anchovies"/>
    <x v="6"/>
    <s v="00-900-0119"/>
    <s v="Zoonder"/>
    <n v="81"/>
    <n v="22"/>
    <n v="20"/>
    <s v="Sufficient"/>
    <n v="0"/>
    <s v="Normal"/>
    <s v=" 10.00  "/>
    <n v="810"/>
    <d v="2024-01-06T00:00:00"/>
    <d v="2025-02-23T00:00:00"/>
    <d v="2024-08-22T00:00:00"/>
    <n v="782"/>
    <n v="368"/>
    <n v="553"/>
    <s v="Safe"/>
    <s v="86 Porter Junction"/>
    <n v="95"/>
    <n v="76950"/>
    <n v="77"/>
    <s v="Discontinued"/>
  </r>
  <r>
    <s v="00-405-7428"/>
    <s v="Apple"/>
    <x v="2"/>
    <s v="42-746-2717"/>
    <s v="Zava"/>
    <n v="81"/>
    <n v="74"/>
    <n v="45"/>
    <s v="Sufficient"/>
    <n v="0"/>
    <s v="Normal"/>
    <s v=" 3.50  "/>
    <n v="283.5"/>
    <d v="2025-01-20T00:00:00"/>
    <d v="2025-01-27T00:00:00"/>
    <d v="2025-01-12T00:00:00"/>
    <n v="402"/>
    <n v="395"/>
    <n v="410"/>
    <s v="Expiring Soon"/>
    <s v="42 Mallory Court"/>
    <n v="42"/>
    <n v="11907"/>
    <n v="23"/>
    <s v="Discontinued"/>
  </r>
  <r>
    <s v="87-997-0228"/>
    <s v="Watermelon"/>
    <x v="2"/>
    <s v="55-156-6528"/>
    <s v="Topicblab"/>
    <n v="71"/>
    <n v="4"/>
    <n v="37"/>
    <s v="Sufficient"/>
    <n v="0"/>
    <s v="Normal"/>
    <s v=" 3.00  "/>
    <n v="213"/>
    <d v="2024-09-15T00:00:00"/>
    <d v="2024-10-24T00:00:00"/>
    <d v="2024-12-27T00:00:00"/>
    <n v="529"/>
    <n v="490"/>
    <n v="426"/>
    <s v="Expiring Soon"/>
    <s v="26240 Maple Wood Place"/>
    <n v="81"/>
    <n v="17253"/>
    <n v="25"/>
    <s v="Discontinued"/>
  </r>
  <r>
    <s v="05-498-7751"/>
    <s v="Cauliflower"/>
    <x v="2"/>
    <s v="17-963-6051"/>
    <s v="Abata"/>
    <n v="52"/>
    <n v="22"/>
    <n v="37"/>
    <s v="Sufficient"/>
    <n v="0"/>
    <s v="Normal"/>
    <s v=" 2.50  "/>
    <n v="130"/>
    <d v="2024-10-28T00:00:00"/>
    <d v="2024-10-07T00:00:00"/>
    <d v="2024-03-24T00:00:00"/>
    <n v="486"/>
    <n v="507"/>
    <n v="704"/>
    <s v="Safe"/>
    <s v="30408 5th Way"/>
    <n v="56"/>
    <n v="7280"/>
    <n v="44"/>
    <s v="Active"/>
  </r>
  <r>
    <s v="55-631-7937"/>
    <s v="Greek Yogurt"/>
    <x v="4"/>
    <s v="79-508-5241"/>
    <s v="Avamba"/>
    <n v="26"/>
    <n v="54"/>
    <n v="90"/>
    <s v="Require"/>
    <n v="54"/>
    <s v="Normal"/>
    <s v=" 3.00  "/>
    <n v="78"/>
    <d v="2024-10-15T00:00:00"/>
    <d v="2024-06-19T00:00:00"/>
    <d v="2025-01-21T00:00:00"/>
    <n v="499"/>
    <n v="617"/>
    <n v="401"/>
    <s v="Expiring Soon"/>
    <s v="82 Drewry Junction"/>
    <n v="25"/>
    <n v="1950"/>
    <n v="81"/>
    <s v="Active"/>
  </r>
  <r>
    <s v="27-389-3529"/>
    <s v="Haddock"/>
    <x v="6"/>
    <s v="73-201-2803"/>
    <s v="Feedfish"/>
    <n v="84"/>
    <n v="8"/>
    <n v="54"/>
    <s v="Sufficient"/>
    <n v="0"/>
    <s v="Normal"/>
    <s v=" 9.00  "/>
    <n v="756"/>
    <d v="2025-01-14T00:00:00"/>
    <d v="2024-04-23T00:00:00"/>
    <d v="2024-03-09T00:00:00"/>
    <n v="408"/>
    <n v="674"/>
    <n v="719"/>
    <s v="Safe"/>
    <s v="234 Eagle Crest Avenue"/>
    <n v="60"/>
    <n v="45360"/>
    <n v="38"/>
    <s v="Active"/>
  </r>
  <r>
    <s v="84-272-0790"/>
    <s v="Blueberries"/>
    <x v="2"/>
    <s v="00-635-4638"/>
    <s v="Eidel"/>
    <n v="28"/>
    <n v="86"/>
    <n v="44"/>
    <s v="Require"/>
    <n v="86"/>
    <s v="High Priority"/>
    <s v=" 10.00  "/>
    <n v="280"/>
    <d v="2024-05-23T00:00:00"/>
    <d v="2024-11-18T00:00:00"/>
    <d v="2024-07-29T00:00:00"/>
    <n v="644"/>
    <n v="465"/>
    <n v="577"/>
    <s v="Safe"/>
    <s v="53 Caliangt Junction"/>
    <n v="48"/>
    <n v="13440"/>
    <n v="12"/>
    <s v="Backordered"/>
  </r>
  <r>
    <s v="01-903-5373"/>
    <s v="Strawberries"/>
    <x v="2"/>
    <s v="37-902-0286"/>
    <s v="Lazz"/>
    <n v="94"/>
    <n v="77"/>
    <n v="89"/>
    <s v="Sufficient"/>
    <n v="0"/>
    <s v="Normal"/>
    <s v=" 6.00  "/>
    <n v="564"/>
    <d v="2024-09-30T00:00:00"/>
    <d v="2024-06-20T00:00:00"/>
    <d v="2024-06-21T00:00:00"/>
    <n v="514"/>
    <n v="616"/>
    <n v="615"/>
    <s v="Safe"/>
    <s v="32525 Marquette Park"/>
    <n v="40"/>
    <n v="22560"/>
    <n v="84"/>
    <s v="Discontinued"/>
  </r>
  <r>
    <s v="49-311-3063"/>
    <s v="Kiwi"/>
    <x v="2"/>
    <s v="15-947-9718"/>
    <s v="Talane"/>
    <n v="47"/>
    <n v="75"/>
    <n v="53"/>
    <s v="Require"/>
    <n v="75"/>
    <s v="High Priority"/>
    <s v=" 6.00  "/>
    <n v="282"/>
    <d v="2025-06-02T00:00:00"/>
    <d v="2024-03-10T00:00:00"/>
    <d v="2024-07-03T00:00:00"/>
    <n v="269"/>
    <n v="718"/>
    <n v="603"/>
    <s v="Safe"/>
    <s v="71 Bultman Drive"/>
    <n v="70"/>
    <n v="19740"/>
    <n v="20"/>
    <s v="Discontinued"/>
  </r>
  <r>
    <s v="04-277-5245"/>
    <s v="Coconut Sugar"/>
    <x v="0"/>
    <s v="90-175-7764"/>
    <s v="Bubblebox"/>
    <n v="20"/>
    <n v="51"/>
    <n v="21"/>
    <s v="Require"/>
    <n v="51"/>
    <s v="Normal"/>
    <s v=" 5.00  "/>
    <n v="100"/>
    <d v="2024-03-19T00:00:00"/>
    <d v="2024-07-28T00:00:00"/>
    <d v="2024-06-18T00:00:00"/>
    <n v="709"/>
    <n v="578"/>
    <n v="618"/>
    <s v="Safe"/>
    <s v="911 Ridgeway Way"/>
    <n v="71"/>
    <n v="7100"/>
    <n v="26"/>
    <s v="Backordered"/>
  </r>
  <r>
    <s v="04-453-5485"/>
    <s v="Tomato"/>
    <x v="2"/>
    <s v="43-880-2879"/>
    <s v="Quatz"/>
    <n v="84"/>
    <n v="20"/>
    <n v="58"/>
    <s v="Sufficient"/>
    <n v="0"/>
    <s v="Normal"/>
    <s v=" 2.50  "/>
    <n v="210"/>
    <d v="2024-08-04T00:00:00"/>
    <d v="2025-10-01T00:00:00"/>
    <d v="2024-04-02T00:00:00"/>
    <n v="571"/>
    <n v="148"/>
    <n v="695"/>
    <s v="Safe"/>
    <s v="2 Sunbrook Lane"/>
    <n v="86"/>
    <n v="18060"/>
    <n v="64"/>
    <s v="Backordered"/>
  </r>
  <r>
    <s v="42-141-5718"/>
    <s v="Cheese"/>
    <x v="4"/>
    <s v="67-662-3444"/>
    <s v="Mydeo"/>
    <n v="100"/>
    <n v="31"/>
    <n v="43"/>
    <s v="Sufficient"/>
    <n v="0"/>
    <s v="Normal"/>
    <s v=" 9.00  "/>
    <n v="900"/>
    <d v="2024-09-13T00:00:00"/>
    <d v="2025-06-01T00:00:00"/>
    <d v="2024-12-26T00:00:00"/>
    <n v="531"/>
    <n v="270"/>
    <n v="427"/>
    <s v="Expiring Soon"/>
    <s v="1700 Briar Crest Parkway"/>
    <n v="88"/>
    <n v="79200"/>
    <n v="52"/>
    <s v="Backordered"/>
  </r>
  <r>
    <s v="89-602-6755"/>
    <s v="Milk"/>
    <x v="4"/>
    <s v="51-054-3811"/>
    <s v="BlogXS"/>
    <n v="74"/>
    <n v="90"/>
    <n v="26"/>
    <s v="Require"/>
    <n v="90"/>
    <s v="High Priority"/>
    <s v=" 1.00  "/>
    <n v="74"/>
    <d v="2024-05-23T00:00:00"/>
    <d v="2025-07-02T00:00:00"/>
    <d v="2024-07-17T00:00:00"/>
    <n v="644"/>
    <n v="239"/>
    <n v="589"/>
    <s v="Safe"/>
    <s v="4 Bashford Court"/>
    <n v="24"/>
    <n v="1776"/>
    <n v="11"/>
    <s v="Discontinued"/>
  </r>
  <r>
    <s v="15-045-8444"/>
    <s v="Green Coffee"/>
    <x v="1"/>
    <s v="29-143-2001"/>
    <s v="Aibox"/>
    <n v="27"/>
    <n v="12"/>
    <n v="93"/>
    <s v="Sufficient"/>
    <n v="0"/>
    <s v="Normal"/>
    <s v=" 12.00  "/>
    <n v="324"/>
    <d v="2024-04-03T00:00:00"/>
    <d v="2024-12-07T00:00:00"/>
    <d v="2024-03-27T00:00:00"/>
    <n v="694"/>
    <n v="446"/>
    <n v="701"/>
    <s v="Safe"/>
    <s v="97 Thierer Terrace"/>
    <n v="88"/>
    <n v="28512"/>
    <n v="83"/>
    <s v="Discontinued"/>
  </r>
  <r>
    <s v="15-240-6267"/>
    <s v="Eggplant"/>
    <x v="2"/>
    <s v="12-983-3026"/>
    <s v="Mybuzz"/>
    <n v="91"/>
    <n v="55"/>
    <n v="94"/>
    <s v="Sufficient"/>
    <n v="0"/>
    <s v="Normal"/>
    <s v=" 3.00  "/>
    <n v="273"/>
    <d v="2024-11-03T00:00:00"/>
    <d v="2024-10-04T00:00:00"/>
    <d v="2024-04-26T00:00:00"/>
    <n v="480"/>
    <n v="510"/>
    <n v="671"/>
    <s v="Safe"/>
    <s v="25784 Old Gate Crossing"/>
    <n v="42"/>
    <n v="11466"/>
    <n v="93"/>
    <s v="Active"/>
  </r>
  <r>
    <s v="05-193-8096"/>
    <s v="Grapes"/>
    <x v="2"/>
    <s v="86-709-5618"/>
    <s v="Rhynoodle"/>
    <n v="82"/>
    <n v="21"/>
    <n v="85"/>
    <s v="Sufficient"/>
    <n v="0"/>
    <s v="Normal"/>
    <s v=" 5.50  "/>
    <n v="451"/>
    <d v="2024-04-14T00:00:00"/>
    <d v="2024-03-19T00:00:00"/>
    <d v="2024-07-08T00:00:00"/>
    <n v="683"/>
    <n v="709"/>
    <n v="598"/>
    <s v="Safe"/>
    <s v="38 Rutledge Plaza"/>
    <n v="39"/>
    <n v="17589"/>
    <n v="18"/>
    <s v="Backordered"/>
  </r>
  <r>
    <s v="93-342-8794"/>
    <s v="Bread Flour"/>
    <x v="0"/>
    <s v="93-688-1260"/>
    <s v="Realblab"/>
    <n v="84"/>
    <n v="91"/>
    <n v="86"/>
    <s v="Require"/>
    <n v="91"/>
    <s v="High Priority"/>
    <s v=" 1.50  "/>
    <n v="126"/>
    <d v="2025-08-01T00:00:00"/>
    <d v="2024-07-12T00:00:00"/>
    <d v="2024-11-22T00:00:00"/>
    <n v="209"/>
    <n v="594"/>
    <n v="461"/>
    <s v="Expiring Soon"/>
    <s v="39102 Division Trail"/>
    <n v="83"/>
    <n v="10458"/>
    <n v="95"/>
    <s v="Backordered"/>
  </r>
  <r>
    <s v="83-716-2177"/>
    <s v="Halibut"/>
    <x v="6"/>
    <s v="79-518-8344"/>
    <s v="Linktype"/>
    <n v="18"/>
    <n v="46"/>
    <n v="26"/>
    <s v="Require"/>
    <n v="46"/>
    <s v="Normal"/>
    <s v=" 20.00  "/>
    <n v="360"/>
    <d v="2024-10-04T00:00:00"/>
    <d v="2024-10-10T00:00:00"/>
    <d v="2024-09-13T00:00:00"/>
    <n v="510"/>
    <n v="504"/>
    <n v="531"/>
    <s v="Expiring Soon"/>
    <s v="26266 Esker Point"/>
    <n v="57"/>
    <n v="20520"/>
    <n v="95"/>
    <s v="Backordered"/>
  </r>
  <r>
    <s v="56-635-6764"/>
    <s v="Sourdough Bread"/>
    <x v="5"/>
    <s v="20-257-6927"/>
    <s v="Avamba"/>
    <n v="12"/>
    <n v="59"/>
    <n v="62"/>
    <s v="Require"/>
    <n v="59"/>
    <s v="Normal"/>
    <s v=" 4.50  "/>
    <n v="54"/>
    <d v="2024-03-06T00:00:00"/>
    <d v="2025-01-16T00:00:00"/>
    <d v="2024-08-05T00:00:00"/>
    <n v="722"/>
    <n v="406"/>
    <n v="570"/>
    <s v="Safe"/>
    <s v="744 Green Center"/>
    <n v="75"/>
    <n v="4050"/>
    <n v="92"/>
    <s v="Backordered"/>
  </r>
  <r>
    <s v="10-249-7928"/>
    <s v="Black Rice"/>
    <x v="0"/>
    <s v="69-861-0313"/>
    <s v="Voomm"/>
    <n v="85"/>
    <n v="4"/>
    <n v="75"/>
    <s v="Sufficient"/>
    <n v="0"/>
    <s v="Normal"/>
    <s v=" 6.50  "/>
    <n v="552.5"/>
    <d v="2024-08-18T00:00:00"/>
    <d v="2024-03-04T00:00:00"/>
    <d v="2024-11-03T00:00:00"/>
    <n v="557"/>
    <n v="724"/>
    <n v="480"/>
    <s v="Expiring Soon"/>
    <s v="57598 Russell Center"/>
    <n v="95"/>
    <n v="52487.5"/>
    <n v="70"/>
    <s v="Backordered"/>
  </r>
  <r>
    <s v="65-759-3721"/>
    <s v="Butter Biscuit"/>
    <x v="5"/>
    <s v="21-634-5781"/>
    <s v="Vipe"/>
    <n v="33"/>
    <n v="60"/>
    <n v="67"/>
    <s v="Require"/>
    <n v="60"/>
    <s v="Normal"/>
    <s v=" 6.00  "/>
    <n v="198"/>
    <d v="2024-06-16T00:00:00"/>
    <d v="2024-05-24T00:00:00"/>
    <d v="2024-12-28T00:00:00"/>
    <n v="620"/>
    <n v="643"/>
    <n v="425"/>
    <s v="Expiring Soon"/>
    <s v="315 Acker Alley"/>
    <n v="20"/>
    <n v="3960"/>
    <n v="7"/>
    <s v="Discontinued"/>
  </r>
  <r>
    <s v="08-725-8156"/>
    <s v="Tilapia"/>
    <x v="6"/>
    <s v="32-196-4714"/>
    <s v="Flipopia"/>
    <n v="59"/>
    <n v="59"/>
    <n v="10"/>
    <s v="Require"/>
    <n v="59"/>
    <s v="Normal"/>
    <s v=" 7.00  "/>
    <n v="413"/>
    <d v="2024-08-18T00:00:00"/>
    <d v="2024-10-11T00:00:00"/>
    <d v="2024-03-15T00:00:00"/>
    <n v="557"/>
    <n v="503"/>
    <n v="713"/>
    <s v="Safe"/>
    <s v="73397 Steensland Circle"/>
    <n v="57"/>
    <n v="23541"/>
    <n v="50"/>
    <s v="Active"/>
  </r>
  <r>
    <s v="15-679-3935"/>
    <s v="Grapes"/>
    <x v="2"/>
    <s v="35-906-1010"/>
    <s v="Jabbersphere"/>
    <n v="22"/>
    <n v="69"/>
    <n v="87"/>
    <s v="Require"/>
    <n v="69"/>
    <s v="High Priority"/>
    <s v=" 5.50  "/>
    <n v="121"/>
    <d v="2025-09-02T00:00:00"/>
    <d v="2024-06-15T00:00:00"/>
    <d v="2025-02-20T00:00:00"/>
    <n v="177"/>
    <n v="621"/>
    <n v="371"/>
    <s v="Expiring Soon"/>
    <s v="95 Garrison Plaza"/>
    <n v="34"/>
    <n v="4114"/>
    <n v="26"/>
    <s v="Backordered"/>
  </r>
  <r>
    <s v="81-578-7404"/>
    <s v="Gouda Cheese"/>
    <x v="4"/>
    <s v="90-177-6733"/>
    <s v="Rhyloo"/>
    <n v="67"/>
    <n v="79"/>
    <n v="98"/>
    <s v="Require"/>
    <n v="79"/>
    <s v="High Priority"/>
    <s v=" 7.00  "/>
    <n v="469"/>
    <d v="2025-02-13T00:00:00"/>
    <d v="2024-11-08T00:00:00"/>
    <d v="2024-04-06T00:00:00"/>
    <n v="378"/>
    <n v="475"/>
    <n v="691"/>
    <s v="Safe"/>
    <s v="5989 Longview Drive"/>
    <n v="73"/>
    <n v="34237"/>
    <n v="36"/>
    <s v="Active"/>
  </r>
  <r>
    <s v="82-380-5378"/>
    <s v="Cheese"/>
    <x v="4"/>
    <s v="96-353-3049"/>
    <s v="Oozz"/>
    <n v="78"/>
    <n v="24"/>
    <n v="31"/>
    <s v="Sufficient"/>
    <n v="0"/>
    <s v="Normal"/>
    <s v=" 9.00  "/>
    <n v="702"/>
    <d v="2024-01-06T00:00:00"/>
    <d v="2024-03-06T00:00:00"/>
    <d v="2024-03-07T00:00:00"/>
    <n v="782"/>
    <n v="722"/>
    <n v="721"/>
    <s v="Safe"/>
    <s v="05518 Saint Paul Street"/>
    <n v="60"/>
    <n v="42120"/>
    <n v="41"/>
    <s v="Active"/>
  </r>
  <r>
    <s v="78-362-8578"/>
    <s v="Lemon"/>
    <x v="2"/>
    <s v="57-633-6273"/>
    <s v="Vimbo"/>
    <n v="72"/>
    <n v="32"/>
    <n v="80"/>
    <s v="Sufficient"/>
    <n v="0"/>
    <s v="Normal"/>
    <s v=" 2.45  "/>
    <n v="176.4"/>
    <d v="2024-06-07T00:00:00"/>
    <d v="2024-11-17T00:00:00"/>
    <d v="2024-04-10T00:00:00"/>
    <n v="629"/>
    <n v="466"/>
    <n v="687"/>
    <s v="Safe"/>
    <s v="86 Corben Crossing"/>
    <n v="25"/>
    <n v="4410"/>
    <n v="9"/>
    <s v="Backordered"/>
  </r>
  <r>
    <s v="32-261-0008"/>
    <s v="Heavy Cream"/>
    <x v="4"/>
    <s v="26-073-5798"/>
    <s v="Oyoyo"/>
    <n v="63"/>
    <n v="48"/>
    <n v="22"/>
    <s v="Sufficient"/>
    <n v="0"/>
    <s v="Normal"/>
    <s v=" 4.00  "/>
    <n v="252"/>
    <d v="2024-05-30T00:00:00"/>
    <d v="2025-02-18T00:00:00"/>
    <d v="2024-07-18T00:00:00"/>
    <n v="637"/>
    <n v="373"/>
    <n v="588"/>
    <s v="Safe"/>
    <s v="2 Kingsford Center"/>
    <n v="21"/>
    <n v="5292"/>
    <n v="90"/>
    <s v="Discontinued"/>
  </r>
  <r>
    <s v="74-943-9034"/>
    <s v="White Bread"/>
    <x v="5"/>
    <s v="15-739-5480"/>
    <s v="Tagfeed"/>
    <n v="30"/>
    <n v="91"/>
    <n v="34"/>
    <s v="Require"/>
    <n v="91"/>
    <s v="High Priority"/>
    <s v=" 2.50  "/>
    <n v="75"/>
    <d v="2024-11-07T00:00:00"/>
    <d v="2024-11-18T00:00:00"/>
    <d v="2024-05-06T00:00:00"/>
    <n v="476"/>
    <n v="465"/>
    <n v="661"/>
    <s v="Safe"/>
    <s v="0 Saint Paul Center"/>
    <n v="97"/>
    <n v="7275"/>
    <n v="88"/>
    <s v="Active"/>
  </r>
  <r>
    <s v="86-330-0214"/>
    <s v="Arabica Coffee"/>
    <x v="1"/>
    <s v="87-840-7803"/>
    <s v="Jayo"/>
    <n v="36"/>
    <n v="64"/>
    <n v="63"/>
    <s v="Require"/>
    <n v="64"/>
    <s v="High Priority"/>
    <s v=" 20.00  "/>
    <n v="720"/>
    <d v="2024-03-15T00:00:00"/>
    <d v="2025-02-18T00:00:00"/>
    <d v="2024-03-30T00:00:00"/>
    <n v="713"/>
    <n v="373"/>
    <n v="698"/>
    <s v="Safe"/>
    <s v="5818 Twin Pines Place"/>
    <n v="91"/>
    <n v="65520"/>
    <n v="35"/>
    <s v="Backordered"/>
  </r>
  <r>
    <s v="80-334-0215"/>
    <s v="Grapes"/>
    <x v="2"/>
    <s v="19-156-3869"/>
    <s v="Camimbo"/>
    <n v="88"/>
    <n v="27"/>
    <n v="92"/>
    <s v="Sufficient"/>
    <n v="0"/>
    <s v="Normal"/>
    <s v=" 5.50  "/>
    <n v="484"/>
    <d v="2024-11-27T00:00:00"/>
    <d v="2024-04-30T00:00:00"/>
    <d v="2024-06-22T00:00:00"/>
    <n v="456"/>
    <n v="667"/>
    <n v="614"/>
    <s v="Safe"/>
    <s v="611 Waubesa Circle"/>
    <n v="57"/>
    <n v="27588"/>
    <n v="37"/>
    <s v="Discontinued"/>
  </r>
  <r>
    <s v="48-957-8596"/>
    <s v="Banana"/>
    <x v="2"/>
    <s v="40-817-2222"/>
    <s v="Youfeed"/>
    <n v="95"/>
    <n v="25"/>
    <n v="91"/>
    <s v="Sufficient"/>
    <n v="0"/>
    <s v="Normal"/>
    <s v=" 53.82  "/>
    <n v="5112.8999999999996"/>
    <d v="2024-04-09T00:00:00"/>
    <d v="2024-04-24T00:00:00"/>
    <d v="2024-10-18T00:00:00"/>
    <n v="688"/>
    <n v="673"/>
    <n v="496"/>
    <s v="Expiring Soon"/>
    <s v="3825 Raven Avenue"/>
    <n v="87"/>
    <n v="444822.3"/>
    <n v="5"/>
    <s v="Discontinued"/>
  </r>
  <r>
    <s v="37-246-0018"/>
    <s v="Broccoli"/>
    <x v="2"/>
    <s v="61-907-0994"/>
    <s v="Skilith"/>
    <n v="30"/>
    <n v="59"/>
    <n v="76"/>
    <s v="Require"/>
    <n v="59"/>
    <s v="Normal"/>
    <s v=" 4.00  "/>
    <n v="120"/>
    <d v="2024-03-20T00:00:00"/>
    <d v="2025-01-14T00:00:00"/>
    <d v="2024-04-11T00:00:00"/>
    <n v="708"/>
    <n v="408"/>
    <n v="686"/>
    <s v="Safe"/>
    <s v="52 Alpine Crossing"/>
    <n v="61"/>
    <n v="7320"/>
    <n v="3"/>
    <s v="Discontinued"/>
  </r>
  <r>
    <s v="17-002-4721"/>
    <s v="Green Beans"/>
    <x v="2"/>
    <s v="38-310-4533"/>
    <s v="Omba"/>
    <n v="31"/>
    <n v="55"/>
    <n v="5"/>
    <s v="Require"/>
    <n v="55"/>
    <s v="Normal"/>
    <s v=" 2.00  "/>
    <n v="62"/>
    <d v="2024-10-09T00:00:00"/>
    <d v="2025-02-18T00:00:00"/>
    <d v="2024-10-29T00:00:00"/>
    <n v="505"/>
    <n v="373"/>
    <n v="485"/>
    <s v="Expiring Soon"/>
    <s v="379 Duke Court"/>
    <n v="71"/>
    <n v="4402"/>
    <n v="46"/>
    <s v="Active"/>
  </r>
  <r>
    <s v="47-802-5023"/>
    <s v="Cod"/>
    <x v="6"/>
    <s v="51-010-8144"/>
    <s v="Buzzster"/>
    <n v="16"/>
    <n v="20"/>
    <n v="45"/>
    <s v="Require"/>
    <n v="20"/>
    <s v="Normal"/>
    <s v=" 8.00  "/>
    <n v="128"/>
    <d v="2024-04-30T00:00:00"/>
    <d v="2024-10-18T00:00:00"/>
    <d v="2024-06-07T00:00:00"/>
    <n v="667"/>
    <n v="496"/>
    <n v="629"/>
    <s v="Safe"/>
    <s v="7096 Mcguire Park"/>
    <n v="81"/>
    <n v="10368"/>
    <n v="62"/>
    <s v="Active"/>
  </r>
  <r>
    <s v="22-319-1377"/>
    <s v="White Sugar"/>
    <x v="0"/>
    <s v="82-266-1796"/>
    <s v="Skyba"/>
    <n v="14"/>
    <n v="16"/>
    <n v="93"/>
    <s v="Require"/>
    <n v="16"/>
    <s v="Normal"/>
    <s v=" 2.00  "/>
    <n v="28"/>
    <d v="2024-07-23T00:00:00"/>
    <d v="2024-03-03T00:00:00"/>
    <d v="2024-06-21T00:00:00"/>
    <n v="583"/>
    <n v="725"/>
    <n v="615"/>
    <s v="Safe"/>
    <s v="083 Gulseth Pass"/>
    <n v="39"/>
    <n v="1092"/>
    <n v="30"/>
    <s v="Active"/>
  </r>
  <r>
    <s v="57-903-6434"/>
    <s v="Tomato"/>
    <x v="2"/>
    <s v="30-460-3122"/>
    <s v="Shuffledrive"/>
    <n v="44"/>
    <n v="67"/>
    <n v="15"/>
    <s v="Require"/>
    <n v="67"/>
    <s v="High Priority"/>
    <s v=" 2.50  "/>
    <n v="110"/>
    <d v="2024-03-13T00:00:00"/>
    <d v="2024-10-03T00:00:00"/>
    <d v="2024-03-23T00:00:00"/>
    <n v="715"/>
    <n v="511"/>
    <n v="705"/>
    <s v="Safe"/>
    <s v="34 Linden Court"/>
    <n v="82"/>
    <n v="9020"/>
    <n v="51"/>
    <s v="Active"/>
  </r>
  <r>
    <s v="22-083-3347"/>
    <s v="Long Grain Rice"/>
    <x v="0"/>
    <s v="01-431-7544"/>
    <s v="Yodoo"/>
    <n v="69"/>
    <n v="82"/>
    <n v="58"/>
    <s v="Require"/>
    <n v="82"/>
    <s v="High Priority"/>
    <s v=" 1.50  "/>
    <n v="103.5"/>
    <d v="2024-07-07T00:00:00"/>
    <d v="2024-04-29T00:00:00"/>
    <d v="2024-04-30T00:00:00"/>
    <n v="599"/>
    <n v="668"/>
    <n v="667"/>
    <s v="Safe"/>
    <s v="38 Superior Road"/>
    <n v="34"/>
    <n v="3519"/>
    <n v="22"/>
    <s v="Discontinued"/>
  </r>
  <r>
    <s v="65-145-9672"/>
    <s v="Long Grain Rice"/>
    <x v="0"/>
    <s v="65-068-1200"/>
    <s v="Gigashots"/>
    <n v="71"/>
    <n v="10"/>
    <n v="49"/>
    <s v="Sufficient"/>
    <n v="0"/>
    <s v="Normal"/>
    <s v=" 1.50  "/>
    <n v="106.5"/>
    <d v="2024-11-08T00:00:00"/>
    <d v="2024-03-16T00:00:00"/>
    <d v="2024-05-26T00:00:00"/>
    <n v="475"/>
    <n v="712"/>
    <n v="641"/>
    <s v="Safe"/>
    <s v="8 Dovetail Junction"/>
    <n v="66"/>
    <n v="7029"/>
    <n v="43"/>
    <s v="Active"/>
  </r>
  <r>
    <s v="95-252-9619"/>
    <s v="Carrot"/>
    <x v="2"/>
    <s v="38-819-2922"/>
    <s v="Skynoodle"/>
    <n v="92"/>
    <n v="39"/>
    <n v="50"/>
    <s v="Sufficient"/>
    <n v="0"/>
    <s v="Normal"/>
    <s v=" 1.60  "/>
    <n v="147.20000000000002"/>
    <d v="2024-12-27T00:00:00"/>
    <d v="2024-07-12T00:00:00"/>
    <d v="2024-11-09T00:00:00"/>
    <n v="426"/>
    <n v="594"/>
    <n v="474"/>
    <s v="Expiring Soon"/>
    <s v="57453 Northwestern Alley"/>
    <n v="30"/>
    <n v="4416.0000000000009"/>
    <n v="41"/>
    <s v="Backordered"/>
  </r>
  <r>
    <s v="74-294-3760"/>
    <s v="Peanut Oil"/>
    <x v="3"/>
    <s v="81-233-6894"/>
    <s v="Babblestorm"/>
    <n v="49"/>
    <n v="17"/>
    <n v="54"/>
    <s v="Sufficient"/>
    <n v="0"/>
    <s v="Normal"/>
    <s v=" 4.00  "/>
    <n v="196"/>
    <d v="2024-09-23T00:00:00"/>
    <d v="2024-11-30T00:00:00"/>
    <d v="2024-11-27T00:00:00"/>
    <n v="521"/>
    <n v="453"/>
    <n v="456"/>
    <s v="Expiring Soon"/>
    <s v="0109 Stang Terrace"/>
    <n v="45"/>
    <n v="8820"/>
    <n v="96"/>
    <s v="Discontinued"/>
  </r>
  <r>
    <s v="06-797-4963"/>
    <s v="Pomegranate"/>
    <x v="2"/>
    <s v="41-821-0197"/>
    <s v="Innojam"/>
    <n v="52"/>
    <n v="8"/>
    <n v="37"/>
    <s v="Sufficient"/>
    <n v="0"/>
    <s v="Normal"/>
    <s v=" 6.00  "/>
    <n v="312"/>
    <d v="2024-08-31T00:00:00"/>
    <d v="2024-08-15T00:00:00"/>
    <d v="2024-08-16T00:00:00"/>
    <n v="544"/>
    <n v="560"/>
    <n v="559"/>
    <s v="Safe"/>
    <s v="1008 Welch Street"/>
    <n v="38"/>
    <n v="11856"/>
    <n v="81"/>
    <s v="Active"/>
  </r>
  <r>
    <s v="39-768-8205"/>
    <s v="Egg (Turkey)"/>
    <x v="4"/>
    <s v="07-987-4536"/>
    <s v="Gigabox"/>
    <n v="56"/>
    <n v="97"/>
    <n v="29"/>
    <s v="Require"/>
    <n v="97"/>
    <s v="High Priority"/>
    <s v=" 2.50  "/>
    <n v="140"/>
    <d v="2024-02-28T00:00:00"/>
    <d v="2024-07-17T00:00:00"/>
    <d v="2024-11-29T00:00:00"/>
    <n v="729"/>
    <n v="589"/>
    <n v="454"/>
    <s v="Expiring Soon"/>
    <s v="32 Rigney Terrace"/>
    <n v="82"/>
    <n v="11480"/>
    <n v="100"/>
    <s v="Backordered"/>
  </r>
  <r>
    <s v="03-043-9933"/>
    <s v="Strawberries"/>
    <x v="2"/>
    <s v="48-450-4126"/>
    <s v="Yombu"/>
    <n v="16"/>
    <n v="23"/>
    <n v="76"/>
    <s v="Require"/>
    <n v="23"/>
    <s v="Normal"/>
    <s v=" 6.10  "/>
    <n v="97.6"/>
    <d v="2024-07-21T00:00:00"/>
    <d v="2025-09-02T00:00:00"/>
    <d v="2025-02-08T00:00:00"/>
    <n v="585"/>
    <n v="177"/>
    <n v="383"/>
    <s v="Expiring Soon"/>
    <s v="884 Fieldstone Plaza"/>
    <n v="50"/>
    <n v="4880"/>
    <n v="27"/>
    <s v="Backordered"/>
  </r>
  <r>
    <s v="29-823-6004"/>
    <s v="Zucchini"/>
    <x v="2"/>
    <s v="10-295-7996"/>
    <s v="Trudeo"/>
    <n v="52"/>
    <n v="79"/>
    <n v="87"/>
    <s v="Require"/>
    <n v="79"/>
    <s v="High Priority"/>
    <s v=" 2.50  "/>
    <n v="130"/>
    <d v="2024-11-06T00:00:00"/>
    <d v="2024-04-04T00:00:00"/>
    <d v="2024-03-10T00:00:00"/>
    <n v="477"/>
    <n v="693"/>
    <n v="718"/>
    <s v="Safe"/>
    <s v="3 Lawn Park"/>
    <n v="36"/>
    <n v="4680"/>
    <n v="100"/>
    <s v="Discontinued"/>
  </r>
  <r>
    <s v="40-462-2952"/>
    <s v="Trout"/>
    <x v="6"/>
    <s v="57-323-8059"/>
    <s v="Browsezoom"/>
    <n v="91"/>
    <n v="68"/>
    <n v="80"/>
    <s v="Sufficient"/>
    <n v="0"/>
    <s v="Normal"/>
    <s v=" 11.50  "/>
    <n v="1046.5"/>
    <d v="2024-12-08T00:00:00"/>
    <d v="2024-10-14T00:00:00"/>
    <d v="2024-11-19T00:00:00"/>
    <n v="445"/>
    <n v="500"/>
    <n v="464"/>
    <s v="Expiring Soon"/>
    <s v="0258 Shoshone Center"/>
    <n v="81"/>
    <n v="84766.5"/>
    <n v="85"/>
    <s v="Backordered"/>
  </r>
  <r>
    <s v="71-999-2404"/>
    <s v="Mango"/>
    <x v="2"/>
    <s v="01-285-0018"/>
    <s v="Meezzy"/>
    <n v="58"/>
    <n v="58"/>
    <n v="28"/>
    <s v="Require"/>
    <n v="58"/>
    <s v="Normal"/>
    <s v=" 4.70  "/>
    <n v="272.60000000000002"/>
    <d v="2024-03-18T00:00:00"/>
    <d v="2024-05-08T00:00:00"/>
    <d v="2025-01-29T00:00:00"/>
    <n v="710"/>
    <n v="659"/>
    <n v="393"/>
    <s v="Expiring Soon"/>
    <s v="18 Warrior Circle"/>
    <n v="85"/>
    <n v="23171.000000000004"/>
    <n v="63"/>
    <s v="Active"/>
  </r>
  <r>
    <s v="03-919-9890"/>
    <s v="Halibut"/>
    <x v="6"/>
    <s v="69-289-8783"/>
    <s v="Wikibox"/>
    <n v="47"/>
    <n v="29"/>
    <n v="70"/>
    <s v="Sufficient"/>
    <n v="0"/>
    <s v="Normal"/>
    <s v=" 20.00  "/>
    <n v="940"/>
    <d v="2024-09-08T00:00:00"/>
    <d v="2024-07-12T00:00:00"/>
    <d v="2024-07-25T00:00:00"/>
    <n v="536"/>
    <n v="594"/>
    <n v="581"/>
    <s v="Safe"/>
    <s v="7 Riverside Road"/>
    <n v="61"/>
    <n v="57340"/>
    <n v="44"/>
    <s v="Active"/>
  </r>
  <r>
    <s v="94-525-6925"/>
    <s v="Rye Bread"/>
    <x v="5"/>
    <s v="31-892-6816"/>
    <s v="Kwilith"/>
    <n v="50"/>
    <n v="56"/>
    <n v="63"/>
    <s v="Require"/>
    <n v="56"/>
    <s v="Normal"/>
    <s v=" 3.00  "/>
    <n v="150"/>
    <d v="2024-03-27T00:00:00"/>
    <d v="2024-05-16T00:00:00"/>
    <d v="2024-09-17T00:00:00"/>
    <n v="701"/>
    <n v="651"/>
    <n v="527"/>
    <s v="Expiring Soon"/>
    <s v="667 Arkansas Circle"/>
    <n v="70"/>
    <n v="10500"/>
    <n v="100"/>
    <s v="Discontinued"/>
  </r>
  <r>
    <s v="08-213-2058"/>
    <s v="Sour Cream"/>
    <x v="4"/>
    <s v="13-179-9553"/>
    <s v="Babblestorm"/>
    <n v="43"/>
    <n v="73"/>
    <n v="14"/>
    <s v="Require"/>
    <n v="73"/>
    <s v="High Priority"/>
    <s v=" 4.00  "/>
    <n v="172"/>
    <d v="2024-07-28T00:00:00"/>
    <d v="2024-07-09T00:00:00"/>
    <d v="2024-08-26T00:00:00"/>
    <n v="578"/>
    <n v="597"/>
    <n v="549"/>
    <s v="Expiring Soon"/>
    <s v="33 Clarendon Hill"/>
    <n v="59"/>
    <n v="10148"/>
    <n v="65"/>
    <s v="Active"/>
  </r>
  <r>
    <s v="51-312-8608"/>
    <s v="Cheddar Cheese"/>
    <x v="4"/>
    <s v="06-315-0552"/>
    <s v="Jabbersphere"/>
    <n v="68"/>
    <n v="60"/>
    <n v="21"/>
    <s v="Sufficient"/>
    <n v="0"/>
    <s v="Normal"/>
    <s v=" 8.90  "/>
    <n v="605.20000000000005"/>
    <d v="2024-02-27T00:00:00"/>
    <d v="2024-02-10T00:00:00"/>
    <d v="2024-04-29T00:00:00"/>
    <n v="730"/>
    <n v="747"/>
    <n v="668"/>
    <s v="Safe"/>
    <s v="406 Westridge Alley"/>
    <n v="79"/>
    <n v="47810.8"/>
    <n v="46"/>
    <s v="Active"/>
  </r>
  <r>
    <s v="67-512-9754"/>
    <s v="Egg (Turkey)"/>
    <x v="4"/>
    <s v="35-941-2585"/>
    <s v="DabZ"/>
    <n v="19"/>
    <n v="100"/>
    <n v="83"/>
    <s v="Require"/>
    <n v="100"/>
    <s v="High Priority"/>
    <s v=" 2.50  "/>
    <n v="47.5"/>
    <d v="2024-04-25T00:00:00"/>
    <d v="2024-07-21T00:00:00"/>
    <d v="2024-03-22T00:00:00"/>
    <n v="672"/>
    <n v="585"/>
    <n v="706"/>
    <s v="Safe"/>
    <s v="69 Orin Plaza"/>
    <n v="66"/>
    <n v="3135"/>
    <n v="28"/>
    <s v="Discontinued"/>
  </r>
  <r>
    <s v="45-402-0421"/>
    <s v="Swiss Cheese"/>
    <x v="4"/>
    <s v="87-201-6047"/>
    <s v="Quinu"/>
    <n v="70"/>
    <n v="84"/>
    <n v="72"/>
    <s v="Require"/>
    <n v="84"/>
    <s v="High Priority"/>
    <s v=" 8.00  "/>
    <n v="560"/>
    <d v="2024-07-20T00:00:00"/>
    <d v="2024-08-12T00:00:00"/>
    <d v="2024-07-14T00:00:00"/>
    <n v="586"/>
    <n v="563"/>
    <n v="592"/>
    <s v="Safe"/>
    <s v="36 Longview Street"/>
    <n v="71"/>
    <n v="39760"/>
    <n v="20"/>
    <s v="Active"/>
  </r>
  <r>
    <s v="85-207-4164"/>
    <s v="Eggplant"/>
    <x v="2"/>
    <s v="07-067-3439"/>
    <s v="Tanoodle"/>
    <n v="97"/>
    <n v="20"/>
    <n v="72"/>
    <s v="Sufficient"/>
    <n v="0"/>
    <s v="Normal"/>
    <s v=" 3.00  "/>
    <n v="291"/>
    <d v="2024-02-29T00:00:00"/>
    <d v="2025-06-02T00:00:00"/>
    <d v="2024-12-10T00:00:00"/>
    <n v="728"/>
    <n v="269"/>
    <n v="443"/>
    <s v="Expiring Soon"/>
    <s v="41 Comanche Park"/>
    <n v="29"/>
    <n v="8439"/>
    <n v="59"/>
    <s v="Backordered"/>
  </r>
  <r>
    <s v="72-780-6006"/>
    <s v="Sunflower Oil"/>
    <x v="3"/>
    <s v="81-292-4650"/>
    <s v="Voolith"/>
    <n v="87"/>
    <n v="24"/>
    <n v="19"/>
    <s v="Sufficient"/>
    <n v="0"/>
    <s v="Normal"/>
    <s v=" 2.50  "/>
    <n v="217.5"/>
    <d v="2024-11-05T00:00:00"/>
    <d v="2024-12-13T00:00:00"/>
    <d v="2024-04-17T00:00:00"/>
    <n v="478"/>
    <n v="440"/>
    <n v="680"/>
    <s v="Safe"/>
    <s v="88721 Dawn Crossing"/>
    <n v="83"/>
    <n v="18052.5"/>
    <n v="3"/>
    <s v="Discontinued"/>
  </r>
  <r>
    <s v="93-166-3169"/>
    <s v="White Tea"/>
    <x v="1"/>
    <s v="21-156-0102"/>
    <s v="Viva"/>
    <n v="58"/>
    <n v="81"/>
    <n v="66"/>
    <s v="Require"/>
    <n v="81"/>
    <s v="High Priority"/>
    <s v=" 25.00  "/>
    <n v="1450"/>
    <d v="2024-06-24T00:00:00"/>
    <d v="2025-02-13T00:00:00"/>
    <d v="2025-01-02T00:00:00"/>
    <n v="612"/>
    <n v="378"/>
    <n v="420"/>
    <s v="Expiring Soon"/>
    <s v="339 Crescent Oaks Plaza"/>
    <n v="85"/>
    <n v="123250"/>
    <n v="78"/>
    <s v="Active"/>
  </r>
  <r>
    <s v="21-718-6746"/>
    <s v="Coconut"/>
    <x v="2"/>
    <s v="96-012-3393"/>
    <s v="Eamia"/>
    <n v="16"/>
    <n v="53"/>
    <n v="12"/>
    <s v="Require"/>
    <n v="53"/>
    <s v="Normal"/>
    <s v=" 5.00  "/>
    <n v="80"/>
    <d v="2024-11-06T00:00:00"/>
    <d v="2025-01-20T00:00:00"/>
    <d v="2024-06-06T00:00:00"/>
    <n v="477"/>
    <n v="402"/>
    <n v="630"/>
    <s v="Safe"/>
    <s v="277 Pawling Terrace"/>
    <n v="21"/>
    <n v="1680"/>
    <n v="29"/>
    <s v="Discontinued"/>
  </r>
  <r>
    <s v="93-966-7754"/>
    <s v="Pineapple"/>
    <x v="2"/>
    <s v="78-787-7171"/>
    <s v="Quinu"/>
    <n v="65"/>
    <n v="35"/>
    <n v="3"/>
    <s v="Sufficient"/>
    <n v="0"/>
    <s v="Normal"/>
    <s v=" 3.50  "/>
    <n v="227.5"/>
    <d v="2024-11-08T00:00:00"/>
    <d v="2025-01-18T00:00:00"/>
    <d v="2024-09-27T00:00:00"/>
    <n v="475"/>
    <n v="404"/>
    <n v="517"/>
    <s v="Expiring Soon"/>
    <s v="4 4th Place"/>
    <n v="25"/>
    <n v="5687.5"/>
    <n v="13"/>
    <s v="Active"/>
  </r>
  <r>
    <s v="47-663-5703"/>
    <s v="Basmati Rice"/>
    <x v="0"/>
    <s v="52-062-2916"/>
    <s v="Kanoodle"/>
    <n v="15"/>
    <n v="49"/>
    <n v="40"/>
    <s v="Require"/>
    <n v="49"/>
    <s v="Normal"/>
    <s v=" 4.50  "/>
    <n v="67.5"/>
    <d v="2024-06-12T00:00:00"/>
    <d v="2024-06-14T00:00:00"/>
    <d v="2024-09-14T00:00:00"/>
    <n v="624"/>
    <n v="622"/>
    <n v="530"/>
    <s v="Expiring Soon"/>
    <s v="6500 Raven Drive"/>
    <n v="68"/>
    <n v="4590"/>
    <n v="74"/>
    <s v="Discontinued"/>
  </r>
  <r>
    <s v="34-110-1040"/>
    <s v="Bell Pepper"/>
    <x v="2"/>
    <s v="14-427-6604"/>
    <s v="Leenti"/>
    <n v="75"/>
    <n v="85"/>
    <n v="27"/>
    <s v="Require"/>
    <n v="85"/>
    <s v="High Priority"/>
    <s v=" 4.50  "/>
    <n v="337.5"/>
    <d v="2024-05-30T00:00:00"/>
    <d v="2024-09-06T00:00:00"/>
    <d v="2024-06-24T00:00:00"/>
    <n v="637"/>
    <n v="538"/>
    <n v="612"/>
    <s v="Safe"/>
    <s v="42397 Knutson Place"/>
    <n v="26"/>
    <n v="8775"/>
    <n v="68"/>
    <s v="Discontinued"/>
  </r>
  <r>
    <s v="82-342-7339"/>
    <s v="Vanilla Biscuit"/>
    <x v="5"/>
    <s v="14-325-9173"/>
    <s v="Yozio"/>
    <n v="80"/>
    <n v="61"/>
    <n v="23"/>
    <s v="Sufficient"/>
    <n v="0"/>
    <s v="Normal"/>
    <s v=" 5.50  "/>
    <n v="440"/>
    <d v="2024-07-27T00:00:00"/>
    <d v="2024-07-31T00:00:00"/>
    <d v="2024-03-04T00:00:00"/>
    <n v="579"/>
    <n v="575"/>
    <n v="724"/>
    <s v="Safe"/>
    <s v="317 Anniversary Pass"/>
    <n v="63"/>
    <n v="27720"/>
    <n v="75"/>
    <s v="Backordered"/>
  </r>
  <r>
    <s v="43-670-8544"/>
    <s v="Orange"/>
    <x v="2"/>
    <s v="16-656-4821"/>
    <s v="Camido"/>
    <n v="84"/>
    <n v="95"/>
    <n v="22"/>
    <s v="Require"/>
    <n v="95"/>
    <s v="High Priority"/>
    <s v=" 2.85  "/>
    <n v="239.4"/>
    <d v="2024-06-20T00:00:00"/>
    <d v="2024-05-14T00:00:00"/>
    <d v="2024-10-07T00:00:00"/>
    <n v="616"/>
    <n v="653"/>
    <n v="507"/>
    <s v="Expiring Soon"/>
    <s v="3 Logan Trail"/>
    <n v="48"/>
    <n v="11491.2"/>
    <n v="82"/>
    <s v="Discontinued"/>
  </r>
  <r>
    <s v="12-439-8428"/>
    <s v="Eggplant"/>
    <x v="2"/>
    <s v="43-542-6868"/>
    <s v="Ainyx"/>
    <n v="17"/>
    <n v="3"/>
    <n v="33"/>
    <s v="Sufficient"/>
    <n v="0"/>
    <s v="Normal"/>
    <s v=" 3.00  "/>
    <n v="51"/>
    <d v="2024-03-21T00:00:00"/>
    <d v="2024-09-14T00:00:00"/>
    <d v="2024-05-31T00:00:00"/>
    <n v="707"/>
    <n v="530"/>
    <n v="636"/>
    <s v="Safe"/>
    <s v="6 Rusk Pass"/>
    <n v="49"/>
    <n v="2499"/>
    <n v="17"/>
    <s v="Backordered"/>
  </r>
  <r>
    <s v="49-919-8798"/>
    <s v="Evaporated Milk"/>
    <x v="4"/>
    <s v="82-482-3670"/>
    <s v="Gigabox"/>
    <n v="64"/>
    <n v="31"/>
    <n v="91"/>
    <s v="Sufficient"/>
    <n v="0"/>
    <s v="Normal"/>
    <s v=" 1.90  "/>
    <n v="121.6"/>
    <d v="2024-06-19T00:00:00"/>
    <d v="2024-04-08T00:00:00"/>
    <d v="2024-10-10T00:00:00"/>
    <n v="617"/>
    <n v="689"/>
    <n v="504"/>
    <s v="Expiring Soon"/>
    <s v="3 Dottie Junction"/>
    <n v="85"/>
    <n v="10336"/>
    <n v="42"/>
    <s v="Discontinued"/>
  </r>
  <r>
    <s v="73-567-6194"/>
    <s v="Whipped Cream"/>
    <x v="4"/>
    <s v="81-927-7236"/>
    <s v="Yakitri"/>
    <n v="76"/>
    <n v="81"/>
    <n v="85"/>
    <s v="Require"/>
    <n v="81"/>
    <s v="High Priority"/>
    <s v=" 4.00  "/>
    <n v="304"/>
    <d v="2024-04-03T00:00:00"/>
    <d v="2024-10-12T00:00:00"/>
    <d v="2024-09-08T00:00:00"/>
    <n v="694"/>
    <n v="502"/>
    <n v="536"/>
    <s v="Expiring Soon"/>
    <s v="069 Basil Center"/>
    <n v="65"/>
    <n v="19760"/>
    <n v="68"/>
    <s v="Active"/>
  </r>
  <r>
    <s v="83-573-4586"/>
    <s v="Sesame Oil"/>
    <x v="3"/>
    <s v="91-191-2324"/>
    <s v="Thoughtbeat"/>
    <n v="77"/>
    <n v="95"/>
    <n v="82"/>
    <s v="Require"/>
    <n v="95"/>
    <s v="High Priority"/>
    <s v=" 6.50  "/>
    <n v="500.5"/>
    <d v="2024-04-17T00:00:00"/>
    <d v="2024-10-19T00:00:00"/>
    <d v="2024-07-18T00:00:00"/>
    <n v="680"/>
    <n v="495"/>
    <n v="588"/>
    <s v="Safe"/>
    <s v="84575 Randy Point"/>
    <n v="29"/>
    <n v="14514.5"/>
    <n v="46"/>
    <s v="Backordered"/>
  </r>
  <r>
    <s v="12-798-9401"/>
    <s v="Cream"/>
    <x v="4"/>
    <s v="96-609-6152"/>
    <s v="Thoughtblab"/>
    <n v="18"/>
    <n v="14"/>
    <n v="77"/>
    <s v="Sufficient"/>
    <n v="0"/>
    <s v="Normal"/>
    <s v=" 2.50  "/>
    <n v="45"/>
    <d v="2025-05-01T00:00:00"/>
    <d v="2024-12-05T00:00:00"/>
    <d v="2024-05-25T00:00:00"/>
    <n v="301"/>
    <n v="448"/>
    <n v="642"/>
    <s v="Safe"/>
    <s v="5 Forster Point"/>
    <n v="78"/>
    <n v="3510"/>
    <n v="4"/>
    <s v="Backordered"/>
  </r>
  <r>
    <s v="02-895-7781"/>
    <s v="Coconut Sugar"/>
    <x v="0"/>
    <s v="23-109-2205"/>
    <s v="Tagchat"/>
    <n v="51"/>
    <n v="55"/>
    <n v="76"/>
    <s v="Require"/>
    <n v="55"/>
    <s v="Normal"/>
    <s v=" 5.00  "/>
    <n v="255"/>
    <d v="2025-02-19T00:00:00"/>
    <d v="2024-09-26T00:00:00"/>
    <d v="2025-01-24T00:00:00"/>
    <n v="372"/>
    <n v="518"/>
    <n v="398"/>
    <s v="Expiring Soon"/>
    <s v="2582 Autumn Leaf Park"/>
    <n v="21"/>
    <n v="5355"/>
    <n v="13"/>
    <s v="Discontinued"/>
  </r>
  <r>
    <s v="83-625-3618"/>
    <s v="Asparagus"/>
    <x v="2"/>
    <s v="64-528-9996"/>
    <s v="Realmix"/>
    <n v="68"/>
    <n v="12"/>
    <n v="73"/>
    <s v="Sufficient"/>
    <n v="0"/>
    <s v="Normal"/>
    <s v=" 5.00  "/>
    <n v="340"/>
    <d v="2024-05-08T00:00:00"/>
    <d v="2025-11-01T00:00:00"/>
    <d v="2024-07-04T00:00:00"/>
    <n v="659"/>
    <n v="117"/>
    <n v="602"/>
    <s v="Safe"/>
    <s v="2696 Katie Road"/>
    <n v="84"/>
    <n v="28560"/>
    <n v="95"/>
    <s v="Backordered"/>
  </r>
  <r>
    <s v="89-181-4523"/>
    <s v="Wild Rice"/>
    <x v="0"/>
    <s v="54-749-3622"/>
    <s v="Devbug"/>
    <n v="46"/>
    <n v="6"/>
    <n v="64"/>
    <s v="Sufficient"/>
    <n v="0"/>
    <s v="Normal"/>
    <s v=" 10.00  "/>
    <n v="460"/>
    <d v="2024-07-23T00:00:00"/>
    <d v="2024-06-23T00:00:00"/>
    <d v="2024-12-22T00:00:00"/>
    <n v="583"/>
    <n v="613"/>
    <n v="431"/>
    <s v="Expiring Soon"/>
    <s v="022 Prairie Rose Drive"/>
    <n v="63"/>
    <n v="28980"/>
    <n v="29"/>
    <s v="Discontinued"/>
  </r>
  <r>
    <s v="95-354-8583"/>
    <s v="Long Grain Rice"/>
    <x v="0"/>
    <s v="02-057-9401"/>
    <s v="Meevee"/>
    <n v="98"/>
    <n v="40"/>
    <n v="93"/>
    <s v="Sufficient"/>
    <n v="0"/>
    <s v="Normal"/>
    <s v=" 1.50  "/>
    <n v="147"/>
    <d v="2025-02-19T00:00:00"/>
    <d v="2025-11-02T00:00:00"/>
    <d v="2024-10-20T00:00:00"/>
    <n v="372"/>
    <n v="116"/>
    <n v="494"/>
    <s v="Expiring Soon"/>
    <s v="848 Mariners Cove Junction"/>
    <n v="30"/>
    <n v="4410"/>
    <n v="53"/>
    <s v="Active"/>
  </r>
  <r>
    <s v="90-303-1821"/>
    <s v="Onion"/>
    <x v="2"/>
    <s v="96-786-0667"/>
    <s v="Edgewire"/>
    <n v="50"/>
    <n v="20"/>
    <n v="74"/>
    <s v="Sufficient"/>
    <n v="0"/>
    <s v="Normal"/>
    <s v=" 2.00  "/>
    <n v="100"/>
    <d v="2025-02-13T00:00:00"/>
    <d v="2024-03-08T00:00:00"/>
    <d v="2024-10-05T00:00:00"/>
    <n v="378"/>
    <n v="720"/>
    <n v="509"/>
    <s v="Expiring Soon"/>
    <s v="6435 Burning Wood Drive"/>
    <n v="30"/>
    <n v="3000"/>
    <n v="57"/>
    <s v="Backordered"/>
  </r>
  <r>
    <s v="71-631-5875"/>
    <s v="Salmon"/>
    <x v="6"/>
    <s v="91-859-1733"/>
    <s v="Feedfish"/>
    <n v="88"/>
    <n v="83"/>
    <n v="42"/>
    <s v="Sufficient"/>
    <n v="0"/>
    <s v="Normal"/>
    <s v=" 15.00  "/>
    <n v="1320"/>
    <d v="2024-05-29T00:00:00"/>
    <d v="2024-09-09T00:00:00"/>
    <d v="2024-10-25T00:00:00"/>
    <n v="638"/>
    <n v="535"/>
    <n v="489"/>
    <s v="Expiring Soon"/>
    <s v="13 Loomis Alley"/>
    <n v="61"/>
    <n v="80520"/>
    <n v="59"/>
    <s v="Discontinued"/>
  </r>
  <r>
    <s v="02-275-6061"/>
    <s v="Potato"/>
    <x v="2"/>
    <s v="21-829-0398"/>
    <s v="Edgewire"/>
    <n v="26"/>
    <n v="16"/>
    <n v="69"/>
    <s v="Sufficient"/>
    <n v="0"/>
    <s v="Normal"/>
    <s v=" 1.20  "/>
    <n v="31.2"/>
    <d v="2024-06-30T00:00:00"/>
    <d v="2024-03-26T00:00:00"/>
    <d v="2024-08-19T00:00:00"/>
    <n v="606"/>
    <n v="702"/>
    <n v="556"/>
    <s v="Safe"/>
    <s v="6891 Mandrake Park"/>
    <n v="64"/>
    <n v="1996.8"/>
    <n v="79"/>
    <s v="Discontinued"/>
  </r>
  <r>
    <s v="04-001-1793"/>
    <s v="Green Coffee"/>
    <x v="1"/>
    <s v="29-359-0109"/>
    <s v="Oozz"/>
    <n v="43"/>
    <n v="38"/>
    <n v="63"/>
    <s v="Sufficient"/>
    <n v="0"/>
    <s v="Normal"/>
    <s v=" 12.00  "/>
    <n v="516"/>
    <d v="2024-03-31T00:00:00"/>
    <d v="2025-02-02T00:00:00"/>
    <d v="2024-04-09T00:00:00"/>
    <n v="697"/>
    <n v="389"/>
    <n v="688"/>
    <s v="Safe"/>
    <s v="0 Stoughton Terrace"/>
    <n v="88"/>
    <n v="45408"/>
    <n v="65"/>
    <s v="Backordered"/>
  </r>
  <r>
    <s v="47-749-3277"/>
    <s v="Powdered Sugar"/>
    <x v="0"/>
    <s v="96-551-3929"/>
    <s v="Devbug"/>
    <n v="46"/>
    <n v="20"/>
    <n v="30"/>
    <s v="Sufficient"/>
    <n v="0"/>
    <s v="Normal"/>
    <s v=" 2.50  "/>
    <n v="115"/>
    <d v="2024-06-03T00:00:00"/>
    <d v="2024-02-29T00:00:00"/>
    <d v="2024-09-13T00:00:00"/>
    <n v="633"/>
    <n v="728"/>
    <n v="531"/>
    <s v="Expiring Soon"/>
    <s v="502 Sachs Circle"/>
    <n v="54"/>
    <n v="6210"/>
    <n v="24"/>
    <s v="Backordered"/>
  </r>
  <r>
    <s v="37-666-3902"/>
    <s v="Cauliflower"/>
    <x v="2"/>
    <s v="58-536-6583"/>
    <s v="Meevee"/>
    <n v="19"/>
    <n v="73"/>
    <n v="60"/>
    <s v="Require"/>
    <n v="73"/>
    <s v="High Priority"/>
    <s v=" 2.45  "/>
    <n v="46.550000000000004"/>
    <d v="2024-12-03T00:00:00"/>
    <d v="2024-11-08T00:00:00"/>
    <d v="2024-06-12T00:00:00"/>
    <n v="450"/>
    <n v="475"/>
    <n v="624"/>
    <s v="Safe"/>
    <s v="85276 Lakewood Gardens Alley"/>
    <n v="70"/>
    <n v="3258.5000000000005"/>
    <n v="48"/>
    <s v="Backordered"/>
  </r>
  <r>
    <s v="73-942-0508"/>
    <s v="Kale"/>
    <x v="2"/>
    <s v="37-057-3553"/>
    <s v="Brightbean"/>
    <n v="61"/>
    <n v="100"/>
    <n v="94"/>
    <s v="Require"/>
    <n v="100"/>
    <s v="High Priority"/>
    <s v=" 4.00  "/>
    <n v="244"/>
    <d v="2024-07-20T00:00:00"/>
    <d v="2025-01-14T00:00:00"/>
    <d v="2024-10-04T00:00:00"/>
    <n v="586"/>
    <n v="408"/>
    <n v="510"/>
    <s v="Expiring Soon"/>
    <s v="1034 2nd Point"/>
    <n v="76"/>
    <n v="18544"/>
    <n v="2"/>
    <s v="Backordered"/>
  </r>
  <r>
    <s v="57-359-3397"/>
    <s v="Garlic"/>
    <x v="2"/>
    <s v="54-659-1177"/>
    <s v="Twiyo"/>
    <n v="43"/>
    <n v="40"/>
    <n v="30"/>
    <s v="Sufficient"/>
    <n v="0"/>
    <s v="Normal"/>
    <s v=" 7.00  "/>
    <n v="301"/>
    <d v="2024-07-13T00:00:00"/>
    <d v="2024-02-10T00:00:00"/>
    <d v="2024-12-19T00:00:00"/>
    <n v="593"/>
    <n v="747"/>
    <n v="434"/>
    <s v="Expiring Soon"/>
    <s v="81071 West Alley"/>
    <n v="95"/>
    <n v="28595"/>
    <n v="26"/>
    <s v="Active"/>
  </r>
  <r>
    <s v="46-436-5351"/>
    <s v="Green Tea"/>
    <x v="1"/>
    <s v="07-471-0050"/>
    <s v="Fiveclub"/>
    <n v="80"/>
    <n v="54"/>
    <n v="21"/>
    <s v="Sufficient"/>
    <n v="0"/>
    <s v="Normal"/>
    <s v=" 8.50  "/>
    <n v="680"/>
    <d v="2024-08-24T00:00:00"/>
    <d v="2024-09-30T00:00:00"/>
    <d v="2024-04-16T00:00:00"/>
    <n v="551"/>
    <n v="514"/>
    <n v="681"/>
    <s v="Safe"/>
    <s v="226 Calypso Road"/>
    <n v="81"/>
    <n v="55080"/>
    <n v="37"/>
    <s v="Active"/>
  </r>
  <r>
    <s v="27-881-1177"/>
    <s v="Green Tea"/>
    <x v="1"/>
    <s v="64-807-5250"/>
    <s v="Skalith"/>
    <n v="34"/>
    <n v="47"/>
    <n v="99"/>
    <s v="Require"/>
    <n v="47"/>
    <s v="Normal"/>
    <s v=" 8.00  "/>
    <n v="272"/>
    <d v="2025-01-23T00:00:00"/>
    <d v="2024-03-07T00:00:00"/>
    <d v="2024-11-23T00:00:00"/>
    <n v="399"/>
    <n v="721"/>
    <n v="460"/>
    <s v="Expiring Soon"/>
    <s v="1223 Monument Drive"/>
    <n v="97"/>
    <n v="26384"/>
    <n v="47"/>
    <s v="Backordered"/>
  </r>
  <r>
    <s v="85-237-3505"/>
    <s v="Green Tea"/>
    <x v="1"/>
    <s v="92-296-1266"/>
    <s v="Thoughtsphere"/>
    <n v="88"/>
    <n v="50"/>
    <n v="88"/>
    <s v="Sufficient"/>
    <n v="0"/>
    <s v="Normal"/>
    <s v=" 8.00  "/>
    <n v="704"/>
    <d v="2024-08-23T00:00:00"/>
    <d v="2024-11-13T00:00:00"/>
    <d v="2024-11-03T00:00:00"/>
    <n v="552"/>
    <n v="470"/>
    <n v="480"/>
    <s v="Expiring Soon"/>
    <s v="20073 Northfield Way"/>
    <n v="78"/>
    <n v="54912"/>
    <n v="28"/>
    <s v="Discontinued"/>
  </r>
  <r>
    <s v="80-371-3695"/>
    <s v="Cottage Cheese"/>
    <x v="4"/>
    <s v="42-254-7371"/>
    <s v="Divape"/>
    <n v="89"/>
    <n v="42"/>
    <n v="76"/>
    <s v="Sufficient"/>
    <n v="0"/>
    <s v="Normal"/>
    <s v=" 5.00  "/>
    <n v="445"/>
    <d v="2024-12-15T00:00:00"/>
    <d v="2024-11-30T00:00:00"/>
    <d v="2024-12-10T00:00:00"/>
    <n v="438"/>
    <n v="453"/>
    <n v="443"/>
    <s v="Expiring Soon"/>
    <s v="163 Esch Pass"/>
    <n v="94"/>
    <n v="41830"/>
    <n v="81"/>
    <s v="Backordered"/>
  </r>
  <r>
    <s v="04-758-0410"/>
    <s v="Wild Rice"/>
    <x v="0"/>
    <s v="56-231-2524"/>
    <s v="Wordpedia"/>
    <n v="26"/>
    <n v="21"/>
    <n v="47"/>
    <s v="Sufficient"/>
    <n v="0"/>
    <s v="Normal"/>
    <s v=" 10.00  "/>
    <n v="260"/>
    <d v="2024-03-08T00:00:00"/>
    <d v="2024-08-16T00:00:00"/>
    <d v="2024-05-02T00:00:00"/>
    <n v="720"/>
    <n v="559"/>
    <n v="665"/>
    <s v="Safe"/>
    <s v="5 Toban Circle"/>
    <n v="40"/>
    <n v="10400"/>
    <n v="59"/>
    <s v="Discontinued"/>
  </r>
  <r>
    <s v="65-644-1394"/>
    <s v="Pear"/>
    <x v="2"/>
    <s v="23-280-1300"/>
    <s v="Lazz"/>
    <n v="26"/>
    <n v="95"/>
    <n v="36"/>
    <s v="Require"/>
    <n v="95"/>
    <s v="High Priority"/>
    <s v=" 4.50  "/>
    <n v="117"/>
    <d v="2024-07-29T00:00:00"/>
    <d v="2025-06-01T00:00:00"/>
    <d v="2025-02-10T00:00:00"/>
    <n v="577"/>
    <n v="270"/>
    <n v="381"/>
    <s v="Expiring Soon"/>
    <s v="582 Dahle Center"/>
    <n v="92"/>
    <n v="10764"/>
    <n v="14"/>
    <s v="Active"/>
  </r>
  <r>
    <s v="04-293-6969"/>
    <s v="Peach"/>
    <x v="2"/>
    <s v="69-087-6645"/>
    <s v="Linktype"/>
    <n v="37"/>
    <n v="38"/>
    <n v="24"/>
    <s v="Require"/>
    <n v="38"/>
    <s v="Normal"/>
    <s v=" 4.00  "/>
    <n v="148"/>
    <d v="2024-06-15T00:00:00"/>
    <d v="2024-02-09T00:00:00"/>
    <d v="2024-08-20T00:00:00"/>
    <n v="621"/>
    <n v="748"/>
    <n v="555"/>
    <s v="Safe"/>
    <s v="0 Oak Valley Lane"/>
    <n v="93"/>
    <n v="13764"/>
    <n v="32"/>
    <s v="Active"/>
  </r>
  <r>
    <s v="40-997-2786"/>
    <s v="Yogurt"/>
    <x v="4"/>
    <s v="18-743-4684"/>
    <s v="Browsecat"/>
    <n v="76"/>
    <n v="98"/>
    <n v="41"/>
    <s v="Require"/>
    <n v="98"/>
    <s v="High Priority"/>
    <s v=" 1.75  "/>
    <n v="133"/>
    <d v="2024-11-14T00:00:00"/>
    <d v="2024-05-23T00:00:00"/>
    <d v="2024-10-14T00:00:00"/>
    <n v="469"/>
    <n v="644"/>
    <n v="500"/>
    <s v="Expiring Soon"/>
    <s v="5551 Mallory Lane"/>
    <n v="62"/>
    <n v="8246"/>
    <n v="48"/>
    <s v="Backordered"/>
  </r>
  <r>
    <s v="91-553-1774"/>
    <s v="Feta Cheese"/>
    <x v="4"/>
    <s v="74-943-4552"/>
    <s v="Demivee"/>
    <n v="80"/>
    <n v="43"/>
    <n v="80"/>
    <s v="Sufficient"/>
    <n v="0"/>
    <s v="Normal"/>
    <s v=" 7.00  "/>
    <n v="560"/>
    <d v="2024-06-26T00:00:00"/>
    <d v="2024-05-09T00:00:00"/>
    <d v="2024-04-12T00:00:00"/>
    <n v="610"/>
    <n v="658"/>
    <n v="685"/>
    <s v="Safe"/>
    <s v="84 Washington Crossing"/>
    <n v="64"/>
    <n v="35840"/>
    <n v="53"/>
    <s v="Active"/>
  </r>
  <r>
    <s v="13-980-8804"/>
    <s v="Sweet Potato"/>
    <x v="2"/>
    <s v="20-608-1290"/>
    <s v="Photospace"/>
    <n v="100"/>
    <n v="3"/>
    <n v="32"/>
    <s v="Sufficient"/>
    <n v="0"/>
    <s v="Normal"/>
    <s v=" 2.00  "/>
    <n v="200"/>
    <d v="2024-08-19T00:00:00"/>
    <d v="2024-01-10T00:00:00"/>
    <d v="2025-02-10T00:00:00"/>
    <n v="556"/>
    <n v="778"/>
    <n v="381"/>
    <s v="Expiring Soon"/>
    <s v="41 Nelson Center"/>
    <n v="98"/>
    <n v="19600"/>
    <n v="91"/>
    <s v="Backordered"/>
  </r>
  <r>
    <s v="19-672-8982"/>
    <s v="Butter"/>
    <x v="4"/>
    <s v="50-214-3802"/>
    <s v="Meembee"/>
    <n v="21"/>
    <n v="87"/>
    <n v="67"/>
    <s v="Require"/>
    <n v="87"/>
    <s v="High Priority"/>
    <s v=" 3.10  "/>
    <n v="65.100000000000009"/>
    <d v="2025-03-01T00:00:00"/>
    <d v="2025-01-23T00:00:00"/>
    <d v="2024-03-31T00:00:00"/>
    <n v="362"/>
    <n v="399"/>
    <n v="697"/>
    <s v="Safe"/>
    <s v="285 East Plaza"/>
    <n v="64"/>
    <n v="4166.4000000000005"/>
    <n v="69"/>
    <s v="Discontinued"/>
  </r>
  <r>
    <s v="35-299-0889"/>
    <s v="Coconut Oil"/>
    <x v="3"/>
    <s v="16-776-9987"/>
    <s v="Gevee"/>
    <n v="33"/>
    <n v="78"/>
    <n v="79"/>
    <s v="Require"/>
    <n v="78"/>
    <s v="High Priority"/>
    <s v=" 5.00  "/>
    <n v="165"/>
    <d v="2024-05-11T00:00:00"/>
    <d v="2024-11-07T00:00:00"/>
    <d v="2024-04-21T00:00:00"/>
    <n v="656"/>
    <n v="476"/>
    <n v="676"/>
    <s v="Safe"/>
    <s v="95 Packers Lane"/>
    <n v="60"/>
    <n v="9900"/>
    <n v="25"/>
    <s v="Discontinued"/>
  </r>
  <r>
    <s v="17-022-9721"/>
    <s v="Apple"/>
    <x v="2"/>
    <s v="59-629-0798"/>
    <s v="Chatterpoint"/>
    <n v="43"/>
    <n v="63"/>
    <n v="99"/>
    <s v="Require"/>
    <n v="63"/>
    <s v="High Priority"/>
    <s v=" 3.50  "/>
    <n v="150.5"/>
    <d v="2024-08-11T00:00:00"/>
    <d v="2024-12-13T00:00:00"/>
    <d v="2025-01-12T00:00:00"/>
    <n v="564"/>
    <n v="440"/>
    <n v="410"/>
    <s v="Expiring Soon"/>
    <s v="39 Dahle Alley"/>
    <n v="39"/>
    <n v="5869.5"/>
    <n v="77"/>
    <s v="Discontinued"/>
  </r>
  <r>
    <s v="22-849-2551"/>
    <s v="Mushrooms"/>
    <x v="2"/>
    <s v="14-231-9135"/>
    <s v="Izio"/>
    <n v="34"/>
    <n v="1"/>
    <n v="79"/>
    <s v="Sufficient"/>
    <n v="0"/>
    <s v="Normal"/>
    <s v=" 6.20  "/>
    <n v="210.8"/>
    <d v="2024-12-06T00:00:00"/>
    <d v="2024-12-20T00:00:00"/>
    <d v="2024-09-08T00:00:00"/>
    <n v="447"/>
    <n v="433"/>
    <n v="536"/>
    <s v="Expiring Soon"/>
    <s v="81533 John Wall Court"/>
    <n v="58"/>
    <n v="12226.400000000001"/>
    <n v="36"/>
    <s v="Discontinued"/>
  </r>
  <r>
    <s v="53-050-8242"/>
    <s v="Mackerel"/>
    <x v="6"/>
    <s v="31-163-5871"/>
    <s v="Yodoo"/>
    <n v="82"/>
    <n v="25"/>
    <n v="94"/>
    <s v="Sufficient"/>
    <n v="0"/>
    <s v="Normal"/>
    <s v=" 7.50  "/>
    <n v="615"/>
    <d v="2024-03-30T00:00:00"/>
    <d v="2024-03-16T00:00:00"/>
    <d v="2025-02-15T00:00:00"/>
    <n v="698"/>
    <n v="712"/>
    <n v="376"/>
    <s v="Expiring Soon"/>
    <s v="9 Cordelia Trail"/>
    <n v="66"/>
    <n v="40590"/>
    <n v="14"/>
    <s v="Backordered"/>
  </r>
  <r>
    <s v="88-183-5781"/>
    <s v="Whole Wheat Bread"/>
    <x v="5"/>
    <s v="49-247-1217"/>
    <s v="Lazz"/>
    <n v="17"/>
    <n v="63"/>
    <n v="3"/>
    <s v="Require"/>
    <n v="63"/>
    <s v="High Priority"/>
    <s v=" 3.50  "/>
    <n v="59.5"/>
    <d v="2024-02-08T00:00:00"/>
    <d v="2024-08-24T00:00:00"/>
    <d v="2024-12-27T00:00:00"/>
    <n v="749"/>
    <n v="551"/>
    <n v="426"/>
    <s v="Expiring Soon"/>
    <s v="46 Delaware Place"/>
    <n v="93"/>
    <n v="5533.5"/>
    <n v="26"/>
    <s v="Backordered"/>
  </r>
  <r>
    <s v="09-101-1740"/>
    <s v="Sushi Rice"/>
    <x v="0"/>
    <s v="63-836-1262"/>
    <s v="Talane"/>
    <n v="36"/>
    <n v="81"/>
    <n v="54"/>
    <s v="Require"/>
    <n v="81"/>
    <s v="High Priority"/>
    <s v=" 4.75  "/>
    <n v="171"/>
    <d v="2024-07-07T00:00:00"/>
    <d v="2024-12-20T00:00:00"/>
    <d v="2024-08-31T00:00:00"/>
    <n v="599"/>
    <n v="433"/>
    <n v="544"/>
    <s v="Expiring Soon"/>
    <s v="96629 Nova Plaza"/>
    <n v="73"/>
    <n v="12483"/>
    <n v="60"/>
    <s v="Discontinued"/>
  </r>
  <r>
    <s v="98-445-7372"/>
    <s v="Cod"/>
    <x v="6"/>
    <s v="71-676-6562"/>
    <s v="Roombo"/>
    <n v="65"/>
    <n v="79"/>
    <n v="52"/>
    <s v="Require"/>
    <n v="79"/>
    <s v="High Priority"/>
    <s v=" 8.00  "/>
    <n v="520"/>
    <d v="2024-12-05T00:00:00"/>
    <d v="2024-03-10T00:00:00"/>
    <d v="2024-05-30T00:00:00"/>
    <n v="448"/>
    <n v="718"/>
    <n v="637"/>
    <s v="Safe"/>
    <s v="8531 Manley Court"/>
    <n v="56"/>
    <n v="29120"/>
    <n v="94"/>
    <s v="Discontinued"/>
  </r>
  <r>
    <s v="29-875-6900"/>
    <s v="Papaya"/>
    <x v="2"/>
    <s v="78-098-4468"/>
    <s v="Avaveo"/>
    <n v="45"/>
    <n v="28"/>
    <n v="6"/>
    <s v="Sufficient"/>
    <n v="0"/>
    <s v="Normal"/>
    <s v=" 4.50  "/>
    <n v="202.5"/>
    <d v="2024-03-18T00:00:00"/>
    <d v="2025-01-23T00:00:00"/>
    <d v="2024-08-22T00:00:00"/>
    <n v="710"/>
    <n v="399"/>
    <n v="553"/>
    <s v="Safe"/>
    <s v="2 Sachtjen Park"/>
    <n v="35"/>
    <n v="7087.5"/>
    <n v="16"/>
    <s v="Discontinued"/>
  </r>
  <r>
    <s v="27-757-4489"/>
    <s v="Egg (Goose)"/>
    <x v="4"/>
    <s v="04-456-0715"/>
    <s v="Abatz"/>
    <n v="35"/>
    <n v="78"/>
    <n v="68"/>
    <s v="Require"/>
    <n v="78"/>
    <s v="High Priority"/>
    <s v=" 2.50  "/>
    <n v="87.5"/>
    <d v="2024-12-04T00:00:00"/>
    <d v="2025-01-19T00:00:00"/>
    <d v="2024-07-04T00:00:00"/>
    <n v="449"/>
    <n v="403"/>
    <n v="602"/>
    <s v="Safe"/>
    <s v="27535 Morrow Avenue"/>
    <n v="95"/>
    <n v="8312.5"/>
    <n v="91"/>
    <s v="Discontinued"/>
  </r>
  <r>
    <s v="51-069-0489"/>
    <s v="Bread Flour"/>
    <x v="0"/>
    <s v="19-978-0708"/>
    <s v="Oloo"/>
    <n v="96"/>
    <n v="83"/>
    <n v="50"/>
    <s v="Sufficient"/>
    <n v="0"/>
    <s v="Normal"/>
    <s v=" 1.50  "/>
    <n v="144"/>
    <d v="2024-04-10T00:00:00"/>
    <d v="2024-03-30T00:00:00"/>
    <d v="2024-05-30T00:00:00"/>
    <n v="687"/>
    <n v="698"/>
    <n v="637"/>
    <s v="Safe"/>
    <s v="3 Anthes Place"/>
    <n v="81"/>
    <n v="11664"/>
    <n v="89"/>
    <s v="Discontinued"/>
  </r>
  <r>
    <s v="20-325-1965"/>
    <s v="Coconut"/>
    <x v="2"/>
    <s v="97-155-1262"/>
    <s v="Katz"/>
    <n v="56"/>
    <n v="75"/>
    <n v="13"/>
    <s v="Require"/>
    <n v="75"/>
    <s v="High Priority"/>
    <s v=" 5.00  "/>
    <n v="280"/>
    <d v="2024-04-09T00:00:00"/>
    <d v="2024-04-04T00:00:00"/>
    <d v="2024-05-21T00:00:00"/>
    <n v="688"/>
    <n v="693"/>
    <n v="646"/>
    <s v="Safe"/>
    <s v="78884 Union Street"/>
    <n v="42"/>
    <n v="11760"/>
    <n v="53"/>
    <s v="Backordered"/>
  </r>
  <r>
    <s v="76-090-4411"/>
    <s v="Ricotta Cheese"/>
    <x v="4"/>
    <s v="82-552-6786"/>
    <s v="Shufflester"/>
    <n v="49"/>
    <n v="94"/>
    <n v="18"/>
    <s v="Require"/>
    <n v="94"/>
    <s v="High Priority"/>
    <s v=" 6.00  "/>
    <n v="294"/>
    <d v="2024-12-12T00:00:00"/>
    <d v="2024-10-08T00:00:00"/>
    <d v="2024-04-16T00:00:00"/>
    <n v="441"/>
    <n v="506"/>
    <n v="681"/>
    <s v="Safe"/>
    <s v="15 Loomis Avenue"/>
    <n v="38"/>
    <n v="11172"/>
    <n v="11"/>
    <s v="Active"/>
  </r>
  <r>
    <s v="01-703-8441"/>
    <s v="Raw Sugar"/>
    <x v="0"/>
    <s v="91-216-7668"/>
    <s v="Cogilith"/>
    <n v="100"/>
    <n v="10"/>
    <n v="89"/>
    <s v="Sufficient"/>
    <n v="0"/>
    <s v="Normal"/>
    <s v=" 1.50  "/>
    <n v="150"/>
    <d v="2024-04-23T00:00:00"/>
    <d v="2025-01-01T00:00:00"/>
    <d v="2024-06-21T00:00:00"/>
    <n v="674"/>
    <n v="421"/>
    <n v="615"/>
    <s v="Safe"/>
    <s v="4029 Lotheville Pass"/>
    <n v="76"/>
    <n v="11400"/>
    <n v="38"/>
    <s v="Backordered"/>
  </r>
  <r>
    <s v="09-622-7119"/>
    <s v="Haddock"/>
    <x v="6"/>
    <s v="59-781-3399"/>
    <s v="Youtags"/>
    <n v="30"/>
    <n v="81"/>
    <n v="99"/>
    <s v="Require"/>
    <n v="81"/>
    <s v="High Priority"/>
    <s v=" 9.00  "/>
    <n v="270"/>
    <d v="2024-07-22T00:00:00"/>
    <d v="2025-01-30T00:00:00"/>
    <d v="2024-06-15T00:00:00"/>
    <n v="584"/>
    <n v="392"/>
    <n v="621"/>
    <s v="Safe"/>
    <s v="665 Sommers Circle"/>
    <n v="99"/>
    <n v="26730"/>
    <n v="3"/>
    <s v="Backordered"/>
  </r>
  <r>
    <s v="45-172-7012"/>
    <s v="Papaya"/>
    <x v="2"/>
    <s v="95-721-9228"/>
    <s v="Brightbean"/>
    <n v="20"/>
    <n v="91"/>
    <n v="12"/>
    <s v="Require"/>
    <n v="91"/>
    <s v="High Priority"/>
    <s v=" 4.50  "/>
    <n v="90"/>
    <d v="2024-11-26T00:00:00"/>
    <d v="2024-12-13T00:00:00"/>
    <d v="2024-12-01T00:00:00"/>
    <n v="457"/>
    <n v="440"/>
    <n v="452"/>
    <s v="Expiring Soon"/>
    <s v="11 Kedzie Avenue"/>
    <n v="35"/>
    <n v="3150"/>
    <n v="50"/>
    <s v="Active"/>
  </r>
  <r>
    <s v="06-849-4869"/>
    <s v="Sesame Oil"/>
    <x v="3"/>
    <s v="39-464-7300"/>
    <s v="Rhycero"/>
    <n v="85"/>
    <n v="15"/>
    <n v="16"/>
    <s v="Sufficient"/>
    <n v="0"/>
    <s v="Normal"/>
    <s v=" 6.50  "/>
    <n v="552.5"/>
    <d v="2024-05-13T00:00:00"/>
    <d v="2025-02-19T00:00:00"/>
    <d v="2024-07-15T00:00:00"/>
    <n v="654"/>
    <n v="372"/>
    <n v="591"/>
    <s v="Safe"/>
    <s v="041 Paget Alley"/>
    <n v="46"/>
    <n v="25415"/>
    <n v="24"/>
    <s v="Discontinued"/>
  </r>
  <r>
    <s v="30-996-2526"/>
    <s v="Green Beans"/>
    <x v="2"/>
    <s v="30-942-0054"/>
    <s v="Izio"/>
    <n v="86"/>
    <n v="90"/>
    <n v="39"/>
    <s v="Require"/>
    <n v="90"/>
    <s v="High Priority"/>
    <s v=" 2.10  "/>
    <n v="180.6"/>
    <d v="2024-10-20T00:00:00"/>
    <d v="2024-02-28T00:00:00"/>
    <d v="2024-09-07T00:00:00"/>
    <n v="494"/>
    <n v="729"/>
    <n v="537"/>
    <s v="Expiring Soon"/>
    <s v="77 Monterey Avenue"/>
    <n v="98"/>
    <n v="17698.8"/>
    <n v="85"/>
    <s v="Active"/>
  </r>
  <r>
    <s v="71-074-6292"/>
    <s v="Sourdough Bread"/>
    <x v="5"/>
    <s v="42-201-4495"/>
    <s v="Plajo"/>
    <n v="65"/>
    <n v="79"/>
    <n v="49"/>
    <s v="Require"/>
    <n v="79"/>
    <s v="High Priority"/>
    <s v=" 4.00  "/>
    <n v="260"/>
    <d v="2024-02-04T00:00:00"/>
    <d v="2024-10-06T00:00:00"/>
    <d v="2024-10-17T00:00:00"/>
    <n v="753"/>
    <n v="508"/>
    <n v="497"/>
    <s v="Expiring Soon"/>
    <s v="338 Annamark Court"/>
    <n v="100"/>
    <n v="26000"/>
    <n v="9"/>
    <s v="Discontinued"/>
  </r>
  <r>
    <s v="98-909-9395"/>
    <s v="Cottage Cheese"/>
    <x v="4"/>
    <s v="74-119-5491"/>
    <s v="Feedfire"/>
    <n v="67"/>
    <n v="98"/>
    <n v="92"/>
    <s v="Require"/>
    <n v="98"/>
    <s v="High Priority"/>
    <s v=" 5.00  "/>
    <n v="335"/>
    <d v="2024-04-22T00:00:00"/>
    <d v="2024-08-31T00:00:00"/>
    <d v="2024-12-07T00:00:00"/>
    <n v="675"/>
    <n v="544"/>
    <n v="446"/>
    <s v="Expiring Soon"/>
    <s v="43 Heath Street"/>
    <n v="35"/>
    <n v="11725"/>
    <n v="98"/>
    <s v="Backordered"/>
  </r>
  <r>
    <s v="61-796-6540"/>
    <s v="Ricotta Cheese"/>
    <x v="4"/>
    <s v="40-002-8400"/>
    <s v="Fliptune"/>
    <n v="88"/>
    <n v="4"/>
    <n v="79"/>
    <s v="Sufficient"/>
    <n v="0"/>
    <s v="Normal"/>
    <s v=" 6.00  "/>
    <n v="528"/>
    <d v="2024-04-24T00:00:00"/>
    <d v="2024-02-06T00:00:00"/>
    <d v="2024-08-14T00:00:00"/>
    <n v="673"/>
    <n v="751"/>
    <n v="561"/>
    <s v="Safe"/>
    <s v="126 Spohn Plaza"/>
    <n v="23"/>
    <n v="12144"/>
    <n v="39"/>
    <s v="Discontinued"/>
  </r>
  <r>
    <s v="41-735-9837"/>
    <s v="Robusta Coffee"/>
    <x v="1"/>
    <s v="35-462-7569"/>
    <s v="Devpulse"/>
    <n v="14"/>
    <n v="77"/>
    <n v="78"/>
    <s v="Require"/>
    <n v="77"/>
    <s v="High Priority"/>
    <s v=" 10.00  "/>
    <n v="140"/>
    <d v="2024-02-08T00:00:00"/>
    <d v="2024-08-28T00:00:00"/>
    <d v="2024-09-01T00:00:00"/>
    <n v="749"/>
    <n v="547"/>
    <n v="543"/>
    <s v="Expiring Soon"/>
    <s v="2374 Chive Court"/>
    <n v="32"/>
    <n v="4480"/>
    <n v="24"/>
    <s v="Discontinued"/>
  </r>
  <r>
    <s v="60-343-3288"/>
    <s v="Tilapia"/>
    <x v="6"/>
    <s v="22-940-6543"/>
    <s v="Vipe"/>
    <n v="85"/>
    <n v="92"/>
    <n v="66"/>
    <s v="Require"/>
    <n v="92"/>
    <s v="High Priority"/>
    <s v=" 6.70  "/>
    <n v="569.5"/>
    <d v="2024-03-28T00:00:00"/>
    <d v="2025-01-01T00:00:00"/>
    <d v="2024-05-03T00:00:00"/>
    <n v="700"/>
    <n v="421"/>
    <n v="664"/>
    <s v="Safe"/>
    <s v="6 Hanover Terrace"/>
    <n v="54"/>
    <n v="30753"/>
    <n v="85"/>
    <s v="Backordered"/>
  </r>
  <r>
    <s v="27-783-5470"/>
    <s v="Feta Cheese"/>
    <x v="4"/>
    <s v="45-997-6429"/>
    <s v="Thoughtstorm"/>
    <n v="74"/>
    <n v="65"/>
    <n v="5"/>
    <s v="Sufficient"/>
    <n v="0"/>
    <s v="Normal"/>
    <s v=" 7.00  "/>
    <n v="518"/>
    <d v="2025-01-30T00:00:00"/>
    <d v="2024-07-27T00:00:00"/>
    <d v="2024-03-16T00:00:00"/>
    <n v="392"/>
    <n v="579"/>
    <n v="712"/>
    <s v="Safe"/>
    <s v="6 Tony Junction"/>
    <n v="21"/>
    <n v="10878"/>
    <n v="42"/>
    <s v="Discontinued"/>
  </r>
  <r>
    <s v="60-456-8169"/>
    <s v="Cheddar Cheese"/>
    <x v="4"/>
    <s v="54-529-4459"/>
    <s v="Oyoba"/>
    <n v="21"/>
    <n v="28"/>
    <n v="72"/>
    <s v="Require"/>
    <n v="28"/>
    <s v="Normal"/>
    <s v=" 9.00  "/>
    <n v="189"/>
    <d v="2025-01-28T00:00:00"/>
    <d v="2024-02-28T00:00:00"/>
    <d v="2024-02-25T00:00:00"/>
    <n v="394"/>
    <n v="729"/>
    <n v="732"/>
    <s v="Safe"/>
    <s v="710 Service Park"/>
    <n v="69"/>
    <n v="13041"/>
    <n v="51"/>
    <s v="Backordered"/>
  </r>
  <r>
    <s v="99-420-3592"/>
    <s v="Butter Biscuit"/>
    <x v="5"/>
    <s v="88-647-5082"/>
    <s v="Quatz"/>
    <n v="22"/>
    <n v="24"/>
    <n v="94"/>
    <s v="Require"/>
    <n v="24"/>
    <s v="Normal"/>
    <s v=" 6.00  "/>
    <n v="132"/>
    <d v="2024-07-19T00:00:00"/>
    <d v="2024-07-21T00:00:00"/>
    <d v="2024-11-13T00:00:00"/>
    <n v="587"/>
    <n v="585"/>
    <n v="470"/>
    <s v="Expiring Soon"/>
    <s v="206 Pine View Junction"/>
    <n v="47"/>
    <n v="6204"/>
    <n v="71"/>
    <s v="Active"/>
  </r>
  <r>
    <s v="35-836-6718"/>
    <s v="Ricotta Cheese"/>
    <x v="4"/>
    <s v="27-838-4345"/>
    <s v="Thoughtblab"/>
    <n v="91"/>
    <n v="14"/>
    <n v="99"/>
    <s v="Sufficient"/>
    <n v="0"/>
    <s v="Normal"/>
    <s v=" 6.00  "/>
    <n v="546"/>
    <d v="2025-10-02T00:00:00"/>
    <d v="2025-01-25T00:00:00"/>
    <d v="2025-01-22T00:00:00"/>
    <n v="147"/>
    <n v="397"/>
    <n v="400"/>
    <s v="Expiring Soon"/>
    <s v="05 Canary Circle"/>
    <n v="50"/>
    <n v="27300"/>
    <n v="5"/>
    <s v="Backordered"/>
  </r>
  <r>
    <s v="51-273-4240"/>
    <s v="Multigrain Bread"/>
    <x v="5"/>
    <s v="32-506-0556"/>
    <s v="Devpulse"/>
    <n v="85"/>
    <n v="57"/>
    <n v="25"/>
    <s v="Sufficient"/>
    <n v="0"/>
    <s v="Normal"/>
    <s v=" 3.50  "/>
    <n v="297.5"/>
    <d v="2025-02-18T00:00:00"/>
    <d v="2024-09-26T00:00:00"/>
    <d v="2024-06-20T00:00:00"/>
    <n v="373"/>
    <n v="518"/>
    <n v="616"/>
    <s v="Safe"/>
    <s v="7 Prairieview Place"/>
    <n v="30"/>
    <n v="8925"/>
    <n v="42"/>
    <s v="Discontinued"/>
  </r>
  <r>
    <s v="38-924-3007"/>
    <s v="Peas"/>
    <x v="2"/>
    <s v="83-936-5065"/>
    <s v="Photolist"/>
    <n v="12"/>
    <n v="28"/>
    <n v="11"/>
    <s v="Require"/>
    <n v="28"/>
    <s v="Normal"/>
    <s v=" 3.00  "/>
    <n v="36"/>
    <d v="2024-05-18T00:00:00"/>
    <d v="2025-05-01T00:00:00"/>
    <d v="2024-04-17T00:00:00"/>
    <n v="649"/>
    <n v="301"/>
    <n v="680"/>
    <s v="Safe"/>
    <s v="6 Anthes Court"/>
    <n v="46"/>
    <n v="1656"/>
    <n v="88"/>
    <s v="Backordered"/>
  </r>
  <r>
    <s v="52-123-8039"/>
    <s v="Pomegranate"/>
    <x v="2"/>
    <s v="24-087-5935"/>
    <s v="Browsebug"/>
    <n v="43"/>
    <n v="65"/>
    <n v="66"/>
    <s v="Require"/>
    <n v="65"/>
    <s v="High Priority"/>
    <s v=" 6.00  "/>
    <n v="258"/>
    <d v="2024-12-21T00:00:00"/>
    <d v="2024-03-09T00:00:00"/>
    <d v="2025-01-16T00:00:00"/>
    <n v="432"/>
    <n v="719"/>
    <n v="406"/>
    <s v="Expiring Soon"/>
    <s v="7 Schiller Court"/>
    <n v="78"/>
    <n v="20124"/>
    <n v="73"/>
    <s v="Backordered"/>
  </r>
  <r>
    <s v="34-131-8805"/>
    <s v="Yogurt"/>
    <x v="4"/>
    <s v="84-472-8001"/>
    <s v="Eimbee"/>
    <n v="92"/>
    <n v="92"/>
    <n v="28"/>
    <s v="Require"/>
    <n v="92"/>
    <s v="High Priority"/>
    <s v=" 1.75  "/>
    <n v="161"/>
    <d v="2025-01-21T00:00:00"/>
    <d v="2024-10-09T00:00:00"/>
    <d v="2024-12-22T00:00:00"/>
    <n v="401"/>
    <n v="505"/>
    <n v="431"/>
    <s v="Expiring Soon"/>
    <s v="44249 Sutteridge Crossing"/>
    <n v="50"/>
    <n v="8050"/>
    <n v="67"/>
    <s v="Discontinued"/>
  </r>
  <r>
    <s v="28-505-8317"/>
    <s v="Watermelon"/>
    <x v="2"/>
    <s v="61-755-4469"/>
    <s v="Digitube"/>
    <n v="23"/>
    <n v="85"/>
    <n v="94"/>
    <s v="Require"/>
    <n v="85"/>
    <s v="High Priority"/>
    <s v=" 3.00  "/>
    <n v="69"/>
    <d v="2024-12-10T00:00:00"/>
    <d v="2024-07-23T00:00:00"/>
    <d v="2025-01-28T00:00:00"/>
    <n v="443"/>
    <n v="583"/>
    <n v="394"/>
    <s v="Expiring Soon"/>
    <s v="848 Old Gate Parkway"/>
    <n v="92"/>
    <n v="6348"/>
    <n v="72"/>
    <s v="Backordered"/>
  </r>
  <r>
    <s v="41-594-5069"/>
    <s v="Egg (Duck)"/>
    <x v="4"/>
    <s v="45-471-5053"/>
    <s v="Blogtags"/>
    <n v="77"/>
    <n v="1"/>
    <n v="41"/>
    <s v="Sufficient"/>
    <n v="0"/>
    <s v="Normal"/>
    <s v=" 1.00  "/>
    <n v="77"/>
    <d v="2024-05-11T00:00:00"/>
    <d v="2025-05-02T00:00:00"/>
    <d v="2024-03-21T00:00:00"/>
    <n v="656"/>
    <n v="300"/>
    <n v="707"/>
    <s v="Safe"/>
    <s v="9 Clemons Hill"/>
    <n v="58"/>
    <n v="4466"/>
    <n v="55"/>
    <s v="Discontinued"/>
  </r>
  <r>
    <s v="94-658-4945"/>
    <s v="Sweet Potato"/>
    <x v="2"/>
    <s v="09-153-0763"/>
    <s v="Skibox"/>
    <n v="65"/>
    <n v="10"/>
    <n v="81"/>
    <s v="Sufficient"/>
    <n v="0"/>
    <s v="Normal"/>
    <s v=" 2.00  "/>
    <n v="130"/>
    <d v="2024-08-27T00:00:00"/>
    <d v="2025-12-02T00:00:00"/>
    <d v="2024-05-08T00:00:00"/>
    <n v="548"/>
    <n v="86"/>
    <n v="659"/>
    <s v="Safe"/>
    <s v="15 Veith Circle"/>
    <n v="71"/>
    <n v="9230"/>
    <n v="61"/>
    <s v="Backordered"/>
  </r>
  <r>
    <s v="69-561-2496"/>
    <s v="Banana"/>
    <x v="2"/>
    <s v="38-790-7081"/>
    <s v="Skinix"/>
    <n v="82"/>
    <n v="29"/>
    <n v="62"/>
    <s v="Sufficient"/>
    <n v="0"/>
    <s v="Normal"/>
    <s v=" 15.31  "/>
    <n v="1255.42"/>
    <d v="2024-08-08T00:00:00"/>
    <d v="2024-03-18T00:00:00"/>
    <d v="2024-12-09T00:00:00"/>
    <n v="567"/>
    <n v="710"/>
    <n v="444"/>
    <s v="Expiring Soon"/>
    <s v="154 Delladonna Hill"/>
    <n v="77"/>
    <n v="96667.340000000011"/>
    <n v="27"/>
    <s v="Backordered"/>
  </r>
  <r>
    <s v="98-858-6323"/>
    <s v="Swiss Cheese"/>
    <x v="4"/>
    <s v="79-086-1717"/>
    <s v="Janyx"/>
    <n v="20"/>
    <n v="17"/>
    <n v="71"/>
    <s v="Sufficient"/>
    <n v="0"/>
    <s v="Normal"/>
    <s v=" 8.00  "/>
    <n v="160"/>
    <d v="2024-10-22T00:00:00"/>
    <d v="2025-07-01T00:00:00"/>
    <d v="2024-11-16T00:00:00"/>
    <n v="492"/>
    <n v="240"/>
    <n v="467"/>
    <s v="Expiring Soon"/>
    <s v="80729 Homewood Plaza"/>
    <n v="50"/>
    <n v="8000"/>
    <n v="65"/>
    <s v="Active"/>
  </r>
  <r>
    <s v="92-995-8689"/>
    <s v="Cheddar Cheese"/>
    <x v="4"/>
    <s v="18-682-7828"/>
    <s v="Wordify"/>
    <n v="31"/>
    <n v="65"/>
    <n v="94"/>
    <s v="Require"/>
    <n v="65"/>
    <s v="High Priority"/>
    <s v=" 9.00  "/>
    <n v="279"/>
    <d v="2024-03-12T00:00:00"/>
    <d v="2024-10-17T00:00:00"/>
    <d v="2024-03-06T00:00:00"/>
    <n v="716"/>
    <n v="497"/>
    <n v="722"/>
    <s v="Safe"/>
    <s v="1 Merchant Circle"/>
    <n v="63"/>
    <n v="17577"/>
    <n v="7"/>
    <s v="Backordered"/>
  </r>
  <r>
    <s v="43-164-5984"/>
    <s v="Butter"/>
    <x v="4"/>
    <s v="10-008-6747"/>
    <s v="Shuffletag"/>
    <n v="36"/>
    <n v="75"/>
    <n v="35"/>
    <s v="Require"/>
    <n v="75"/>
    <s v="High Priority"/>
    <s v=" 2.90  "/>
    <n v="104.39999999999999"/>
    <d v="2024-04-13T00:00:00"/>
    <d v="2024-06-17T00:00:00"/>
    <d v="2024-11-23T00:00:00"/>
    <n v="684"/>
    <n v="619"/>
    <n v="460"/>
    <s v="Expiring Soon"/>
    <s v="70862 Lighthouse Bay Junction"/>
    <n v="26"/>
    <n v="2714.3999999999996"/>
    <n v="41"/>
    <s v="Discontinued"/>
  </r>
  <r>
    <s v="58-122-2282"/>
    <s v="Black Tea"/>
    <x v="1"/>
    <s v="55-773-9118"/>
    <s v="Ozu"/>
    <n v="59"/>
    <n v="20"/>
    <n v="17"/>
    <s v="Sufficient"/>
    <n v="0"/>
    <s v="Normal"/>
    <s v=" 5.00  "/>
    <n v="295"/>
    <d v="2024-06-12T00:00:00"/>
    <d v="2024-06-30T00:00:00"/>
    <d v="2024-06-12T00:00:00"/>
    <n v="624"/>
    <n v="606"/>
    <n v="624"/>
    <s v="Safe"/>
    <s v="96 American Ash Center"/>
    <n v="45"/>
    <n v="13275"/>
    <n v="15"/>
    <s v="Discontinued"/>
  </r>
  <r>
    <s v="84-269-9130"/>
    <s v="Long Grain Rice"/>
    <x v="0"/>
    <s v="88-615-2915"/>
    <s v="Flashspan"/>
    <n v="11"/>
    <n v="10"/>
    <n v="80"/>
    <s v="Sufficient"/>
    <n v="0"/>
    <s v="Normal"/>
    <s v=" 1.50  "/>
    <n v="16.5"/>
    <d v="2024-05-06T00:00:00"/>
    <d v="2024-09-27T00:00:00"/>
    <d v="2024-08-02T00:00:00"/>
    <n v="661"/>
    <n v="517"/>
    <n v="573"/>
    <s v="Safe"/>
    <s v="49263 Graceland Pass"/>
    <n v="48"/>
    <n v="792"/>
    <n v="65"/>
    <s v="Discontinued"/>
  </r>
  <r>
    <s v="11-922-3342"/>
    <s v="Black Coffee"/>
    <x v="1"/>
    <s v="33-523-9077"/>
    <s v="Gabspot"/>
    <n v="24"/>
    <n v="77"/>
    <n v="32"/>
    <s v="Require"/>
    <n v="77"/>
    <s v="High Priority"/>
    <s v=" 15.50  "/>
    <n v="372"/>
    <d v="2024-03-18T00:00:00"/>
    <d v="2024-10-06T00:00:00"/>
    <d v="2024-03-04T00:00:00"/>
    <n v="710"/>
    <n v="508"/>
    <n v="724"/>
    <s v="Safe"/>
    <s v="094 Carberry Lane"/>
    <n v="80"/>
    <n v="29760"/>
    <n v="42"/>
    <s v="Discontinued"/>
  </r>
  <r>
    <s v="60-550-4771"/>
    <s v="Haddock"/>
    <x v="6"/>
    <s v="24-568-9517"/>
    <s v="Kwimbee"/>
    <n v="75"/>
    <n v="80"/>
    <n v="87"/>
    <s v="Require"/>
    <n v="80"/>
    <s v="High Priority"/>
    <s v=" 9.00  "/>
    <n v="675"/>
    <d v="2024-06-07T00:00:00"/>
    <d v="2024-03-10T00:00:00"/>
    <d v="2024-08-24T00:00:00"/>
    <n v="629"/>
    <n v="718"/>
    <n v="551"/>
    <s v="Safe"/>
    <s v="1 Monica Lane"/>
    <n v="49"/>
    <n v="33075"/>
    <n v="40"/>
    <s v="Backordered"/>
  </r>
  <r>
    <s v="88-951-9038"/>
    <s v="Black Coffee"/>
    <x v="1"/>
    <s v="14-713-5795"/>
    <s v="Youfeed"/>
    <n v="11"/>
    <n v="72"/>
    <n v="5"/>
    <s v="Require"/>
    <n v="72"/>
    <s v="High Priority"/>
    <s v=" 15.00  "/>
    <n v="165"/>
    <d v="2024-08-07T00:00:00"/>
    <d v="2024-11-10T00:00:00"/>
    <d v="2025-02-11T00:00:00"/>
    <n v="568"/>
    <n v="473"/>
    <n v="380"/>
    <s v="Expiring Soon"/>
    <s v="5 Anderson Trail"/>
    <n v="89"/>
    <n v="14685"/>
    <n v="4"/>
    <s v="Active"/>
  </r>
  <r>
    <s v="08-114-3922"/>
    <s v="Anchovies"/>
    <x v="6"/>
    <s v="19-418-7213"/>
    <s v="Camido"/>
    <n v="60"/>
    <n v="64"/>
    <n v="36"/>
    <s v="Require"/>
    <n v="64"/>
    <s v="High Priority"/>
    <s v=" 10.00  "/>
    <n v="600"/>
    <d v="2024-02-09T00:00:00"/>
    <d v="2024-02-25T00:00:00"/>
    <d v="2025-02-15T00:00:00"/>
    <n v="748"/>
    <n v="732"/>
    <n v="376"/>
    <s v="Expiring Soon"/>
    <s v="709 Vidon Avenue"/>
    <n v="34"/>
    <n v="20400"/>
    <n v="48"/>
    <s v="Discontinued"/>
  </r>
  <r>
    <s v="70-145-2550"/>
    <s v="Lemon"/>
    <x v="2"/>
    <s v="75-849-4524"/>
    <s v="Yata"/>
    <n v="91"/>
    <n v="6"/>
    <n v="37"/>
    <s v="Sufficient"/>
    <n v="0"/>
    <s v="Normal"/>
    <s v=" 2.40  "/>
    <n v="218.4"/>
    <d v="2024-01-05T00:00:00"/>
    <d v="2024-07-08T00:00:00"/>
    <d v="2024-08-06T00:00:00"/>
    <n v="783"/>
    <n v="598"/>
    <n v="569"/>
    <s v="Safe"/>
    <s v="5141 Anniversary Crossing"/>
    <n v="38"/>
    <n v="8299.2000000000007"/>
    <n v="70"/>
    <s v="Backordered"/>
  </r>
  <r>
    <s v="51-761-6320"/>
    <s v="Egg (Goose)"/>
    <x v="4"/>
    <s v="28-461-1136"/>
    <s v="Youopia"/>
    <n v="43"/>
    <n v="78"/>
    <n v="85"/>
    <s v="Require"/>
    <n v="78"/>
    <s v="High Priority"/>
    <s v=" 2.50  "/>
    <n v="107.5"/>
    <d v="2024-09-03T00:00:00"/>
    <d v="2024-08-30T00:00:00"/>
    <d v="2024-06-22T00:00:00"/>
    <n v="541"/>
    <n v="545"/>
    <n v="614"/>
    <s v="Safe"/>
    <s v="587 Vermont Terrace"/>
    <n v="48"/>
    <n v="5160"/>
    <n v="98"/>
    <s v="Backordered"/>
  </r>
  <r>
    <s v="55-803-3964"/>
    <s v="Bread Flour"/>
    <x v="0"/>
    <s v="75-906-1086"/>
    <s v="Demizz"/>
    <n v="25"/>
    <n v="60"/>
    <n v="36"/>
    <s v="Require"/>
    <n v="60"/>
    <s v="Normal"/>
    <s v=" 1.50  "/>
    <n v="37.5"/>
    <d v="2025-02-16T00:00:00"/>
    <d v="2024-08-26T00:00:00"/>
    <d v="2024-10-30T00:00:00"/>
    <n v="375"/>
    <n v="549"/>
    <n v="484"/>
    <s v="Expiring Soon"/>
    <s v="149 Valley Edge Point"/>
    <n v="31"/>
    <n v="1162.5"/>
    <n v="41"/>
    <s v="Backordered"/>
  </r>
  <r>
    <s v="11-815-7923"/>
    <s v="Parmesan Cheese"/>
    <x v="4"/>
    <s v="98-304-8407"/>
    <s v="Rhyloo"/>
    <n v="96"/>
    <n v="9"/>
    <n v="57"/>
    <s v="Sufficient"/>
    <n v="0"/>
    <s v="Normal"/>
    <s v=" 11.80  "/>
    <n v="1132.8000000000002"/>
    <d v="2025-01-26T00:00:00"/>
    <d v="2024-06-16T00:00:00"/>
    <d v="2024-08-06T00:00:00"/>
    <n v="396"/>
    <n v="620"/>
    <n v="569"/>
    <s v="Safe"/>
    <s v="89 Springs Alley"/>
    <n v="78"/>
    <n v="88358.400000000009"/>
    <n v="67"/>
    <s v="Active"/>
  </r>
  <r>
    <s v="83-966-3280"/>
    <s v="Mackerel"/>
    <x v="6"/>
    <s v="50-305-3936"/>
    <s v="Twitterworks"/>
    <n v="30"/>
    <n v="29"/>
    <n v="70"/>
    <s v="Sufficient"/>
    <n v="0"/>
    <s v="Normal"/>
    <s v=" 7.50  "/>
    <n v="225"/>
    <d v="2024-06-22T00:00:00"/>
    <d v="2024-10-13T00:00:00"/>
    <d v="2024-09-20T00:00:00"/>
    <n v="614"/>
    <n v="501"/>
    <n v="524"/>
    <s v="Expiring Soon"/>
    <s v="0743 4th Place"/>
    <n v="80"/>
    <n v="18000"/>
    <n v="43"/>
    <s v="Backordered"/>
  </r>
  <r>
    <s v="29-592-7315"/>
    <s v="Arborio Rice"/>
    <x v="0"/>
    <s v="61-867-3019"/>
    <s v="Dabtype"/>
    <n v="56"/>
    <n v="4"/>
    <n v="74"/>
    <s v="Sufficient"/>
    <n v="0"/>
    <s v="Normal"/>
    <s v=" 4.50  "/>
    <n v="252"/>
    <d v="2024-03-15T00:00:00"/>
    <d v="2024-04-07T00:00:00"/>
    <d v="2024-09-22T00:00:00"/>
    <n v="713"/>
    <n v="690"/>
    <n v="522"/>
    <s v="Expiring Soon"/>
    <s v="21625 Schlimgen Park"/>
    <n v="61"/>
    <n v="15372"/>
    <n v="73"/>
    <s v="Active"/>
  </r>
  <r>
    <s v="65-235-7676"/>
    <s v="Whole Wheat Bread"/>
    <x v="5"/>
    <s v="22-083-3504"/>
    <s v="Quire"/>
    <n v="91"/>
    <n v="71"/>
    <n v="17"/>
    <s v="Sufficient"/>
    <n v="0"/>
    <s v="Normal"/>
    <s v=" 3.50  "/>
    <n v="318.5"/>
    <d v="2025-10-01T00:00:00"/>
    <d v="2024-01-08T00:00:00"/>
    <d v="2024-06-03T00:00:00"/>
    <n v="148"/>
    <n v="780"/>
    <n v="633"/>
    <s v="Safe"/>
    <s v="31208 Westerfield Way"/>
    <n v="74"/>
    <n v="23569"/>
    <n v="57"/>
    <s v="Active"/>
  </r>
  <r>
    <s v="40-683-0283"/>
    <s v="White Sugar"/>
    <x v="0"/>
    <s v="27-060-9944"/>
    <s v="Topicshots"/>
    <n v="27"/>
    <n v="64"/>
    <n v="78"/>
    <s v="Require"/>
    <n v="64"/>
    <s v="High Priority"/>
    <s v=" 2.00  "/>
    <n v="54"/>
    <d v="2024-08-17T00:00:00"/>
    <d v="2024-04-05T00:00:00"/>
    <d v="2024-05-23T00:00:00"/>
    <n v="558"/>
    <n v="692"/>
    <n v="644"/>
    <s v="Safe"/>
    <s v="322 Birchwood Center"/>
    <n v="57"/>
    <n v="3078"/>
    <n v="4"/>
    <s v="Active"/>
  </r>
  <r>
    <s v="83-553-9523"/>
    <s v="Buttermilk"/>
    <x v="4"/>
    <s v="89-976-4338"/>
    <s v="Zoombox"/>
    <n v="28"/>
    <n v="90"/>
    <n v="70"/>
    <s v="Require"/>
    <n v="90"/>
    <s v="High Priority"/>
    <s v=" 2.45  "/>
    <n v="68.600000000000009"/>
    <d v="2024-05-11T00:00:00"/>
    <d v="2025-02-14T00:00:00"/>
    <d v="2025-01-28T00:00:00"/>
    <n v="656"/>
    <n v="377"/>
    <n v="394"/>
    <s v="Expiring Soon"/>
    <s v="84336 Haas Place"/>
    <n v="76"/>
    <n v="5213.6000000000004"/>
    <n v="78"/>
    <s v="Active"/>
  </r>
  <r>
    <s v="40-793-7235"/>
    <s v="Sour Cream"/>
    <x v="4"/>
    <s v="89-048-3542"/>
    <s v="Chatterbridge"/>
    <n v="92"/>
    <n v="67"/>
    <n v="51"/>
    <s v="Sufficient"/>
    <n v="0"/>
    <s v="Normal"/>
    <s v=" 4.00  "/>
    <n v="368"/>
    <d v="2024-05-04T00:00:00"/>
    <d v="2024-09-12T00:00:00"/>
    <d v="2024-05-19T00:00:00"/>
    <n v="663"/>
    <n v="532"/>
    <n v="648"/>
    <s v="Safe"/>
    <s v="68086 Crowley Circle"/>
    <n v="23"/>
    <n v="8464"/>
    <n v="78"/>
    <s v="Discontinued"/>
  </r>
  <r>
    <s v="74-666-5671"/>
    <s v="Tuna"/>
    <x v="6"/>
    <s v="58-657-7257"/>
    <s v="Youspan"/>
    <n v="37"/>
    <n v="33"/>
    <n v="80"/>
    <s v="Sufficient"/>
    <n v="0"/>
    <s v="Normal"/>
    <s v=" 18.00  "/>
    <n v="666"/>
    <d v="2024-12-21T00:00:00"/>
    <d v="2024-10-05T00:00:00"/>
    <d v="2024-05-04T00:00:00"/>
    <n v="432"/>
    <n v="509"/>
    <n v="663"/>
    <s v="Safe"/>
    <s v="11263 Kipling Hill"/>
    <n v="27"/>
    <n v="17982"/>
    <n v="73"/>
    <s v="Backordered"/>
  </r>
  <r>
    <s v="90-865-9150"/>
    <s v="Powdered Sugar"/>
    <x v="0"/>
    <s v="58-053-4926"/>
    <s v="Kazu"/>
    <n v="28"/>
    <n v="24"/>
    <n v="97"/>
    <s v="Sufficient"/>
    <n v="0"/>
    <s v="Normal"/>
    <s v=" 2.50  "/>
    <n v="70"/>
    <d v="2024-09-22T00:00:00"/>
    <d v="2024-12-05T00:00:00"/>
    <d v="2024-07-09T00:00:00"/>
    <n v="522"/>
    <n v="448"/>
    <n v="597"/>
    <s v="Safe"/>
    <s v="00029 Fisk Point"/>
    <n v="82"/>
    <n v="5740"/>
    <n v="5"/>
    <s v="Discontinued"/>
  </r>
  <r>
    <s v="46-255-3073"/>
    <s v="Tilapia"/>
    <x v="6"/>
    <s v="68-230-9130"/>
    <s v="Vinder"/>
    <n v="30"/>
    <n v="42"/>
    <n v="8"/>
    <s v="Require"/>
    <n v="42"/>
    <s v="Normal"/>
    <s v=" 7.00  "/>
    <n v="210"/>
    <d v="2024-02-05T00:00:00"/>
    <d v="2025-06-01T00:00:00"/>
    <d v="2024-07-11T00:00:00"/>
    <n v="752"/>
    <n v="270"/>
    <n v="595"/>
    <s v="Safe"/>
    <s v="57 Eastwood Junction"/>
    <n v="48"/>
    <n v="10080"/>
    <n v="23"/>
    <s v="Active"/>
  </r>
  <r>
    <s v="11-155-7826"/>
    <s v="Arabica Coffee"/>
    <x v="1"/>
    <s v="91-788-3177"/>
    <s v="Feedfire"/>
    <n v="98"/>
    <n v="83"/>
    <n v="5"/>
    <s v="Sufficient"/>
    <n v="0"/>
    <s v="Normal"/>
    <s v=" 20.00  "/>
    <n v="1960"/>
    <d v="2024-06-07T00:00:00"/>
    <d v="2025-01-31T00:00:00"/>
    <d v="2024-12-26T00:00:00"/>
    <n v="629"/>
    <n v="391"/>
    <n v="427"/>
    <s v="Expiring Soon"/>
    <s v="321 Barby Parkway"/>
    <n v="39"/>
    <n v="76440"/>
    <n v="79"/>
    <s v="Active"/>
  </r>
  <r>
    <s v="99-543-5039"/>
    <s v="Lemon"/>
    <x v="2"/>
    <s v="63-683-7396"/>
    <s v="Livetube"/>
    <n v="65"/>
    <n v="88"/>
    <n v="20"/>
    <s v="Require"/>
    <n v="88"/>
    <s v="High Priority"/>
    <s v=" 2.50  "/>
    <n v="162.5"/>
    <d v="2025-01-28T00:00:00"/>
    <d v="2024-11-20T00:00:00"/>
    <d v="2024-07-29T00:00:00"/>
    <n v="394"/>
    <n v="463"/>
    <n v="577"/>
    <s v="Safe"/>
    <s v="71796 Waubesa Terrace"/>
    <n v="89"/>
    <n v="14462.5"/>
    <n v="37"/>
    <s v="Backordered"/>
  </r>
  <r>
    <s v="99-033-5661"/>
    <s v="Rice Flour"/>
    <x v="0"/>
    <s v="32-458-6452"/>
    <s v="Zava"/>
    <n v="42"/>
    <n v="3"/>
    <n v="21"/>
    <s v="Sufficient"/>
    <n v="0"/>
    <s v="Normal"/>
    <s v=" 2.00  "/>
    <n v="84"/>
    <d v="2024-09-19T00:00:00"/>
    <d v="2025-01-27T00:00:00"/>
    <d v="2024-09-25T00:00:00"/>
    <n v="525"/>
    <n v="395"/>
    <n v="519"/>
    <s v="Expiring Soon"/>
    <s v="289 Longview Point"/>
    <n v="35"/>
    <n v="2940"/>
    <n v="22"/>
    <s v="Active"/>
  </r>
  <r>
    <s v="28-608-0039"/>
    <s v="Lemon"/>
    <x v="2"/>
    <s v="26-796-0872"/>
    <s v="Avavee"/>
    <n v="63"/>
    <n v="60"/>
    <n v="54"/>
    <s v="Sufficient"/>
    <n v="0"/>
    <s v="Normal"/>
    <s v=" 2.50  "/>
    <n v="157.5"/>
    <d v="2024-12-26T00:00:00"/>
    <d v="2024-05-21T00:00:00"/>
    <d v="2024-04-15T00:00:00"/>
    <n v="427"/>
    <n v="646"/>
    <n v="682"/>
    <s v="Safe"/>
    <s v="31057 Roth Place"/>
    <n v="33"/>
    <n v="5197.5"/>
    <n v="31"/>
    <s v="Backordered"/>
  </r>
  <r>
    <s v="35-529-2933"/>
    <s v="Broccoli"/>
    <x v="2"/>
    <s v="57-591-6452"/>
    <s v="Jabbersphere"/>
    <n v="85"/>
    <n v="54"/>
    <n v="18"/>
    <s v="Sufficient"/>
    <n v="0"/>
    <s v="Normal"/>
    <s v=" 4.00  "/>
    <n v="340"/>
    <d v="2024-07-28T00:00:00"/>
    <d v="2024-10-23T00:00:00"/>
    <d v="2024-07-13T00:00:00"/>
    <n v="578"/>
    <n v="491"/>
    <n v="593"/>
    <s v="Safe"/>
    <s v="2 School Drive"/>
    <n v="85"/>
    <n v="28900"/>
    <n v="44"/>
    <s v="Discontinued"/>
  </r>
  <r>
    <s v="83-321-7887"/>
    <s v="Egg (Duck)"/>
    <x v="4"/>
    <s v="70-444-9176"/>
    <s v="Yombu"/>
    <n v="44"/>
    <n v="75"/>
    <n v="72"/>
    <s v="Require"/>
    <n v="75"/>
    <s v="High Priority"/>
    <s v=" 1.00  "/>
    <n v="44"/>
    <d v="2024-12-14T00:00:00"/>
    <d v="2024-11-29T00:00:00"/>
    <d v="2024-08-02T00:00:00"/>
    <n v="439"/>
    <n v="454"/>
    <n v="573"/>
    <s v="Safe"/>
    <s v="35598 Fuller Terrace"/>
    <n v="96"/>
    <n v="4224"/>
    <n v="38"/>
    <s v="Discontinued"/>
  </r>
  <r>
    <s v="43-910-2342"/>
    <s v="Plum"/>
    <x v="2"/>
    <s v="06-569-4690"/>
    <s v="Feedspan"/>
    <n v="26"/>
    <n v="69"/>
    <n v="90"/>
    <s v="Require"/>
    <n v="69"/>
    <s v="High Priority"/>
    <s v=" 4.00  "/>
    <n v="104"/>
    <d v="2024-12-12T00:00:00"/>
    <d v="2024-08-06T00:00:00"/>
    <d v="2024-07-19T00:00:00"/>
    <n v="441"/>
    <n v="569"/>
    <n v="587"/>
    <s v="Safe"/>
    <s v="46758 Hallows Center"/>
    <n v="47"/>
    <n v="4888"/>
    <n v="35"/>
    <s v="Active"/>
  </r>
  <r>
    <s v="21-633-8696"/>
    <s v="Coconut Sugar"/>
    <x v="0"/>
    <s v="89-468-2696"/>
    <s v="Topiclounge"/>
    <n v="49"/>
    <n v="59"/>
    <n v="73"/>
    <s v="Require"/>
    <n v="59"/>
    <s v="Normal"/>
    <s v=" 5.00  "/>
    <n v="245"/>
    <d v="2024-04-18T00:00:00"/>
    <d v="2024-06-04T00:00:00"/>
    <d v="2024-05-26T00:00:00"/>
    <n v="679"/>
    <n v="632"/>
    <n v="641"/>
    <s v="Safe"/>
    <s v="08492 Gateway Terrace"/>
    <n v="93"/>
    <n v="22785"/>
    <n v="45"/>
    <s v="Discontinued"/>
  </r>
  <r>
    <s v="76-401-7083"/>
    <s v="Pomegranate"/>
    <x v="2"/>
    <s v="29-156-0691"/>
    <s v="Meeveo"/>
    <n v="59"/>
    <n v="79"/>
    <n v="87"/>
    <s v="Require"/>
    <n v="79"/>
    <s v="High Priority"/>
    <s v=" 6.00  "/>
    <n v="354"/>
    <d v="2024-03-09T00:00:00"/>
    <d v="2024-03-10T00:00:00"/>
    <d v="2024-07-31T00:00:00"/>
    <n v="719"/>
    <n v="718"/>
    <n v="575"/>
    <s v="Safe"/>
    <s v="31892 Pennsylvania Street"/>
    <n v="47"/>
    <n v="16638"/>
    <n v="18"/>
    <s v="Active"/>
  </r>
  <r>
    <s v="92-551-8504"/>
    <s v="Raw Sugar"/>
    <x v="0"/>
    <s v="22-836-5101"/>
    <s v="Livepath"/>
    <n v="19"/>
    <n v="81"/>
    <n v="33"/>
    <s v="Require"/>
    <n v="81"/>
    <s v="High Priority"/>
    <s v=" 1.50  "/>
    <n v="28.5"/>
    <d v="2024-06-29T00:00:00"/>
    <d v="2025-02-22T00:00:00"/>
    <d v="2024-12-24T00:00:00"/>
    <n v="607"/>
    <n v="369"/>
    <n v="429"/>
    <s v="Expiring Soon"/>
    <s v="461 Bluejay Circle"/>
    <n v="39"/>
    <n v="1111.5"/>
    <n v="85"/>
    <s v="Backordered"/>
  </r>
  <r>
    <s v="76-264-0748"/>
    <s v="Eggplant"/>
    <x v="2"/>
    <s v="27-557-2375"/>
    <s v="Roombo"/>
    <n v="47"/>
    <n v="41"/>
    <n v="63"/>
    <s v="Sufficient"/>
    <n v="0"/>
    <s v="Normal"/>
    <s v=" 3.00  "/>
    <n v="141"/>
    <d v="2024-04-15T00:00:00"/>
    <d v="2024-01-06T00:00:00"/>
    <d v="2025-01-09T00:00:00"/>
    <n v="682"/>
    <n v="782"/>
    <n v="413"/>
    <s v="Expiring Soon"/>
    <s v="55 Morning Terrace"/>
    <n v="39"/>
    <n v="5499"/>
    <n v="54"/>
    <s v="Active"/>
  </r>
  <r>
    <s v="88-586-8797"/>
    <s v="Grapes"/>
    <x v="2"/>
    <s v="02-530-5932"/>
    <s v="Edgewire"/>
    <n v="98"/>
    <n v="62"/>
    <n v="97"/>
    <s v="Sufficient"/>
    <n v="0"/>
    <s v="Normal"/>
    <s v=" 5.50  "/>
    <n v="539"/>
    <d v="2024-03-30T00:00:00"/>
    <d v="2024-08-25T00:00:00"/>
    <d v="2025-02-09T00:00:00"/>
    <n v="698"/>
    <n v="550"/>
    <n v="382"/>
    <s v="Expiring Soon"/>
    <s v="9469 Bayside Plaza"/>
    <n v="59"/>
    <n v="31801"/>
    <n v="19"/>
    <s v="Active"/>
  </r>
  <r>
    <s v="21-993-5632"/>
    <s v="Watermelon"/>
    <x v="2"/>
    <s v="26-860-4618"/>
    <s v="Innotype"/>
    <n v="51"/>
    <n v="72"/>
    <n v="85"/>
    <s v="Require"/>
    <n v="72"/>
    <s v="High Priority"/>
    <s v=" 3.00  "/>
    <n v="153"/>
    <d v="2024-03-23T00:00:00"/>
    <d v="2024-04-14T00:00:00"/>
    <d v="2024-10-23T00:00:00"/>
    <n v="705"/>
    <n v="683"/>
    <n v="491"/>
    <s v="Expiring Soon"/>
    <s v="16730 Luster Alley"/>
    <n v="23"/>
    <n v="3519"/>
    <n v="17"/>
    <s v="Active"/>
  </r>
  <r>
    <s v="27-681-5588"/>
    <s v="Anchovies"/>
    <x v="6"/>
    <s v="89-959-2254"/>
    <s v="Flipopia"/>
    <n v="100"/>
    <n v="99"/>
    <n v="8"/>
    <s v="Sufficient"/>
    <n v="0"/>
    <s v="Normal"/>
    <s v=" 10.00  "/>
    <n v="1000"/>
    <d v="2025-02-19T00:00:00"/>
    <d v="2024-10-26T00:00:00"/>
    <d v="2024-12-07T00:00:00"/>
    <n v="372"/>
    <n v="488"/>
    <n v="446"/>
    <s v="Expiring Soon"/>
    <s v="498 Delladonna Drive"/>
    <n v="54"/>
    <n v="54000"/>
    <n v="92"/>
    <s v="Discontinued"/>
  </r>
  <r>
    <s v="23-265-8144"/>
    <s v="Yogurt"/>
    <x v="4"/>
    <s v="31-524-1628"/>
    <s v="Jaxnation"/>
    <n v="55"/>
    <n v="50"/>
    <n v="56"/>
    <s v="Sufficient"/>
    <n v="0"/>
    <s v="Normal"/>
    <s v=" 1.70  "/>
    <n v="93.5"/>
    <d v="2024-01-06T00:00:00"/>
    <d v="2024-09-11T00:00:00"/>
    <d v="2024-10-25T00:00:00"/>
    <n v="782"/>
    <n v="533"/>
    <n v="489"/>
    <s v="Expiring Soon"/>
    <s v="14042 Dottie Avenue"/>
    <n v="62"/>
    <n v="5797"/>
    <n v="26"/>
    <s v="Backordered"/>
  </r>
  <r>
    <s v="26-134-9069"/>
    <s v="Whipped Cream"/>
    <x v="4"/>
    <s v="80-068-0825"/>
    <s v="Devcast"/>
    <n v="14"/>
    <n v="87"/>
    <n v="8"/>
    <s v="Require"/>
    <n v="87"/>
    <s v="High Priority"/>
    <s v=" 4.00  "/>
    <n v="56"/>
    <d v="2024-10-03T00:00:00"/>
    <d v="2024-11-11T00:00:00"/>
    <d v="2025-01-30T00:00:00"/>
    <n v="511"/>
    <n v="472"/>
    <n v="392"/>
    <s v="Expiring Soon"/>
    <s v="4929 Westend Point"/>
    <n v="90"/>
    <n v="5040"/>
    <n v="14"/>
    <s v="Active"/>
  </r>
  <r>
    <s v="76-623-7844"/>
    <s v="Egg (Quail)"/>
    <x v="4"/>
    <s v="84-498-3849"/>
    <s v="Vinte"/>
    <n v="29"/>
    <n v="33"/>
    <n v="88"/>
    <s v="Require"/>
    <n v="33"/>
    <s v="Normal"/>
    <s v=" 0.80  "/>
    <n v="23.200000000000003"/>
    <d v="2024-07-19T00:00:00"/>
    <d v="2024-08-23T00:00:00"/>
    <d v="2024-05-15T00:00:00"/>
    <n v="587"/>
    <n v="552"/>
    <n v="652"/>
    <s v="Safe"/>
    <s v="868 Swallow Point"/>
    <n v="50"/>
    <n v="1160.0000000000002"/>
    <n v="35"/>
    <s v="Discontinued"/>
  </r>
  <r>
    <s v="88-977-0175"/>
    <s v="Chocolate Biscuit"/>
    <x v="5"/>
    <s v="58-087-3463"/>
    <s v="Yodo"/>
    <n v="100"/>
    <n v="1"/>
    <n v="26"/>
    <s v="Sufficient"/>
    <n v="0"/>
    <s v="Normal"/>
    <s v=" 5.00  "/>
    <n v="500"/>
    <d v="2024-02-08T00:00:00"/>
    <d v="2024-03-21T00:00:00"/>
    <d v="2024-07-19T00:00:00"/>
    <n v="749"/>
    <n v="707"/>
    <n v="587"/>
    <s v="Safe"/>
    <s v="7561 5th Terrace"/>
    <n v="47"/>
    <n v="23500"/>
    <n v="79"/>
    <s v="Active"/>
  </r>
  <r>
    <s v="12-714-5135"/>
    <s v="Ricotta Cheese"/>
    <x v="4"/>
    <s v="97-055-2756"/>
    <s v="Janyx"/>
    <n v="49"/>
    <n v="28"/>
    <n v="74"/>
    <s v="Sufficient"/>
    <n v="0"/>
    <s v="Normal"/>
    <s v=" 6.00  "/>
    <n v="294"/>
    <d v="2025-09-01T00:00:00"/>
    <d v="2025-01-14T00:00:00"/>
    <d v="2024-04-25T00:00:00"/>
    <n v="178"/>
    <n v="408"/>
    <n v="672"/>
    <s v="Safe"/>
    <s v="2003 Delladonna Pass"/>
    <n v="70"/>
    <n v="20580"/>
    <n v="38"/>
    <s v="Discontinued"/>
  </r>
  <r>
    <s v="43-153-8268"/>
    <s v="Vegetable Oil"/>
    <x v="3"/>
    <s v="19-809-5654"/>
    <s v="Abata"/>
    <n v="75"/>
    <n v="61"/>
    <n v="19"/>
    <s v="Sufficient"/>
    <n v="0"/>
    <s v="Normal"/>
    <s v=" 2.00  "/>
    <n v="150"/>
    <d v="2025-02-23T00:00:00"/>
    <d v="2025-01-29T00:00:00"/>
    <d v="2024-10-02T00:00:00"/>
    <n v="368"/>
    <n v="393"/>
    <n v="512"/>
    <s v="Expiring Soon"/>
    <s v="29815 Bonner Trail"/>
    <n v="79"/>
    <n v="11850"/>
    <n v="69"/>
    <s v="Backordered"/>
  </r>
  <r>
    <s v="95-130-9020"/>
    <s v="Heavy Cream"/>
    <x v="4"/>
    <s v="75-985-6744"/>
    <s v="Youbridge"/>
    <n v="82"/>
    <n v="12"/>
    <n v="94"/>
    <s v="Sufficient"/>
    <n v="0"/>
    <s v="Normal"/>
    <s v=" 4.10  "/>
    <n v="336.2"/>
    <d v="2024-02-28T00:00:00"/>
    <d v="2024-06-20T00:00:00"/>
    <d v="2025-01-21T00:00:00"/>
    <n v="729"/>
    <n v="616"/>
    <n v="401"/>
    <s v="Expiring Soon"/>
    <s v="2 Canary Street"/>
    <n v="69"/>
    <n v="23197.8"/>
    <n v="93"/>
    <s v="Active"/>
  </r>
  <r>
    <s v="82-678-8097"/>
    <s v="Cottage Cheese"/>
    <x v="4"/>
    <s v="65-403-0311"/>
    <s v="Feedmix"/>
    <n v="68"/>
    <n v="82"/>
    <n v="58"/>
    <s v="Require"/>
    <n v="82"/>
    <s v="High Priority"/>
    <s v=" 4.80  "/>
    <n v="326.39999999999998"/>
    <d v="2024-08-04T00:00:00"/>
    <d v="2024-08-24T00:00:00"/>
    <d v="2024-04-05T00:00:00"/>
    <n v="571"/>
    <n v="551"/>
    <n v="692"/>
    <s v="Safe"/>
    <s v="6172 Hovde Circle"/>
    <n v="90"/>
    <n v="29375.999999999996"/>
    <n v="2"/>
    <s v="Backordered"/>
  </r>
  <r>
    <s v="21-693-8216"/>
    <s v="Corn Oil"/>
    <x v="3"/>
    <s v="62-599-8388"/>
    <s v="Twinte"/>
    <n v="70"/>
    <n v="96"/>
    <n v="85"/>
    <s v="Require"/>
    <n v="96"/>
    <s v="High Priority"/>
    <s v=" 2.50  "/>
    <n v="175"/>
    <d v="2024-02-26T00:00:00"/>
    <d v="2024-03-09T00:00:00"/>
    <d v="2024-10-27T00:00:00"/>
    <n v="731"/>
    <n v="719"/>
    <n v="487"/>
    <s v="Expiring Soon"/>
    <s v="32468 Utah Pass"/>
    <n v="34"/>
    <n v="5950"/>
    <n v="3"/>
    <s v="Active"/>
  </r>
  <r>
    <s v="56-831-6199"/>
    <s v="Salmon"/>
    <x v="6"/>
    <s v="99-680-2351"/>
    <s v="Innojam"/>
    <n v="49"/>
    <n v="48"/>
    <n v="62"/>
    <s v="Sufficient"/>
    <n v="0"/>
    <s v="Normal"/>
    <s v=" 15.00  "/>
    <n v="735"/>
    <d v="2024-09-16T00:00:00"/>
    <d v="2024-02-25T00:00:00"/>
    <d v="2024-08-14T00:00:00"/>
    <n v="528"/>
    <n v="732"/>
    <n v="561"/>
    <s v="Safe"/>
    <s v="1247 Hoard Hill"/>
    <n v="96"/>
    <n v="70560"/>
    <n v="37"/>
    <s v="Active"/>
  </r>
  <r>
    <s v="81-268-5905"/>
    <s v="Mackerel"/>
    <x v="6"/>
    <s v="36-138-9045"/>
    <s v="Kazio"/>
    <n v="89"/>
    <n v="26"/>
    <n v="36"/>
    <s v="Sufficient"/>
    <n v="0"/>
    <s v="Normal"/>
    <s v=" 7.50  "/>
    <n v="667.5"/>
    <d v="2024-10-24T00:00:00"/>
    <d v="2024-07-30T00:00:00"/>
    <d v="2024-06-14T00:00:00"/>
    <n v="490"/>
    <n v="576"/>
    <n v="622"/>
    <s v="Safe"/>
    <s v="85953 Clyde Gallagher Drive"/>
    <n v="48"/>
    <n v="32040"/>
    <n v="94"/>
    <s v="Active"/>
  </r>
  <r>
    <s v="41-237-5498"/>
    <s v="Cheese"/>
    <x v="4"/>
    <s v="38-643-1626"/>
    <s v="Omba"/>
    <n v="88"/>
    <n v="53"/>
    <n v="44"/>
    <s v="Sufficient"/>
    <n v="0"/>
    <s v="Normal"/>
    <s v=" 9.00  "/>
    <n v="792"/>
    <d v="2025-04-01T00:00:00"/>
    <d v="2024-12-24T00:00:00"/>
    <d v="2025-02-06T00:00:00"/>
    <n v="331"/>
    <n v="429"/>
    <n v="385"/>
    <s v="Expiring Soon"/>
    <s v="29817 Coleman Drive"/>
    <n v="56"/>
    <n v="44352"/>
    <n v="14"/>
    <s v="Discontinued"/>
  </r>
  <r>
    <s v="32-987-5559"/>
    <s v="Green Tea"/>
    <x v="1"/>
    <s v="01-665-0053"/>
    <s v="Zoovu"/>
    <n v="39"/>
    <n v="88"/>
    <n v="100"/>
    <s v="Require"/>
    <n v="88"/>
    <s v="High Priority"/>
    <s v=" 8.00  "/>
    <n v="312"/>
    <d v="2024-11-25T00:00:00"/>
    <d v="2025-01-30T00:00:00"/>
    <d v="2024-05-15T00:00:00"/>
    <n v="458"/>
    <n v="392"/>
    <n v="652"/>
    <s v="Safe"/>
    <s v="7 Hallows Alley"/>
    <n v="28"/>
    <n v="8736"/>
    <n v="18"/>
    <s v="Backordered"/>
  </r>
  <r>
    <s v="71-436-5841"/>
    <s v="Cauliflower"/>
    <x v="2"/>
    <s v="87-546-9674"/>
    <s v="Dynabox"/>
    <n v="87"/>
    <n v="91"/>
    <n v="94"/>
    <s v="Require"/>
    <n v="91"/>
    <s v="High Priority"/>
    <s v=" 2.50  "/>
    <n v="217.5"/>
    <d v="2024-04-07T00:00:00"/>
    <d v="2024-09-25T00:00:00"/>
    <d v="2024-06-25T00:00:00"/>
    <n v="690"/>
    <n v="519"/>
    <n v="611"/>
    <s v="Safe"/>
    <s v="52 Victoria Plaza"/>
    <n v="47"/>
    <n v="10222.5"/>
    <n v="4"/>
    <s v="Discontinued"/>
  </r>
  <r>
    <s v="63-890-1246"/>
    <s v="Oatmeal Biscuit"/>
    <x v="5"/>
    <s v="29-273-1595"/>
    <s v="Vidoo"/>
    <n v="93"/>
    <n v="50"/>
    <n v="43"/>
    <s v="Sufficient"/>
    <n v="0"/>
    <s v="Normal"/>
    <s v=" 5.00  "/>
    <n v="465"/>
    <d v="2024-06-27T00:00:00"/>
    <d v="2024-05-16T00:00:00"/>
    <d v="2024-10-09T00:00:00"/>
    <n v="609"/>
    <n v="651"/>
    <n v="505"/>
    <s v="Expiring Soon"/>
    <s v="3 Melrose Trail"/>
    <n v="76"/>
    <n v="35340"/>
    <n v="35"/>
    <s v="Discontinued"/>
  </r>
  <r>
    <s v="65-368-2479"/>
    <s v="Egg (Turkey)"/>
    <x v="4"/>
    <s v="99-570-8162"/>
    <s v="Browsedrive"/>
    <n v="23"/>
    <n v="21"/>
    <n v="59"/>
    <s v="Sufficient"/>
    <n v="0"/>
    <s v="Normal"/>
    <s v=" 2.40  "/>
    <n v="55.199999999999996"/>
    <d v="2024-08-15T00:00:00"/>
    <d v="2024-10-03T00:00:00"/>
    <d v="2024-10-07T00:00:00"/>
    <n v="560"/>
    <n v="511"/>
    <n v="507"/>
    <s v="Expiring Soon"/>
    <s v="231 Merry Pass"/>
    <n v="81"/>
    <n v="4471.2"/>
    <n v="8"/>
    <s v="Active"/>
  </r>
  <r>
    <s v="74-562-7431"/>
    <s v="Vanilla Biscuit"/>
    <x v="5"/>
    <s v="66-174-9633"/>
    <s v="Linkbridge"/>
    <n v="94"/>
    <n v="34"/>
    <n v="21"/>
    <s v="Sufficient"/>
    <n v="0"/>
    <s v="Normal"/>
    <s v=" 5.50  "/>
    <n v="517"/>
    <d v="2024-03-18T00:00:00"/>
    <d v="2024-03-20T00:00:00"/>
    <d v="2024-11-01T00:00:00"/>
    <n v="710"/>
    <n v="708"/>
    <n v="482"/>
    <s v="Expiring Soon"/>
    <s v="79 Ronald Regan Avenue"/>
    <n v="74"/>
    <n v="38258"/>
    <n v="70"/>
    <s v="Backordered"/>
  </r>
  <r>
    <s v="51-583-6029"/>
    <s v="Digestive Biscuit"/>
    <x v="5"/>
    <s v="78-024-3286"/>
    <s v="Kanoodle"/>
    <n v="38"/>
    <n v="43"/>
    <n v="91"/>
    <s v="Require"/>
    <n v="43"/>
    <s v="Normal"/>
    <s v=" 4.00  "/>
    <n v="152"/>
    <d v="2024-04-20T00:00:00"/>
    <d v="2024-08-18T00:00:00"/>
    <d v="2025-02-18T00:00:00"/>
    <n v="677"/>
    <n v="557"/>
    <n v="373"/>
    <s v="Expiring Soon"/>
    <s v="83894 Delaware Plaza"/>
    <n v="72"/>
    <n v="10944"/>
    <n v="64"/>
    <s v="Active"/>
  </r>
  <r>
    <s v="06-996-3221"/>
    <s v="Evaporated Milk"/>
    <x v="4"/>
    <s v="97-821-7402"/>
    <s v="Buzzshare"/>
    <n v="11"/>
    <n v="9"/>
    <n v="65"/>
    <s v="Sufficient"/>
    <n v="0"/>
    <s v="Normal"/>
    <s v=" 2.00  "/>
    <n v="22"/>
    <d v="2024-10-13T00:00:00"/>
    <d v="2024-04-12T00:00:00"/>
    <d v="2024-06-10T00:00:00"/>
    <n v="501"/>
    <n v="685"/>
    <n v="626"/>
    <s v="Safe"/>
    <s v="579 Schlimgen Alley"/>
    <n v="48"/>
    <n v="1056"/>
    <n v="96"/>
    <s v="Discontinued"/>
  </r>
  <r>
    <s v="96-334-2593"/>
    <s v="White Tea"/>
    <x v="1"/>
    <s v="64-831-3071"/>
    <s v="Rhycero"/>
    <n v="60"/>
    <n v="27"/>
    <n v="58"/>
    <s v="Sufficient"/>
    <n v="0"/>
    <s v="Normal"/>
    <s v=" 25.30  "/>
    <n v="1518"/>
    <d v="2024-12-26T00:00:00"/>
    <d v="2024-06-27T00:00:00"/>
    <d v="2024-11-19T00:00:00"/>
    <n v="427"/>
    <n v="609"/>
    <n v="464"/>
    <s v="Expiring Soon"/>
    <s v="9559 Muir Trail"/>
    <n v="43"/>
    <n v="65274"/>
    <n v="91"/>
    <s v="Active"/>
  </r>
  <r>
    <s v="58-219-0241"/>
    <s v="Avocado Oil"/>
    <x v="3"/>
    <s v="42-523-1857"/>
    <s v="Twitterwire"/>
    <n v="50"/>
    <n v="36"/>
    <n v="81"/>
    <s v="Sufficient"/>
    <n v="0"/>
    <s v="Normal"/>
    <s v=" 10.00  "/>
    <n v="500"/>
    <d v="2024-09-26T00:00:00"/>
    <d v="2024-12-05T00:00:00"/>
    <d v="2024-06-04T00:00:00"/>
    <n v="518"/>
    <n v="448"/>
    <n v="632"/>
    <s v="Safe"/>
    <s v="938 Garrison Court"/>
    <n v="27"/>
    <n v="13500"/>
    <n v="6"/>
    <s v="Discontinued"/>
  </r>
  <r>
    <s v="87-272-6544"/>
    <s v="Egg (Goose)"/>
    <x v="4"/>
    <s v="93-699-8001"/>
    <s v="Skalith"/>
    <n v="90"/>
    <n v="3"/>
    <n v="49"/>
    <s v="Sufficient"/>
    <n v="0"/>
    <s v="Normal"/>
    <s v=" 2.50  "/>
    <n v="225"/>
    <d v="2024-06-05T00:00:00"/>
    <d v="2024-03-05T00:00:00"/>
    <d v="2025-02-13T00:00:00"/>
    <n v="631"/>
    <n v="723"/>
    <n v="378"/>
    <s v="Expiring Soon"/>
    <s v="4 Nelson Alley"/>
    <n v="51"/>
    <n v="11475"/>
    <n v="87"/>
    <s v="Discontinued"/>
  </r>
  <r>
    <s v="95-357-2870"/>
    <s v="Arborio Rice"/>
    <x v="0"/>
    <s v="75-365-7696"/>
    <s v="Talane"/>
    <n v="86"/>
    <n v="80"/>
    <n v="80"/>
    <s v="Sufficient"/>
    <n v="0"/>
    <s v="Normal"/>
    <s v=" 4.50  "/>
    <n v="387"/>
    <d v="2024-03-18T00:00:00"/>
    <d v="2024-05-13T00:00:00"/>
    <d v="2024-05-20T00:00:00"/>
    <n v="710"/>
    <n v="654"/>
    <n v="647"/>
    <s v="Safe"/>
    <s v="87 Corben Street"/>
    <n v="22"/>
    <n v="8514"/>
    <n v="67"/>
    <s v="Discontinued"/>
  </r>
  <r>
    <s v="88-401-3700"/>
    <s v="Cauliflower"/>
    <x v="2"/>
    <s v="39-299-6093"/>
    <s v="Jabberstorm"/>
    <n v="86"/>
    <n v="66"/>
    <n v="24"/>
    <s v="Sufficient"/>
    <n v="0"/>
    <s v="Normal"/>
    <s v=" 2.50  "/>
    <n v="215"/>
    <d v="2024-07-29T00:00:00"/>
    <d v="2025-04-02T00:00:00"/>
    <d v="2025-01-20T00:00:00"/>
    <n v="577"/>
    <n v="330"/>
    <n v="402"/>
    <s v="Expiring Soon"/>
    <s v="39014 Randy Court"/>
    <n v="30"/>
    <n v="6450"/>
    <n v="6"/>
    <s v="Discontinued"/>
  </r>
  <r>
    <s v="72-404-5581"/>
    <s v="Almond Flour"/>
    <x v="0"/>
    <s v="18-065-8014"/>
    <s v="Pixonyx"/>
    <n v="54"/>
    <n v="17"/>
    <n v="90"/>
    <s v="Sufficient"/>
    <n v="0"/>
    <s v="Normal"/>
    <s v=" 9.50  "/>
    <n v="513"/>
    <d v="2025-01-23T00:00:00"/>
    <d v="2024-07-08T00:00:00"/>
    <d v="2025-02-08T00:00:00"/>
    <n v="399"/>
    <n v="598"/>
    <n v="383"/>
    <s v="Expiring Soon"/>
    <s v="879 Amoth Terrace"/>
    <n v="60"/>
    <n v="30780"/>
    <n v="20"/>
    <s v="Active"/>
  </r>
  <r>
    <s v="11-766-8738"/>
    <s v="Watermelon"/>
    <x v="2"/>
    <s v="96-393-1428"/>
    <s v="Jabbersphere"/>
    <n v="27"/>
    <n v="64"/>
    <n v="43"/>
    <s v="Require"/>
    <n v="64"/>
    <s v="High Priority"/>
    <s v=" 3.00  "/>
    <n v="81"/>
    <d v="2024-11-14T00:00:00"/>
    <d v="2024-11-30T00:00:00"/>
    <d v="2024-03-22T00:00:00"/>
    <n v="469"/>
    <n v="453"/>
    <n v="706"/>
    <s v="Safe"/>
    <s v="20 Nelson Way"/>
    <n v="70"/>
    <n v="5670"/>
    <n v="58"/>
    <s v="Discontinued"/>
  </r>
  <r>
    <s v="15-796-3130"/>
    <s v="Rye Bread"/>
    <x v="5"/>
    <s v="45-912-2948"/>
    <s v="Kwilith"/>
    <n v="50"/>
    <n v="58"/>
    <n v="78"/>
    <s v="Require"/>
    <n v="58"/>
    <s v="Normal"/>
    <s v=" 3.00  "/>
    <n v="150"/>
    <d v="2024-10-14T00:00:00"/>
    <d v="2024-04-17T00:00:00"/>
    <d v="2024-05-29T00:00:00"/>
    <n v="500"/>
    <n v="680"/>
    <n v="638"/>
    <s v="Safe"/>
    <s v="85 Lunder Court"/>
    <n v="83"/>
    <n v="12450"/>
    <n v="49"/>
    <s v="Active"/>
  </r>
  <r>
    <s v="73-751-4393"/>
    <s v="Onion"/>
    <x v="2"/>
    <s v="14-486-5626"/>
    <s v="Skyndu"/>
    <n v="68"/>
    <n v="10"/>
    <n v="29"/>
    <s v="Sufficient"/>
    <n v="0"/>
    <s v="Normal"/>
    <s v=" 2.00  "/>
    <n v="136"/>
    <d v="2024-10-31T00:00:00"/>
    <d v="2024-07-06T00:00:00"/>
    <d v="2024-03-23T00:00:00"/>
    <n v="483"/>
    <n v="600"/>
    <n v="705"/>
    <s v="Safe"/>
    <s v="03 Roth Court"/>
    <n v="37"/>
    <n v="5032"/>
    <n v="11"/>
    <s v="Discontinued"/>
  </r>
  <r>
    <s v="62-100-2245"/>
    <s v="Sourdough Bread"/>
    <x v="5"/>
    <s v="18-110-8314"/>
    <s v="Meevee"/>
    <n v="22"/>
    <n v="60"/>
    <n v="73"/>
    <s v="Require"/>
    <n v="60"/>
    <s v="Normal"/>
    <s v=" 4.20  "/>
    <n v="92.4"/>
    <d v="2024-09-07T00:00:00"/>
    <d v="2024-08-11T00:00:00"/>
    <d v="2024-07-12T00:00:00"/>
    <n v="537"/>
    <n v="564"/>
    <n v="594"/>
    <s v="Safe"/>
    <s v="56830 Fremont Road"/>
    <n v="62"/>
    <n v="5728.8"/>
    <n v="3"/>
    <s v="Backordered"/>
  </r>
  <r>
    <s v="08-961-3009"/>
    <s v="Cheese"/>
    <x v="4"/>
    <s v="41-825-5869"/>
    <s v="Eimbee"/>
    <n v="50"/>
    <n v="14"/>
    <n v="6"/>
    <s v="Sufficient"/>
    <n v="0"/>
    <s v="Normal"/>
    <s v=" 9.20  "/>
    <n v="459.99999999999994"/>
    <d v="2024-02-06T00:00:00"/>
    <d v="2024-12-19T00:00:00"/>
    <d v="2024-09-08T00:00:00"/>
    <n v="751"/>
    <n v="434"/>
    <n v="536"/>
    <s v="Expiring Soon"/>
    <s v="01 Gateway Plaza"/>
    <n v="60"/>
    <n v="27599.999999999996"/>
    <n v="72"/>
    <s v="Backordered"/>
  </r>
  <r>
    <s v="33-440-2588"/>
    <s v="Bell Pepper"/>
    <x v="2"/>
    <s v="68-596-5506"/>
    <s v="Tagpad"/>
    <n v="26"/>
    <n v="12"/>
    <n v="43"/>
    <s v="Sufficient"/>
    <n v="0"/>
    <s v="Normal"/>
    <s v=" 4.40  "/>
    <n v="114.4"/>
    <d v="2025-01-17T00:00:00"/>
    <d v="2024-09-16T00:00:00"/>
    <d v="2025-02-24T00:00:00"/>
    <n v="405"/>
    <n v="528"/>
    <n v="367"/>
    <s v="Expiring Soon"/>
    <s v="4 6th Plaza"/>
    <n v="73"/>
    <n v="8351.2000000000007"/>
    <n v="20"/>
    <s v="Backordered"/>
  </r>
  <r>
    <s v="24-009-1208"/>
    <s v="White Tea"/>
    <x v="1"/>
    <s v="96-405-4286"/>
    <s v="Aivee"/>
    <n v="62"/>
    <n v="31"/>
    <n v="24"/>
    <s v="Sufficient"/>
    <n v="0"/>
    <s v="Normal"/>
    <s v=" 25.00  "/>
    <n v="1550"/>
    <d v="2024-04-30T00:00:00"/>
    <d v="2024-10-06T00:00:00"/>
    <d v="2025-02-06T00:00:00"/>
    <n v="667"/>
    <n v="508"/>
    <n v="385"/>
    <s v="Expiring Soon"/>
    <s v="99 Duke Lane"/>
    <n v="89"/>
    <n v="137950"/>
    <n v="100"/>
    <s v="Backordered"/>
  </r>
  <r>
    <s v="71-300-2191"/>
    <s v="Broccoli"/>
    <x v="2"/>
    <s v="98-677-4279"/>
    <s v="Yamia"/>
    <n v="79"/>
    <n v="72"/>
    <n v="6"/>
    <s v="Sufficient"/>
    <n v="0"/>
    <s v="Normal"/>
    <s v=" 4.00  "/>
    <n v="316"/>
    <d v="2024-11-07T00:00:00"/>
    <d v="2024-06-05T00:00:00"/>
    <d v="2024-05-01T00:00:00"/>
    <n v="476"/>
    <n v="631"/>
    <n v="666"/>
    <s v="Safe"/>
    <s v="7 Heffernan Drive"/>
    <n v="67"/>
    <n v="21172"/>
    <n v="63"/>
    <s v="Active"/>
  </r>
  <r>
    <s v="74-430-8245"/>
    <s v="Peach"/>
    <x v="2"/>
    <s v="51-213-5660"/>
    <s v="Ainyx"/>
    <n v="73"/>
    <n v="90"/>
    <n v="77"/>
    <s v="Require"/>
    <n v="90"/>
    <s v="High Priority"/>
    <s v=" 4.00  "/>
    <n v="292"/>
    <d v="2024-02-26T00:00:00"/>
    <d v="2024-08-15T00:00:00"/>
    <d v="2024-03-06T00:00:00"/>
    <n v="731"/>
    <n v="560"/>
    <n v="722"/>
    <s v="Safe"/>
    <s v="7 Roxbury Circle"/>
    <n v="75"/>
    <n v="21900"/>
    <n v="19"/>
    <s v="Backordered"/>
  </r>
  <r>
    <s v="68-636-4774"/>
    <s v="Carrot"/>
    <x v="2"/>
    <s v="40-436-0171"/>
    <s v="Gevee"/>
    <n v="18"/>
    <n v="50"/>
    <n v="77"/>
    <s v="Require"/>
    <n v="50"/>
    <s v="Normal"/>
    <s v=" 1.45  "/>
    <n v="26.099999999999998"/>
    <d v="2024-03-11T00:00:00"/>
    <d v="2024-08-30T00:00:00"/>
    <d v="2025-02-19T00:00:00"/>
    <n v="717"/>
    <n v="545"/>
    <n v="372"/>
    <s v="Expiring Soon"/>
    <s v="7744 Oxford Pass"/>
    <n v="44"/>
    <n v="1148.3999999999999"/>
    <n v="19"/>
    <s v="Active"/>
  </r>
  <r>
    <s v="38-655-2312"/>
    <s v="Kale"/>
    <x v="2"/>
    <s v="91-127-7174"/>
    <s v="Dabshots"/>
    <n v="79"/>
    <n v="74"/>
    <n v="87"/>
    <s v="Sufficient"/>
    <n v="0"/>
    <s v="Normal"/>
    <s v=" 4.00  "/>
    <n v="316"/>
    <d v="2024-07-08T00:00:00"/>
    <d v="2024-09-04T00:00:00"/>
    <d v="2024-10-18T00:00:00"/>
    <n v="598"/>
    <n v="540"/>
    <n v="496"/>
    <s v="Expiring Soon"/>
    <s v="17 Reinke Circle"/>
    <n v="80"/>
    <n v="25280"/>
    <n v="26"/>
    <s v="Backordered"/>
  </r>
  <r>
    <s v="16-632-1308"/>
    <s v="Arabica Coffee"/>
    <x v="1"/>
    <s v="45-903-0036"/>
    <s v="Voonyx"/>
    <n v="23"/>
    <n v="13"/>
    <n v="15"/>
    <s v="Sufficient"/>
    <n v="0"/>
    <s v="Normal"/>
    <s v=" 20.00  "/>
    <n v="460"/>
    <d v="2024-03-27T00:00:00"/>
    <d v="2024-05-21T00:00:00"/>
    <d v="2024-11-21T00:00:00"/>
    <n v="701"/>
    <n v="646"/>
    <n v="462"/>
    <s v="Expiring Soon"/>
    <s v="60094 Goodland Junction"/>
    <n v="31"/>
    <n v="14260"/>
    <n v="28"/>
    <s v="Backordered"/>
  </r>
  <r>
    <s v="37-606-0510"/>
    <s v="Milk"/>
    <x v="4"/>
    <s v="09-489-6314"/>
    <s v="Jabbercube"/>
    <n v="18"/>
    <n v="64"/>
    <n v="86"/>
    <s v="Require"/>
    <n v="64"/>
    <s v="High Priority"/>
    <s v=" 1.00  "/>
    <n v="18"/>
    <d v="2024-09-13T00:00:00"/>
    <d v="2024-09-06T00:00:00"/>
    <d v="2024-11-09T00:00:00"/>
    <n v="531"/>
    <n v="538"/>
    <n v="474"/>
    <s v="Expiring Soon"/>
    <s v="53 Homewood Alley"/>
    <n v="73"/>
    <n v="1314"/>
    <n v="38"/>
    <s v="Active"/>
  </r>
  <r>
    <s v="36-296-9609"/>
    <s v="Sunflower Oil"/>
    <x v="3"/>
    <s v="46-041-1131"/>
    <s v="Photofeed"/>
    <n v="24"/>
    <n v="35"/>
    <n v="14"/>
    <s v="Require"/>
    <n v="35"/>
    <s v="Normal"/>
    <s v=" 2.50  "/>
    <n v="60"/>
    <d v="2024-04-05T00:00:00"/>
    <d v="2024-06-24T00:00:00"/>
    <d v="2024-12-01T00:00:00"/>
    <n v="692"/>
    <n v="612"/>
    <n v="452"/>
    <s v="Expiring Soon"/>
    <s v="7 Rutledge Pass"/>
    <n v="91"/>
    <n v="5460"/>
    <n v="71"/>
    <s v="Backordered"/>
  </r>
  <r>
    <s v="22-329-7791"/>
    <s v="Watermelon"/>
    <x v="2"/>
    <s v="72-013-2438"/>
    <s v="Eidel"/>
    <n v="53"/>
    <n v="41"/>
    <n v="30"/>
    <s v="Sufficient"/>
    <n v="0"/>
    <s v="Normal"/>
    <s v=" 3.00  "/>
    <n v="159"/>
    <d v="2024-03-16T00:00:00"/>
    <d v="2025-01-13T00:00:00"/>
    <d v="2024-09-19T00:00:00"/>
    <n v="712"/>
    <n v="409"/>
    <n v="525"/>
    <s v="Expiring Soon"/>
    <s v="50687 Porter Park"/>
    <n v="24"/>
    <n v="3816"/>
    <n v="77"/>
    <s v="Discontinued"/>
  </r>
  <r>
    <s v="56-894-3733"/>
    <s v="Yogurt"/>
    <x v="4"/>
    <s v="57-133-8386"/>
    <s v="Skinte"/>
    <n v="85"/>
    <n v="83"/>
    <n v="13"/>
    <s v="Sufficient"/>
    <n v="0"/>
    <s v="Normal"/>
    <s v=" 1.75  "/>
    <n v="148.75"/>
    <d v="2024-05-04T00:00:00"/>
    <d v="2024-03-17T00:00:00"/>
    <d v="2025-02-02T00:00:00"/>
    <n v="663"/>
    <n v="711"/>
    <n v="389"/>
    <s v="Expiring Soon"/>
    <s v="897 Independence Circle"/>
    <n v="49"/>
    <n v="7288.75"/>
    <n v="75"/>
    <s v="Backordered"/>
  </r>
  <r>
    <s v="06-858-5680"/>
    <s v="Sesame Oil"/>
    <x v="3"/>
    <s v="63-231-2829"/>
    <s v="Miboo"/>
    <n v="15"/>
    <n v="34"/>
    <n v="57"/>
    <s v="Require"/>
    <n v="34"/>
    <s v="Normal"/>
    <s v=" 6.50  "/>
    <n v="97.5"/>
    <d v="2024-08-22T00:00:00"/>
    <d v="2025-12-01T00:00:00"/>
    <d v="2025-01-16T00:00:00"/>
    <n v="553"/>
    <n v="87"/>
    <n v="406"/>
    <s v="Expiring Soon"/>
    <s v="49476 Tony Hill"/>
    <n v="49"/>
    <n v="4777.5"/>
    <n v="96"/>
    <s v="Discontinued"/>
  </r>
  <r>
    <s v="71-954-4501"/>
    <s v="Anchovies"/>
    <x v="6"/>
    <s v="26-135-6134"/>
    <s v="Quatz"/>
    <n v="66"/>
    <n v="49"/>
    <n v="41"/>
    <s v="Sufficient"/>
    <n v="0"/>
    <s v="Normal"/>
    <s v=" 10.00  "/>
    <n v="660"/>
    <d v="2024-06-27T00:00:00"/>
    <d v="2024-08-10T00:00:00"/>
    <d v="2024-07-26T00:00:00"/>
    <n v="609"/>
    <n v="565"/>
    <n v="580"/>
    <s v="Safe"/>
    <s v="290 Rusk Avenue"/>
    <n v="27"/>
    <n v="17820"/>
    <n v="37"/>
    <s v="Discontinued"/>
  </r>
  <r>
    <s v="12-046-2988"/>
    <s v="Corn Oil"/>
    <x v="3"/>
    <s v="37-630-2250"/>
    <s v="Youbridge"/>
    <n v="17"/>
    <n v="63"/>
    <n v="66"/>
    <s v="Require"/>
    <n v="63"/>
    <s v="High Priority"/>
    <s v=" 2.50  "/>
    <n v="42.5"/>
    <d v="2025-01-25T00:00:00"/>
    <d v="2025-01-24T00:00:00"/>
    <d v="2024-11-21T00:00:00"/>
    <n v="397"/>
    <n v="398"/>
    <n v="462"/>
    <s v="Expiring Soon"/>
    <s v="931 Browning Center"/>
    <n v="23"/>
    <n v="977.5"/>
    <n v="46"/>
    <s v="Backordered"/>
  </r>
  <r>
    <s v="95-356-1566"/>
    <s v="Grapes"/>
    <x v="2"/>
    <s v="57-204-2098"/>
    <s v="Rhynyx"/>
    <n v="13"/>
    <n v="61"/>
    <n v="77"/>
    <s v="Require"/>
    <n v="61"/>
    <s v="High Priority"/>
    <s v=" 5.50  "/>
    <n v="71.5"/>
    <d v="2024-07-22T00:00:00"/>
    <d v="2025-02-21T00:00:00"/>
    <d v="2025-01-29T00:00:00"/>
    <n v="584"/>
    <n v="370"/>
    <n v="393"/>
    <s v="Expiring Soon"/>
    <s v="622 Buena Vista Trail"/>
    <n v="42"/>
    <n v="3003"/>
    <n v="18"/>
    <s v="Backordered"/>
  </r>
  <r>
    <s v="34-291-4939"/>
    <s v="Digestive Biscuit"/>
    <x v="5"/>
    <s v="39-284-1614"/>
    <s v="Eimbee"/>
    <n v="34"/>
    <n v="49"/>
    <n v="27"/>
    <s v="Require"/>
    <n v="49"/>
    <s v="Normal"/>
    <s v=" 4.00  "/>
    <n v="136"/>
    <d v="2024-09-03T00:00:00"/>
    <d v="2024-11-24T00:00:00"/>
    <d v="2025-02-13T00:00:00"/>
    <n v="541"/>
    <n v="459"/>
    <n v="378"/>
    <s v="Expiring Soon"/>
    <s v="983 Sommers Circle"/>
    <n v="78"/>
    <n v="10608"/>
    <n v="20"/>
    <s v="Discontinued"/>
  </r>
  <r>
    <s v="35-621-2546"/>
    <s v="Swiss Cheese"/>
    <x v="4"/>
    <s v="14-190-2260"/>
    <s v="Skiptube"/>
    <n v="85"/>
    <n v="89"/>
    <n v="41"/>
    <s v="Require"/>
    <n v="89"/>
    <s v="High Priority"/>
    <s v=" 8.00  "/>
    <n v="680"/>
    <d v="2024-04-22T00:00:00"/>
    <d v="2024-07-04T00:00:00"/>
    <d v="2025-02-15T00:00:00"/>
    <n v="675"/>
    <n v="602"/>
    <n v="376"/>
    <s v="Expiring Soon"/>
    <s v="3 Fairfield Center"/>
    <n v="68"/>
    <n v="46240"/>
    <n v="93"/>
    <s v="Discontinued"/>
  </r>
  <r>
    <s v="21-013-3508"/>
    <s v="Cabbage"/>
    <x v="2"/>
    <s v="64-489-8494"/>
    <s v="Meevee"/>
    <n v="12"/>
    <n v="95"/>
    <n v="49"/>
    <s v="Require"/>
    <n v="95"/>
    <s v="High Priority"/>
    <s v=" 1.00  "/>
    <n v="12"/>
    <d v="2024-09-06T00:00:00"/>
    <d v="2024-06-13T00:00:00"/>
    <d v="2024-11-10T00:00:00"/>
    <n v="538"/>
    <n v="623"/>
    <n v="473"/>
    <s v="Expiring Soon"/>
    <s v="84305 Fair Oaks Plaza"/>
    <n v="25"/>
    <n v="300"/>
    <n v="23"/>
    <s v="Backordered"/>
  </r>
  <r>
    <s v="38-049-9319"/>
    <s v="Oatmeal Biscuit"/>
    <x v="5"/>
    <s v="90-447-5123"/>
    <s v="Trunyx"/>
    <n v="82"/>
    <n v="6"/>
    <n v="53"/>
    <s v="Sufficient"/>
    <n v="0"/>
    <s v="Normal"/>
    <s v=" 5.00  "/>
    <n v="410"/>
    <d v="2024-07-11T00:00:00"/>
    <d v="2024-04-29T00:00:00"/>
    <d v="2024-05-09T00:00:00"/>
    <n v="595"/>
    <n v="668"/>
    <n v="658"/>
    <s v="Safe"/>
    <s v="6 Lillian Junction"/>
    <n v="21"/>
    <n v="8610"/>
    <n v="58"/>
    <s v="Active"/>
  </r>
  <r>
    <s v="94-697-2396"/>
    <s v="Sourdough Bread"/>
    <x v="5"/>
    <s v="34-161-7429"/>
    <s v="Zoomlounge"/>
    <n v="71"/>
    <n v="97"/>
    <n v="44"/>
    <s v="Require"/>
    <n v="97"/>
    <s v="High Priority"/>
    <s v=" 4.00  "/>
    <n v="284"/>
    <d v="2024-11-27T00:00:00"/>
    <d v="2024-02-26T00:00:00"/>
    <d v="2024-07-07T00:00:00"/>
    <n v="456"/>
    <n v="731"/>
    <n v="599"/>
    <s v="Safe"/>
    <s v="44 Thompson Terrace"/>
    <n v="58"/>
    <n v="16472"/>
    <n v="14"/>
    <s v="Discontinued"/>
  </r>
  <r>
    <s v="33-807-7247"/>
    <s v="Mozzarella Cheese"/>
    <x v="4"/>
    <s v="94-453-3755"/>
    <s v="Blogspan"/>
    <n v="58"/>
    <n v="17"/>
    <n v="26"/>
    <s v="Sufficient"/>
    <n v="0"/>
    <s v="Normal"/>
    <s v=" 7.00  "/>
    <n v="406"/>
    <d v="2024-06-23T00:00:00"/>
    <d v="2024-07-07T00:00:00"/>
    <d v="2025-01-03T00:00:00"/>
    <n v="613"/>
    <n v="599"/>
    <n v="419"/>
    <s v="Expiring Soon"/>
    <s v="63464 Jana Court"/>
    <n v="62"/>
    <n v="25172"/>
    <n v="89"/>
    <s v="Backordered"/>
  </r>
  <r>
    <s v="62-816-8794"/>
    <s v="Rice Flour"/>
    <x v="0"/>
    <s v="56-110-5754"/>
    <s v="Photobug"/>
    <n v="15"/>
    <n v="76"/>
    <n v="81"/>
    <s v="Require"/>
    <n v="76"/>
    <s v="High Priority"/>
    <s v=" 2.00  "/>
    <n v="30"/>
    <d v="2024-11-16T00:00:00"/>
    <d v="2024-06-17T00:00:00"/>
    <d v="2025-02-06T00:00:00"/>
    <n v="467"/>
    <n v="619"/>
    <n v="385"/>
    <s v="Expiring Soon"/>
    <s v="04 Blaine Lane"/>
    <n v="90"/>
    <n v="2700"/>
    <n v="26"/>
    <s v="Backordered"/>
  </r>
  <r>
    <s v="33-507-9886"/>
    <s v="Pineapple"/>
    <x v="2"/>
    <s v="11-445-3951"/>
    <s v="Quinu"/>
    <n v="68"/>
    <n v="25"/>
    <n v="16"/>
    <s v="Sufficient"/>
    <n v="0"/>
    <s v="Normal"/>
    <s v=" 3.50  "/>
    <n v="238"/>
    <d v="2024-04-04T00:00:00"/>
    <d v="2024-08-19T00:00:00"/>
    <d v="2024-06-27T00:00:00"/>
    <n v="693"/>
    <n v="556"/>
    <n v="609"/>
    <s v="Safe"/>
    <s v="0584 Lindbergh Alley"/>
    <n v="25"/>
    <n v="5950"/>
    <n v="83"/>
    <s v="Active"/>
  </r>
  <r>
    <s v="40-003-7322"/>
    <s v="White Sugar"/>
    <x v="0"/>
    <s v="41-644-3129"/>
    <s v="Wordtune"/>
    <n v="13"/>
    <n v="32"/>
    <n v="79"/>
    <s v="Require"/>
    <n v="32"/>
    <s v="Normal"/>
    <s v=" 2.00  "/>
    <n v="26"/>
    <d v="2024-07-05T00:00:00"/>
    <d v="2025-02-16T00:00:00"/>
    <d v="2024-10-11T00:00:00"/>
    <n v="601"/>
    <n v="375"/>
    <n v="503"/>
    <s v="Expiring Soon"/>
    <s v="2693 6th Court"/>
    <n v="38"/>
    <n v="988"/>
    <n v="61"/>
    <s v="Discontinued"/>
  </r>
  <r>
    <s v="95-090-2788"/>
    <s v="Sesame Oil"/>
    <x v="3"/>
    <s v="95-715-6047"/>
    <s v="Dabtype"/>
    <n v="45"/>
    <n v="7"/>
    <n v="58"/>
    <s v="Sufficient"/>
    <n v="0"/>
    <s v="Normal"/>
    <s v=" 6.50  "/>
    <n v="292.5"/>
    <d v="2024-02-09T00:00:00"/>
    <d v="2024-05-04T00:00:00"/>
    <d v="2024-08-26T00:00:00"/>
    <n v="748"/>
    <n v="663"/>
    <n v="549"/>
    <s v="Expiring Soon"/>
    <s v="0313 Rockefeller Street"/>
    <n v="86"/>
    <n v="25155"/>
    <n v="77"/>
    <s v="Discontinued"/>
  </r>
  <r>
    <s v="06-503-5891"/>
    <s v="Egg (Goose)"/>
    <x v="4"/>
    <s v="19-098-2529"/>
    <s v="Babblestorm"/>
    <n v="40"/>
    <n v="22"/>
    <n v="74"/>
    <s v="Sufficient"/>
    <n v="0"/>
    <s v="Normal"/>
    <s v=" 2.45  "/>
    <n v="98"/>
    <d v="2024-03-22T00:00:00"/>
    <d v="2024-09-23T00:00:00"/>
    <d v="2024-03-16T00:00:00"/>
    <n v="706"/>
    <n v="521"/>
    <n v="712"/>
    <s v="Safe"/>
    <s v="49646 Derek Lane"/>
    <n v="76"/>
    <n v="7448"/>
    <n v="70"/>
    <s v="Backordered"/>
  </r>
  <r>
    <s v="38-555-9147"/>
    <s v="Black Coffee"/>
    <x v="1"/>
    <s v="35-370-7603"/>
    <s v="Aimbu"/>
    <n v="62"/>
    <n v="23"/>
    <n v="25"/>
    <s v="Sufficient"/>
    <n v="0"/>
    <s v="Normal"/>
    <s v=" 15.50  "/>
    <n v="961"/>
    <d v="2024-07-23T00:00:00"/>
    <d v="2024-04-29T00:00:00"/>
    <d v="2024-03-08T00:00:00"/>
    <n v="583"/>
    <n v="668"/>
    <n v="720"/>
    <s v="Safe"/>
    <s v="0 Oneill Hill"/>
    <n v="34"/>
    <n v="32674"/>
    <n v="68"/>
    <s v="Discontinued"/>
  </r>
  <r>
    <s v="64-854-8664"/>
    <s v="Peanut Oil"/>
    <x v="3"/>
    <s v="19-893-7698"/>
    <s v="Pixoboo"/>
    <n v="79"/>
    <n v="3"/>
    <n v="36"/>
    <s v="Sufficient"/>
    <n v="0"/>
    <s v="Normal"/>
    <s v=" 4.00  "/>
    <n v="316"/>
    <d v="2024-08-16T00:00:00"/>
    <d v="2025-01-25T00:00:00"/>
    <d v="2024-08-30T00:00:00"/>
    <n v="559"/>
    <n v="397"/>
    <n v="545"/>
    <s v="Expiring Soon"/>
    <s v="76 Independence Drive"/>
    <n v="46"/>
    <n v="14536"/>
    <n v="29"/>
    <s v="Discontinued"/>
  </r>
  <r>
    <s v="50-942-2409"/>
    <s v="Peas"/>
    <x v="2"/>
    <s v="69-472-4067"/>
    <s v="Meedoo"/>
    <n v="75"/>
    <n v="91"/>
    <n v="68"/>
    <s v="Require"/>
    <n v="91"/>
    <s v="High Priority"/>
    <s v=" 3.00  "/>
    <n v="225"/>
    <d v="2024-10-31T00:00:00"/>
    <d v="2024-04-23T00:00:00"/>
    <d v="2024-12-10T00:00:00"/>
    <n v="483"/>
    <n v="674"/>
    <n v="443"/>
    <s v="Expiring Soon"/>
    <s v="7182 Summit Court"/>
    <n v="96"/>
    <n v="21600"/>
    <n v="73"/>
    <s v="Backordered"/>
  </r>
  <r>
    <s v="17-493-4579"/>
    <s v="Almond Flour"/>
    <x v="0"/>
    <s v="67-541-7091"/>
    <s v="Trudoo"/>
    <n v="76"/>
    <n v="8"/>
    <n v="2"/>
    <s v="Sufficient"/>
    <n v="0"/>
    <s v="Normal"/>
    <s v=" 9.50  "/>
    <n v="722"/>
    <d v="2024-04-10T00:00:00"/>
    <d v="2024-08-11T00:00:00"/>
    <d v="2024-05-28T00:00:00"/>
    <n v="687"/>
    <n v="564"/>
    <n v="639"/>
    <s v="Safe"/>
    <s v="4627 Amoth Circle"/>
    <n v="24"/>
    <n v="17328"/>
    <n v="53"/>
    <s v="Active"/>
  </r>
  <r>
    <s v="10-854-5467"/>
    <s v="Canola Oil"/>
    <x v="3"/>
    <s v="40-443-3362"/>
    <s v="Realcube"/>
    <n v="96"/>
    <n v="51"/>
    <n v="40"/>
    <s v="Sufficient"/>
    <n v="0"/>
    <s v="Normal"/>
    <s v=" 2.30  "/>
    <n v="220.79999999999998"/>
    <d v="2024-03-16T00:00:00"/>
    <d v="2024-04-05T00:00:00"/>
    <d v="2024-11-26T00:00:00"/>
    <n v="712"/>
    <n v="692"/>
    <n v="457"/>
    <s v="Expiring Soon"/>
    <s v="3 Oakridge Parkway"/>
    <n v="61"/>
    <n v="13468.8"/>
    <n v="4"/>
    <s v="Discontinued"/>
  </r>
  <r>
    <s v="11-604-6002"/>
    <s v="Canola Oil"/>
    <x v="3"/>
    <s v="50-862-4552"/>
    <s v="Kimia"/>
    <n v="69"/>
    <n v="17"/>
    <n v="27"/>
    <s v="Sufficient"/>
    <n v="0"/>
    <s v="Normal"/>
    <s v=" 2.30  "/>
    <n v="158.69999999999999"/>
    <d v="2025-01-14T00:00:00"/>
    <d v="2024-06-18T00:00:00"/>
    <d v="2024-05-29T00:00:00"/>
    <n v="408"/>
    <n v="618"/>
    <n v="638"/>
    <s v="Safe"/>
    <s v="17640 Cottonwood Place"/>
    <n v="79"/>
    <n v="12537.3"/>
    <n v="75"/>
    <s v="Backordered"/>
  </r>
  <r>
    <s v="44-305-1866"/>
    <s v="Butter"/>
    <x v="4"/>
    <s v="25-190-3172"/>
    <s v="Jayo"/>
    <n v="48"/>
    <n v="71"/>
    <n v="86"/>
    <s v="Require"/>
    <n v="71"/>
    <s v="High Priority"/>
    <s v=" 3.00  "/>
    <n v="144"/>
    <d v="2024-04-29T00:00:00"/>
    <d v="2024-02-07T00:00:00"/>
    <d v="2024-08-29T00:00:00"/>
    <n v="668"/>
    <n v="750"/>
    <n v="546"/>
    <s v="Expiring Soon"/>
    <s v="51205 Rieder Junction"/>
    <n v="95"/>
    <n v="13680"/>
    <n v="3"/>
    <s v="Discontinued"/>
  </r>
  <r>
    <s v="49-730-0159"/>
    <s v="Cream"/>
    <x v="4"/>
    <s v="62-766-8232"/>
    <s v="Riffpedia"/>
    <n v="82"/>
    <n v="3"/>
    <n v="82"/>
    <s v="Sufficient"/>
    <n v="0"/>
    <s v="Normal"/>
    <s v=" 2.40  "/>
    <n v="196.79999999999998"/>
    <d v="2024-03-10T00:00:00"/>
    <d v="2024-10-12T00:00:00"/>
    <d v="2024-08-26T00:00:00"/>
    <n v="718"/>
    <n v="502"/>
    <n v="549"/>
    <s v="Expiring Soon"/>
    <s v="09189 2nd Drive"/>
    <n v="48"/>
    <n v="9446.4"/>
    <n v="31"/>
    <s v="Active"/>
  </r>
  <r>
    <s v="70-534-7796"/>
    <s v="Zucchini"/>
    <x v="2"/>
    <s v="62-044-8874"/>
    <s v="Babblestorm"/>
    <n v="43"/>
    <n v="21"/>
    <n v="31"/>
    <s v="Sufficient"/>
    <n v="0"/>
    <s v="Normal"/>
    <s v=" 2.50  "/>
    <n v="107.5"/>
    <d v="2025-02-19T00:00:00"/>
    <d v="2024-06-25T00:00:00"/>
    <d v="2025-01-17T00:00:00"/>
    <n v="372"/>
    <n v="611"/>
    <n v="405"/>
    <s v="Expiring Soon"/>
    <s v="76106 Anthes Junction"/>
    <n v="22"/>
    <n v="2365"/>
    <n v="25"/>
    <s v="Backordered"/>
  </r>
  <r>
    <s v="95-738-4658"/>
    <s v="Green Coffee"/>
    <x v="1"/>
    <s v="67-404-3362"/>
    <s v="Skyndu"/>
    <n v="90"/>
    <n v="68"/>
    <n v="74"/>
    <s v="Sufficient"/>
    <n v="0"/>
    <s v="Normal"/>
    <s v=" 12.00  "/>
    <n v="1080"/>
    <d v="2024-02-04T00:00:00"/>
    <d v="2024-11-26T00:00:00"/>
    <d v="2024-10-30T00:00:00"/>
    <n v="753"/>
    <n v="457"/>
    <n v="484"/>
    <s v="Expiring Soon"/>
    <s v="35 Golf Course Alley"/>
    <n v="81"/>
    <n v="87480"/>
    <n v="26"/>
    <s v="Backordered"/>
  </r>
  <r>
    <s v="20-405-4865"/>
    <s v="Milk"/>
    <x v="4"/>
    <s v="16-019-7101"/>
    <s v="Centimia"/>
    <n v="13"/>
    <n v="39"/>
    <n v="98"/>
    <s v="Require"/>
    <n v="39"/>
    <s v="Normal"/>
    <s v=" 0.90  "/>
    <n v="11.700000000000001"/>
    <d v="2024-02-06T00:00:00"/>
    <d v="2024-05-11T00:00:00"/>
    <d v="2024-09-18T00:00:00"/>
    <n v="751"/>
    <n v="656"/>
    <n v="526"/>
    <s v="Expiring Soon"/>
    <s v="36483 Burning Wood Pass"/>
    <n v="46"/>
    <n v="538.20000000000005"/>
    <n v="46"/>
    <s v="Backordered"/>
  </r>
  <r>
    <s v="79-428-8753"/>
    <s v="Cabbage"/>
    <x v="2"/>
    <s v="29-521-7910"/>
    <s v="Skivee"/>
    <n v="62"/>
    <n v="79"/>
    <n v="95"/>
    <s v="Require"/>
    <n v="79"/>
    <s v="High Priority"/>
    <s v=" 1.00  "/>
    <n v="62"/>
    <d v="2024-05-16T00:00:00"/>
    <d v="2024-06-07T00:00:00"/>
    <d v="2024-12-30T00:00:00"/>
    <n v="651"/>
    <n v="629"/>
    <n v="423"/>
    <s v="Expiring Soon"/>
    <s v="9 Holmberg Circle"/>
    <n v="34"/>
    <n v="2108"/>
    <n v="12"/>
    <s v="Active"/>
  </r>
  <r>
    <s v="10-626-8536"/>
    <s v="Coconut Sugar"/>
    <x v="0"/>
    <s v="23-274-3305"/>
    <s v="Lazz"/>
    <n v="17"/>
    <n v="85"/>
    <n v="74"/>
    <s v="Require"/>
    <n v="85"/>
    <s v="High Priority"/>
    <s v=" 5.00  "/>
    <n v="85"/>
    <d v="2024-01-05T00:00:00"/>
    <d v="2025-01-29T00:00:00"/>
    <d v="2024-03-30T00:00:00"/>
    <n v="783"/>
    <n v="393"/>
    <n v="698"/>
    <s v="Safe"/>
    <s v="38583 2nd Pass"/>
    <n v="76"/>
    <n v="6460"/>
    <n v="89"/>
    <s v="Active"/>
  </r>
  <r>
    <s v="27-216-9671"/>
    <s v="Sesame Oil"/>
    <x v="3"/>
    <s v="40-773-7065"/>
    <s v="Skilith"/>
    <n v="100"/>
    <n v="86"/>
    <n v="94"/>
    <s v="Sufficient"/>
    <n v="0"/>
    <s v="Normal"/>
    <s v=" 6.50  "/>
    <n v="650"/>
    <d v="2024-11-08T00:00:00"/>
    <d v="2024-12-04T00:00:00"/>
    <d v="2024-06-04T00:00:00"/>
    <n v="475"/>
    <n v="449"/>
    <n v="632"/>
    <s v="Safe"/>
    <s v="4 Browning Terrace"/>
    <n v="77"/>
    <n v="50050"/>
    <n v="57"/>
    <s v="Active"/>
  </r>
  <r>
    <s v="14-489-8669"/>
    <s v="All-Purpose Flour"/>
    <x v="0"/>
    <s v="28-436-5158"/>
    <s v="Wikibox"/>
    <n v="54"/>
    <n v="69"/>
    <n v="68"/>
    <s v="Require"/>
    <n v="69"/>
    <s v="High Priority"/>
    <s v=" 1.75  "/>
    <n v="94.5"/>
    <d v="2024-07-24T00:00:00"/>
    <d v="2024-05-11T00:00:00"/>
    <d v="2024-05-13T00:00:00"/>
    <n v="582"/>
    <n v="656"/>
    <n v="654"/>
    <s v="Safe"/>
    <s v="21629 Burrows Pass"/>
    <n v="77"/>
    <n v="7276.5"/>
    <n v="56"/>
    <s v="Discontinued"/>
  </r>
  <r>
    <s v="46-632-8420"/>
    <s v="Whipped Cream"/>
    <x v="4"/>
    <s v="27-996-8883"/>
    <s v="Skippad"/>
    <n v="98"/>
    <n v="24"/>
    <n v="4"/>
    <s v="Sufficient"/>
    <n v="0"/>
    <s v="Normal"/>
    <s v=" 4.10  "/>
    <n v="401.79999999999995"/>
    <d v="2024-08-03T00:00:00"/>
    <d v="2024-12-21T00:00:00"/>
    <d v="2024-05-23T00:00:00"/>
    <n v="572"/>
    <n v="432"/>
    <n v="644"/>
    <s v="Safe"/>
    <s v="9 Meadow Ridge Center"/>
    <n v="89"/>
    <n v="35760.199999999997"/>
    <n v="80"/>
    <s v="Active"/>
  </r>
  <r>
    <s v="39-192-3521"/>
    <s v="Herbal Tea"/>
    <x v="1"/>
    <s v="74-062-7176"/>
    <s v="Dynazzy"/>
    <n v="20"/>
    <n v="9"/>
    <n v="12"/>
    <s v="Sufficient"/>
    <n v="0"/>
    <s v="Normal"/>
    <s v=" 30.50  "/>
    <n v="610"/>
    <d v="2024-06-26T00:00:00"/>
    <d v="2025-02-22T00:00:00"/>
    <d v="2024-03-16T00:00:00"/>
    <n v="610"/>
    <n v="369"/>
    <n v="712"/>
    <s v="Safe"/>
    <s v="428 Oriole Avenue"/>
    <n v="46"/>
    <n v="28060"/>
    <n v="32"/>
    <s v="Discontinued"/>
  </r>
  <r>
    <s v="94-528-8088"/>
    <s v="Haddock"/>
    <x v="6"/>
    <s v="68-885-5553"/>
    <s v="Zoovu"/>
    <n v="43"/>
    <n v="7"/>
    <n v="63"/>
    <s v="Sufficient"/>
    <n v="0"/>
    <s v="Normal"/>
    <s v=" 9.00  "/>
    <n v="387"/>
    <d v="2024-09-26T00:00:00"/>
    <d v="2024-07-24T00:00:00"/>
    <d v="2024-03-08T00:00:00"/>
    <n v="518"/>
    <n v="582"/>
    <n v="720"/>
    <s v="Safe"/>
    <s v="21379 Stoughton Junction"/>
    <n v="66"/>
    <n v="25542"/>
    <n v="71"/>
    <s v="Active"/>
  </r>
  <r>
    <s v="74-305-1263"/>
    <s v="Green Coffee"/>
    <x v="1"/>
    <s v="83-076-5024"/>
    <s v="Photobean"/>
    <n v="29"/>
    <n v="91"/>
    <n v="48"/>
    <s v="Require"/>
    <n v="91"/>
    <s v="High Priority"/>
    <s v=" 12.00  "/>
    <n v="348"/>
    <d v="2024-05-10T00:00:00"/>
    <d v="2024-10-07T00:00:00"/>
    <d v="2024-08-16T00:00:00"/>
    <n v="657"/>
    <n v="507"/>
    <n v="559"/>
    <s v="Safe"/>
    <s v="744 Lakewood Gardens Crossing"/>
    <n v="28"/>
    <n v="9744"/>
    <n v="40"/>
    <s v="Active"/>
  </r>
  <r>
    <s v="53-151-5726"/>
    <s v="Grapes"/>
    <x v="2"/>
    <s v="93-180-4005"/>
    <s v="Flipopia"/>
    <n v="37"/>
    <n v="45"/>
    <n v="62"/>
    <s v="Require"/>
    <n v="45"/>
    <s v="Normal"/>
    <s v=" 5.50  "/>
    <n v="203.5"/>
    <d v="2024-08-12T00:00:00"/>
    <d v="2025-12-01T00:00:00"/>
    <d v="2024-04-20T00:00:00"/>
    <n v="563"/>
    <n v="87"/>
    <n v="677"/>
    <s v="Safe"/>
    <s v="84239 Meadow Vale Trail"/>
    <n v="34"/>
    <n v="6919"/>
    <n v="23"/>
    <s v="Backordered"/>
  </r>
  <r>
    <s v="02-085-7218"/>
    <s v="Cheddar Cheese"/>
    <x v="4"/>
    <s v="41-978-3326"/>
    <s v="Oyonder"/>
    <n v="85"/>
    <n v="28"/>
    <n v="32"/>
    <s v="Sufficient"/>
    <n v="0"/>
    <s v="Normal"/>
    <s v=" 8.90  "/>
    <n v="756.5"/>
    <d v="2025-01-17T00:00:00"/>
    <d v="2024-06-25T00:00:00"/>
    <d v="2025-01-28T00:00:00"/>
    <n v="405"/>
    <n v="611"/>
    <n v="394"/>
    <s v="Expiring Soon"/>
    <s v="2835 Schlimgen Parkway"/>
    <n v="57"/>
    <n v="43120.5"/>
    <n v="41"/>
    <s v="Backordered"/>
  </r>
  <r>
    <s v="77-777-4536"/>
    <s v="Basmati Rice"/>
    <x v="0"/>
    <s v="64-396-5538"/>
    <s v="Skidoo"/>
    <n v="26"/>
    <n v="67"/>
    <n v="46"/>
    <s v="Require"/>
    <n v="67"/>
    <s v="High Priority"/>
    <s v=" 4.40  "/>
    <n v="114.4"/>
    <d v="2024-08-12T00:00:00"/>
    <d v="2024-12-09T00:00:00"/>
    <d v="2024-04-04T00:00:00"/>
    <n v="563"/>
    <n v="444"/>
    <n v="693"/>
    <s v="Safe"/>
    <s v="4784 Farmco Alley"/>
    <n v="54"/>
    <n v="6177.6"/>
    <n v="46"/>
    <s v="Backordered"/>
  </r>
  <r>
    <s v="86-482-6451"/>
    <s v="White Tea"/>
    <x v="1"/>
    <s v="56-965-0404"/>
    <s v="Brightbean"/>
    <n v="91"/>
    <n v="78"/>
    <n v="61"/>
    <s v="Sufficient"/>
    <n v="0"/>
    <s v="Normal"/>
    <s v=" 25.00  "/>
    <n v="2275"/>
    <d v="2024-05-05T00:00:00"/>
    <d v="2024-10-27T00:00:00"/>
    <d v="2024-08-10T00:00:00"/>
    <n v="662"/>
    <n v="487"/>
    <n v="565"/>
    <s v="Safe"/>
    <s v="5501 Fuller Way"/>
    <n v="63"/>
    <n v="143325"/>
    <n v="15"/>
    <s v="Backordered"/>
  </r>
  <r>
    <s v="36-127-4273"/>
    <s v="Ricotta Cheese"/>
    <x v="4"/>
    <s v="05-719-6858"/>
    <s v="Skimia"/>
    <n v="50"/>
    <n v="46"/>
    <n v="38"/>
    <s v="Sufficient"/>
    <n v="0"/>
    <s v="Normal"/>
    <s v=" 6.20  "/>
    <n v="310"/>
    <d v="2024-01-10T00:00:00"/>
    <d v="2024-03-07T00:00:00"/>
    <d v="2024-07-31T00:00:00"/>
    <n v="778"/>
    <n v="721"/>
    <n v="575"/>
    <s v="Safe"/>
    <s v="10342 Division Place"/>
    <n v="88"/>
    <n v="27280"/>
    <n v="70"/>
    <s v="Active"/>
  </r>
  <r>
    <s v="03-061-1344"/>
    <s v="Trout"/>
    <x v="6"/>
    <s v="85-211-5357"/>
    <s v="Izio"/>
    <n v="98"/>
    <n v="65"/>
    <n v="76"/>
    <s v="Sufficient"/>
    <n v="0"/>
    <s v="Normal"/>
    <s v=" 12.00  "/>
    <n v="1176"/>
    <d v="2024-09-27T00:00:00"/>
    <d v="2024-07-19T00:00:00"/>
    <d v="2024-06-27T00:00:00"/>
    <n v="517"/>
    <n v="587"/>
    <n v="609"/>
    <s v="Safe"/>
    <s v="96420 Briar Crest Lane"/>
    <n v="62"/>
    <n v="72912"/>
    <n v="47"/>
    <s v="Active"/>
  </r>
  <r>
    <s v="97-300-7511"/>
    <s v="Egg (Duck)"/>
    <x v="4"/>
    <s v="47-687-2255"/>
    <s v="Katz"/>
    <n v="37"/>
    <n v="53"/>
    <n v="61"/>
    <s v="Require"/>
    <n v="53"/>
    <s v="Normal"/>
    <s v=" 1.00  "/>
    <n v="37"/>
    <d v="2024-03-04T00:00:00"/>
    <d v="2024-07-17T00:00:00"/>
    <d v="2024-03-21T00:00:00"/>
    <n v="724"/>
    <n v="589"/>
    <n v="707"/>
    <s v="Safe"/>
    <s v="45190 Fordem Court"/>
    <n v="90"/>
    <n v="3330"/>
    <n v="89"/>
    <s v="Backordered"/>
  </r>
  <r>
    <s v="83-108-1174"/>
    <s v="White Bread"/>
    <x v="5"/>
    <s v="56-439-3559"/>
    <s v="Devpoint"/>
    <n v="78"/>
    <n v="68"/>
    <n v="68"/>
    <s v="Sufficient"/>
    <n v="0"/>
    <s v="Normal"/>
    <s v=" 2.50  "/>
    <n v="195"/>
    <d v="2024-12-09T00:00:00"/>
    <d v="2024-05-03T00:00:00"/>
    <d v="2024-12-25T00:00:00"/>
    <n v="444"/>
    <n v="664"/>
    <n v="428"/>
    <s v="Expiring Soon"/>
    <s v="3 Monument Street"/>
    <n v="89"/>
    <n v="17355"/>
    <n v="24"/>
    <s v="Backordered"/>
  </r>
  <r>
    <s v="38-664-2155"/>
    <s v="Cauliflower"/>
    <x v="2"/>
    <s v="10-540-5841"/>
    <s v="Realpoint"/>
    <n v="48"/>
    <n v="27"/>
    <n v="73"/>
    <s v="Sufficient"/>
    <n v="0"/>
    <s v="Normal"/>
    <s v=" 2.55  "/>
    <n v="122.39999999999999"/>
    <d v="2025-01-13T00:00:00"/>
    <d v="2024-12-04T00:00:00"/>
    <d v="2024-05-30T00:00:00"/>
    <n v="409"/>
    <n v="449"/>
    <n v="637"/>
    <s v="Safe"/>
    <s v="843 Pepper Wood Hill"/>
    <n v="52"/>
    <n v="6364.7999999999993"/>
    <n v="97"/>
    <s v="Discontinued"/>
  </r>
  <r>
    <s v="80-459-5950"/>
    <s v="Arabica Coffee"/>
    <x v="1"/>
    <s v="04-866-2231"/>
    <s v="Rhyzio"/>
    <n v="74"/>
    <n v="10"/>
    <n v="74"/>
    <s v="Sufficient"/>
    <n v="0"/>
    <s v="Normal"/>
    <s v=" 20.00  "/>
    <n v="1480"/>
    <d v="2024-07-27T00:00:00"/>
    <d v="2024-02-10T00:00:00"/>
    <d v="2024-03-20T00:00:00"/>
    <n v="579"/>
    <n v="747"/>
    <n v="708"/>
    <s v="Safe"/>
    <s v="5 Killdeer Trail"/>
    <n v="100"/>
    <n v="148000"/>
    <n v="66"/>
    <s v="Backordered"/>
  </r>
  <r>
    <s v="93-015-0811"/>
    <s v="Pineapple"/>
    <x v="2"/>
    <s v="07-055-5188"/>
    <s v="Gigashots"/>
    <n v="18"/>
    <n v="7"/>
    <n v="58"/>
    <s v="Sufficient"/>
    <n v="0"/>
    <s v="Normal"/>
    <s v=" 3.50  "/>
    <n v="63"/>
    <d v="2024-11-26T00:00:00"/>
    <d v="2024-05-08T00:00:00"/>
    <d v="2024-06-26T00:00:00"/>
    <n v="457"/>
    <n v="659"/>
    <n v="610"/>
    <s v="Safe"/>
    <s v="1 Pleasure Hill"/>
    <n v="88"/>
    <n v="5544"/>
    <n v="96"/>
    <s v="Discontinued"/>
  </r>
  <r>
    <s v="02-888-9412"/>
    <s v="Cauliflower"/>
    <x v="2"/>
    <s v="22-307-4653"/>
    <s v="Photobug"/>
    <n v="95"/>
    <n v="66"/>
    <n v="69"/>
    <s v="Sufficient"/>
    <n v="0"/>
    <s v="Normal"/>
    <s v=" 2.48  "/>
    <n v="235.6"/>
    <d v="2024-08-06T00:00:00"/>
    <d v="2024-03-28T00:00:00"/>
    <d v="2025-02-04T00:00:00"/>
    <n v="569"/>
    <n v="700"/>
    <n v="387"/>
    <s v="Expiring Soon"/>
    <s v="880 Calypso Road"/>
    <n v="92"/>
    <n v="21675.200000000001"/>
    <n v="72"/>
    <s v="Backordered"/>
  </r>
  <r>
    <s v="10-218-2680"/>
    <s v="Egg (Turkey)"/>
    <x v="4"/>
    <s v="72-024-1595"/>
    <s v="Quinu"/>
    <n v="39"/>
    <n v="93"/>
    <n v="57"/>
    <s v="Require"/>
    <n v="93"/>
    <s v="High Priority"/>
    <s v=" 2.50  "/>
    <n v="97.5"/>
    <d v="2024-04-06T00:00:00"/>
    <d v="2024-05-28T00:00:00"/>
    <d v="2025-01-03T00:00:00"/>
    <n v="691"/>
    <n v="639"/>
    <n v="419"/>
    <s v="Expiring Soon"/>
    <s v="6810 Aberg Junction"/>
    <n v="26"/>
    <n v="2535"/>
    <n v="44"/>
    <s v="Backordered"/>
  </r>
  <r>
    <s v="30-964-2694"/>
    <s v="Peas"/>
    <x v="2"/>
    <s v="42-976-2737"/>
    <s v="Edgeclub"/>
    <n v="48"/>
    <n v="72"/>
    <n v="55"/>
    <s v="Require"/>
    <n v="72"/>
    <s v="High Priority"/>
    <s v=" 3.00  "/>
    <n v="144"/>
    <d v="2024-09-18T00:00:00"/>
    <d v="2024-12-05T00:00:00"/>
    <d v="2024-06-30T00:00:00"/>
    <n v="526"/>
    <n v="448"/>
    <n v="606"/>
    <s v="Safe"/>
    <s v="39 Dovetail Terrace"/>
    <n v="51"/>
    <n v="7344"/>
    <n v="41"/>
    <s v="Active"/>
  </r>
  <r>
    <s v="15-144-9413"/>
    <s v="Strawberries"/>
    <x v="2"/>
    <s v="08-912-0895"/>
    <s v="Meevee"/>
    <n v="58"/>
    <n v="15"/>
    <n v="87"/>
    <s v="Sufficient"/>
    <n v="0"/>
    <s v="Normal"/>
    <s v=" 5.90  "/>
    <n v="342.20000000000005"/>
    <d v="2024-10-07T00:00:00"/>
    <d v="2024-06-30T00:00:00"/>
    <d v="2024-07-29T00:00:00"/>
    <n v="507"/>
    <n v="606"/>
    <n v="577"/>
    <s v="Safe"/>
    <s v="3 Buhler Place"/>
    <n v="52"/>
    <n v="17794.400000000001"/>
    <n v="81"/>
    <s v="Backordered"/>
  </r>
  <r>
    <s v="17-253-5688"/>
    <s v="Greek Yogurt"/>
    <x v="4"/>
    <s v="42-638-2086"/>
    <s v="Shufflester"/>
    <n v="39"/>
    <n v="55"/>
    <n v="39"/>
    <s v="Require"/>
    <n v="55"/>
    <s v="Normal"/>
    <s v=" 3.00  "/>
    <n v="117"/>
    <d v="2024-08-15T00:00:00"/>
    <d v="2024-07-07T00:00:00"/>
    <d v="2024-06-20T00:00:00"/>
    <n v="560"/>
    <n v="599"/>
    <n v="616"/>
    <s v="Safe"/>
    <s v="7 Hooker Way"/>
    <n v="47"/>
    <n v="5499"/>
    <n v="59"/>
    <s v="Backordered"/>
  </r>
  <r>
    <s v="31-608-1445"/>
    <s v="Papaya"/>
    <x v="2"/>
    <s v="75-286-4153"/>
    <s v="Ntag"/>
    <n v="84"/>
    <n v="28"/>
    <n v="29"/>
    <s v="Sufficient"/>
    <n v="0"/>
    <s v="Normal"/>
    <s v=" 4.40  "/>
    <n v="369.6"/>
    <d v="2025-09-02T00:00:00"/>
    <d v="2025-02-15T00:00:00"/>
    <d v="2024-12-14T00:00:00"/>
    <n v="177"/>
    <n v="376"/>
    <n v="439"/>
    <s v="Expiring Soon"/>
    <s v="227 Tennyson Plaza"/>
    <n v="54"/>
    <n v="19958.400000000001"/>
    <n v="32"/>
    <s v="Discontinued"/>
  </r>
  <r>
    <s v="51-934-9117"/>
    <s v="Sardines"/>
    <x v="6"/>
    <s v="34-389-9922"/>
    <s v="Linklinks"/>
    <n v="30"/>
    <n v="55"/>
    <n v="4"/>
    <s v="Require"/>
    <n v="55"/>
    <s v="Normal"/>
    <s v=" 6.00  "/>
    <n v="180"/>
    <d v="2024-08-25T00:00:00"/>
    <d v="2024-07-28T00:00:00"/>
    <d v="2025-01-31T00:00:00"/>
    <n v="550"/>
    <n v="578"/>
    <n v="391"/>
    <s v="Expiring Soon"/>
    <s v="05944 Scott Parkway"/>
    <n v="56"/>
    <n v="10080"/>
    <n v="31"/>
    <s v="Active"/>
  </r>
  <r>
    <s v="72-810-9753"/>
    <s v="Sesame Oil"/>
    <x v="3"/>
    <s v="17-359-2527"/>
    <s v="Yotz"/>
    <n v="14"/>
    <n v="84"/>
    <n v="15"/>
    <s v="Require"/>
    <n v="84"/>
    <s v="High Priority"/>
    <s v=" 6.50  "/>
    <n v="91"/>
    <d v="2025-01-28T00:00:00"/>
    <d v="2025-07-02T00:00:00"/>
    <d v="2024-12-12T00:00:00"/>
    <n v="394"/>
    <n v="239"/>
    <n v="441"/>
    <s v="Expiring Soon"/>
    <s v="545 Farwell Lane"/>
    <n v="51"/>
    <n v="4641"/>
    <n v="73"/>
    <s v="Active"/>
  </r>
  <r>
    <s v="53-146-9979"/>
    <s v="Powdered Sugar"/>
    <x v="0"/>
    <s v="44-388-2451"/>
    <s v="Skidoo"/>
    <n v="21"/>
    <n v="15"/>
    <n v="27"/>
    <s v="Sufficient"/>
    <n v="0"/>
    <s v="Normal"/>
    <s v=" 2.50  "/>
    <n v="52.5"/>
    <d v="2025-05-02T00:00:00"/>
    <d v="2024-11-10T00:00:00"/>
    <d v="2024-08-08T00:00:00"/>
    <n v="300"/>
    <n v="473"/>
    <n v="567"/>
    <s v="Safe"/>
    <s v="42 Mandrake Alley"/>
    <n v="37"/>
    <n v="1942.5"/>
    <n v="41"/>
    <s v="Active"/>
  </r>
  <r>
    <s v="46-622-3434"/>
    <s v="Jasmine Rice"/>
    <x v="0"/>
    <s v="85-473-1534"/>
    <s v="Topdrive"/>
    <n v="17"/>
    <n v="19"/>
    <n v="74"/>
    <s v="Require"/>
    <n v="19"/>
    <s v="Normal"/>
    <s v=" 4.75  "/>
    <n v="80.75"/>
    <d v="2024-04-10T00:00:00"/>
    <d v="2024-08-12T00:00:00"/>
    <d v="2024-07-23T00:00:00"/>
    <n v="687"/>
    <n v="563"/>
    <n v="583"/>
    <s v="Safe"/>
    <s v="2 Miller Lane"/>
    <n v="58"/>
    <n v="4683.5"/>
    <n v="27"/>
    <s v="Discontinued"/>
  </r>
  <r>
    <s v="47-843-8207"/>
    <s v="Cauliflower"/>
    <x v="2"/>
    <s v="55-838-9088"/>
    <s v="Cogilith"/>
    <n v="34"/>
    <n v="92"/>
    <n v="26"/>
    <s v="Require"/>
    <n v="92"/>
    <s v="High Priority"/>
    <s v=" 2.50  "/>
    <n v="85"/>
    <d v="2024-01-09T00:00:00"/>
    <d v="2024-10-04T00:00:00"/>
    <d v="2024-12-27T00:00:00"/>
    <n v="779"/>
    <n v="510"/>
    <n v="426"/>
    <s v="Expiring Soon"/>
    <s v="01 Northfield Road"/>
    <n v="28"/>
    <n v="2380"/>
    <n v="71"/>
    <s v="Active"/>
  </r>
  <r>
    <s v="29-135-0791"/>
    <s v="Jasmine Rice"/>
    <x v="0"/>
    <s v="05-050-4384"/>
    <s v="Babblestorm"/>
    <n v="56"/>
    <n v="48"/>
    <n v="82"/>
    <s v="Sufficient"/>
    <n v="0"/>
    <s v="Normal"/>
    <s v=" 4.75  "/>
    <n v="266"/>
    <d v="2024-10-18T00:00:00"/>
    <d v="2024-12-21T00:00:00"/>
    <d v="2025-01-11T00:00:00"/>
    <n v="496"/>
    <n v="432"/>
    <n v="411"/>
    <s v="Expiring Soon"/>
    <s v="97 Utah Lane"/>
    <n v="71"/>
    <n v="18886"/>
    <n v="65"/>
    <s v="Backordered"/>
  </r>
  <r>
    <s v="45-194-4094"/>
    <s v="Plum"/>
    <x v="2"/>
    <s v="65-611-4749"/>
    <s v="Devcast"/>
    <n v="64"/>
    <n v="71"/>
    <n v="69"/>
    <s v="Require"/>
    <n v="71"/>
    <s v="High Priority"/>
    <s v=" 3.90  "/>
    <n v="249.6"/>
    <d v="2024-10-10T00:00:00"/>
    <d v="2024-06-14T00:00:00"/>
    <d v="2024-10-10T00:00:00"/>
    <n v="504"/>
    <n v="622"/>
    <n v="504"/>
    <s v="Expiring Soon"/>
    <s v="2 Scofield Street"/>
    <n v="60"/>
    <n v="14976"/>
    <n v="67"/>
    <s v="Active"/>
  </r>
  <r>
    <s v="09-712-3630"/>
    <s v="Grapes"/>
    <x v="2"/>
    <s v="17-807-6972"/>
    <s v="Aibox"/>
    <n v="87"/>
    <n v="62"/>
    <n v="2"/>
    <s v="Sufficient"/>
    <n v="0"/>
    <s v="Normal"/>
    <s v=" 5.50  "/>
    <n v="478.5"/>
    <d v="2024-09-07T00:00:00"/>
    <d v="2024-03-25T00:00:00"/>
    <d v="2024-09-30T00:00:00"/>
    <n v="537"/>
    <n v="703"/>
    <n v="514"/>
    <s v="Expiring Soon"/>
    <s v="10 Golf Course Hill"/>
    <n v="22"/>
    <n v="10527"/>
    <n v="38"/>
    <s v="Backordered"/>
  </r>
  <r>
    <s v="56-213-0577"/>
    <s v="Papaya"/>
    <x v="2"/>
    <s v="72-306-8602"/>
    <s v="Kwinu"/>
    <n v="24"/>
    <n v="25"/>
    <n v="52"/>
    <s v="Require"/>
    <n v="25"/>
    <s v="Normal"/>
    <s v=" 4.50  "/>
    <n v="108"/>
    <d v="2024-05-25T00:00:00"/>
    <d v="2024-05-23T00:00:00"/>
    <d v="2024-09-17T00:00:00"/>
    <n v="642"/>
    <n v="644"/>
    <n v="527"/>
    <s v="Expiring Soon"/>
    <s v="851 Hollow Ridge Center"/>
    <n v="24"/>
    <n v="2592"/>
    <n v="77"/>
    <s v="Backordered"/>
  </r>
  <r>
    <s v="78-956-4737"/>
    <s v="Sushi Rice"/>
    <x v="0"/>
    <s v="76-712-0418"/>
    <s v="Photobug"/>
    <n v="47"/>
    <n v="1"/>
    <n v="60"/>
    <s v="Sufficient"/>
    <n v="0"/>
    <s v="Normal"/>
    <s v=" 4.20  "/>
    <n v="197.4"/>
    <d v="2025-01-29T00:00:00"/>
    <d v="2024-05-19T00:00:00"/>
    <d v="2024-04-18T00:00:00"/>
    <n v="393"/>
    <n v="648"/>
    <n v="679"/>
    <s v="Safe"/>
    <s v="9 Burrows Junction"/>
    <n v="32"/>
    <n v="6316.8"/>
    <n v="87"/>
    <s v="Discontinued"/>
  </r>
  <r>
    <s v="29-436-6570"/>
    <s v="Digestive Biscuit"/>
    <x v="5"/>
    <s v="12-140-7809"/>
    <s v="Quatz"/>
    <n v="61"/>
    <n v="8"/>
    <n v="45"/>
    <s v="Sufficient"/>
    <n v="0"/>
    <s v="Normal"/>
    <s v=" 4.00  "/>
    <n v="244"/>
    <d v="2024-06-20T00:00:00"/>
    <d v="2024-09-27T00:00:00"/>
    <d v="2024-09-17T00:00:00"/>
    <n v="616"/>
    <n v="517"/>
    <n v="527"/>
    <s v="Expiring Soon"/>
    <s v="30590 Bowman Alley"/>
    <n v="73"/>
    <n v="17812"/>
    <n v="64"/>
    <s v="Discontinued"/>
  </r>
  <r>
    <s v="04-038-1547"/>
    <s v="Rye Bread"/>
    <x v="5"/>
    <s v="61-912-9541"/>
    <s v="Realblab"/>
    <n v="48"/>
    <n v="2"/>
    <n v="16"/>
    <s v="Sufficient"/>
    <n v="0"/>
    <s v="Normal"/>
    <s v=" 2.80  "/>
    <n v="134.39999999999998"/>
    <d v="2024-03-26T00:00:00"/>
    <d v="2024-11-24T00:00:00"/>
    <d v="2024-06-08T00:00:00"/>
    <n v="702"/>
    <n v="459"/>
    <n v="628"/>
    <s v="Safe"/>
    <s v="76 Shelley Pass"/>
    <n v="27"/>
    <n v="3628.7999999999993"/>
    <n v="1"/>
    <s v="Discontinued"/>
  </r>
  <r>
    <s v="76-476-9996"/>
    <s v="Chocolate Biscuit"/>
    <x v="5"/>
    <s v="88-428-6227"/>
    <s v="Photobean"/>
    <n v="37"/>
    <n v="96"/>
    <n v="82"/>
    <s v="Require"/>
    <n v="96"/>
    <s v="High Priority"/>
    <s v=" 5.00  "/>
    <n v="185"/>
    <d v="2024-06-10T00:00:00"/>
    <d v="2025-01-14T00:00:00"/>
    <d v="2024-12-06T00:00:00"/>
    <n v="626"/>
    <n v="408"/>
    <n v="447"/>
    <s v="Expiring Soon"/>
    <s v="0 Larry Terrace"/>
    <n v="35"/>
    <n v="6475"/>
    <n v="23"/>
    <s v="Backordered"/>
  </r>
  <r>
    <s v="43-469-7551"/>
    <s v="Arabica Coffee"/>
    <x v="1"/>
    <s v="64-361-4238"/>
    <s v="Rhycero"/>
    <n v="45"/>
    <n v="36"/>
    <n v="97"/>
    <s v="Sufficient"/>
    <n v="0"/>
    <s v="Normal"/>
    <s v=" 20.00  "/>
    <n v="900"/>
    <d v="2024-12-27T00:00:00"/>
    <d v="2024-05-26T00:00:00"/>
    <d v="2025-01-25T00:00:00"/>
    <n v="426"/>
    <n v="641"/>
    <n v="397"/>
    <s v="Expiring Soon"/>
    <s v="760 Butternut Plaza"/>
    <n v="36"/>
    <n v="32400"/>
    <n v="6"/>
    <s v="Active"/>
  </r>
  <r>
    <s v="15-169-8058"/>
    <s v="Bread Flour"/>
    <x v="0"/>
    <s v="14-009-8505"/>
    <s v="Feedfire"/>
    <n v="87"/>
    <n v="97"/>
    <n v="28"/>
    <s v="Require"/>
    <n v="97"/>
    <s v="High Priority"/>
    <s v=" 1.50  "/>
    <n v="130.5"/>
    <d v="2024-12-06T00:00:00"/>
    <d v="2024-09-23T00:00:00"/>
    <d v="2024-04-18T00:00:00"/>
    <n v="447"/>
    <n v="521"/>
    <n v="679"/>
    <s v="Safe"/>
    <s v="26160 Independence Alley"/>
    <n v="58"/>
    <n v="7569"/>
    <n v="21"/>
    <s v="Active"/>
  </r>
  <r>
    <s v="37-567-3218"/>
    <s v="Almond Flour"/>
    <x v="0"/>
    <s v="03-257-4437"/>
    <s v="Trilia"/>
    <n v="37"/>
    <n v="47"/>
    <n v="34"/>
    <s v="Require"/>
    <n v="47"/>
    <s v="Normal"/>
    <s v=" 9.50  "/>
    <n v="351.5"/>
    <d v="2024-07-30T00:00:00"/>
    <d v="2024-10-31T00:00:00"/>
    <d v="2024-07-20T00:00:00"/>
    <n v="576"/>
    <n v="483"/>
    <n v="586"/>
    <s v="Safe"/>
    <s v="153 Caliangt Plaza"/>
    <n v="38"/>
    <n v="13357"/>
    <n v="89"/>
    <s v="Backordered"/>
  </r>
  <r>
    <s v="92-455-2959"/>
    <s v="Robusta Coffee"/>
    <x v="1"/>
    <s v="13-109-8639"/>
    <s v="Katz"/>
    <n v="59"/>
    <n v="62"/>
    <n v="57"/>
    <s v="Require"/>
    <n v="62"/>
    <s v="High Priority"/>
    <s v=" 10.30  "/>
    <n v="607.70000000000005"/>
    <d v="2024-11-09T00:00:00"/>
    <d v="2024-07-16T00:00:00"/>
    <d v="2024-02-25T00:00:00"/>
    <n v="474"/>
    <n v="590"/>
    <n v="732"/>
    <s v="Safe"/>
    <s v="0 Ohio Hill"/>
    <n v="90"/>
    <n v="54693.000000000007"/>
    <n v="94"/>
    <s v="Backordered"/>
  </r>
  <r>
    <s v="75-672-4378"/>
    <s v="Pomegranate"/>
    <x v="2"/>
    <s v="20-103-9525"/>
    <s v="Eare"/>
    <n v="62"/>
    <n v="40"/>
    <n v="86"/>
    <s v="Sufficient"/>
    <n v="0"/>
    <s v="Normal"/>
    <s v=" 6.00  "/>
    <n v="372"/>
    <d v="2024-07-15T00:00:00"/>
    <d v="2024-11-16T00:00:00"/>
    <d v="2024-06-05T00:00:00"/>
    <n v="591"/>
    <n v="467"/>
    <n v="631"/>
    <s v="Safe"/>
    <s v="4 Esch Point"/>
    <n v="45"/>
    <n v="16740"/>
    <n v="86"/>
    <s v="Backordered"/>
  </r>
  <r>
    <s v="66-806-6051"/>
    <s v="Yogurt"/>
    <x v="4"/>
    <s v="19-875-5642"/>
    <s v="Devpulse"/>
    <n v="63"/>
    <n v="12"/>
    <n v="82"/>
    <s v="Sufficient"/>
    <n v="0"/>
    <s v="Normal"/>
    <s v=" 1.70  "/>
    <n v="107.1"/>
    <d v="2024-09-23T00:00:00"/>
    <d v="2024-01-07T00:00:00"/>
    <d v="2024-05-23T00:00:00"/>
    <n v="521"/>
    <n v="781"/>
    <n v="644"/>
    <s v="Safe"/>
    <s v="8 Kensington Place"/>
    <n v="56"/>
    <n v="5997.5999999999995"/>
    <n v="31"/>
    <s v="Backordered"/>
  </r>
  <r>
    <s v="65-527-9488"/>
    <s v="Grapes"/>
    <x v="2"/>
    <s v="23-482-0516"/>
    <s v="Layo"/>
    <n v="38"/>
    <n v="72"/>
    <n v="39"/>
    <s v="Require"/>
    <n v="72"/>
    <s v="High Priority"/>
    <s v=" 5.50  "/>
    <n v="209"/>
    <d v="2024-10-07T00:00:00"/>
    <d v="2024-06-24T00:00:00"/>
    <d v="2024-10-10T00:00:00"/>
    <n v="507"/>
    <n v="612"/>
    <n v="504"/>
    <s v="Expiring Soon"/>
    <s v="23704 Algoma Park"/>
    <n v="59"/>
    <n v="12331"/>
    <n v="8"/>
    <s v="Active"/>
  </r>
  <r>
    <s v="36-840-2728"/>
    <s v="Mackerel"/>
    <x v="6"/>
    <s v="26-454-7297"/>
    <s v="Dabfeed"/>
    <n v="76"/>
    <n v="21"/>
    <n v="3"/>
    <s v="Sufficient"/>
    <n v="0"/>
    <s v="Normal"/>
    <s v=" 7.50  "/>
    <n v="570"/>
    <d v="2025-01-21T00:00:00"/>
    <d v="2024-10-08T00:00:00"/>
    <d v="2024-03-14T00:00:00"/>
    <n v="401"/>
    <n v="506"/>
    <n v="714"/>
    <s v="Safe"/>
    <s v="08545 Lillian Street"/>
    <n v="31"/>
    <n v="17670"/>
    <n v="47"/>
    <s v="Discontinued"/>
  </r>
  <r>
    <s v="07-389-5740"/>
    <s v="Egg (Quail)"/>
    <x v="4"/>
    <s v="72-784-3292"/>
    <s v="Skimia"/>
    <n v="34"/>
    <n v="94"/>
    <n v="69"/>
    <s v="Require"/>
    <n v="94"/>
    <s v="High Priority"/>
    <s v=" 0.80  "/>
    <n v="27.200000000000003"/>
    <d v="2025-03-01T00:00:00"/>
    <d v="2024-12-03T00:00:00"/>
    <d v="2024-07-17T00:00:00"/>
    <n v="362"/>
    <n v="450"/>
    <n v="589"/>
    <s v="Safe"/>
    <s v="59 Veith Center"/>
    <n v="96"/>
    <n v="2611.2000000000003"/>
    <n v="30"/>
    <s v="Backordered"/>
  </r>
  <r>
    <s v="13-144-2169"/>
    <s v="Eggplant"/>
    <x v="2"/>
    <s v="11-742-5033"/>
    <s v="Blogpad"/>
    <n v="25"/>
    <n v="62"/>
    <n v="11"/>
    <s v="Require"/>
    <n v="62"/>
    <s v="High Priority"/>
    <s v=" 3.00  "/>
    <n v="75"/>
    <d v="2024-01-10T00:00:00"/>
    <d v="2024-01-12T00:00:00"/>
    <d v="2024-09-07T00:00:00"/>
    <n v="778"/>
    <n v="776"/>
    <n v="537"/>
    <s v="Expiring Soon"/>
    <s v="52 Namekagon Junction"/>
    <n v="57"/>
    <n v="4275"/>
    <n v="98"/>
    <s v="Backordered"/>
  </r>
  <r>
    <s v="13-798-3397"/>
    <s v="Egg (Turkey)"/>
    <x v="4"/>
    <s v="89-992-6472"/>
    <s v="Twimm"/>
    <n v="86"/>
    <n v="16"/>
    <n v="37"/>
    <s v="Sufficient"/>
    <n v="0"/>
    <s v="Normal"/>
    <s v=" 2.50  "/>
    <n v="215"/>
    <d v="2024-03-27T00:00:00"/>
    <d v="2024-09-05T00:00:00"/>
    <d v="2024-12-20T00:00:00"/>
    <n v="701"/>
    <n v="539"/>
    <n v="433"/>
    <s v="Expiring Soon"/>
    <s v="93321 Kennedy Point"/>
    <n v="34"/>
    <n v="7310"/>
    <n v="66"/>
    <s v="Active"/>
  </r>
  <r>
    <s v="85-806-0613"/>
    <s v="Oatmeal Biscuit"/>
    <x v="5"/>
    <s v="06-286-2758"/>
    <s v="Kwimbee"/>
    <n v="41"/>
    <n v="21"/>
    <n v="47"/>
    <s v="Sufficient"/>
    <n v="0"/>
    <s v="Normal"/>
    <s v=" 5.00  "/>
    <n v="205"/>
    <d v="2024-07-03T00:00:00"/>
    <d v="2025-01-01T00:00:00"/>
    <d v="2024-04-26T00:00:00"/>
    <n v="603"/>
    <n v="421"/>
    <n v="671"/>
    <s v="Safe"/>
    <s v="9269 Main Trail"/>
    <n v="50"/>
    <n v="10250"/>
    <n v="99"/>
    <s v="Active"/>
  </r>
  <r>
    <s v="67-248-6306"/>
    <s v="Cauliflower"/>
    <x v="2"/>
    <s v="86-173-6891"/>
    <s v="Avamm"/>
    <n v="77"/>
    <n v="54"/>
    <n v="10"/>
    <s v="Sufficient"/>
    <n v="0"/>
    <s v="Normal"/>
    <s v=" 2.50  "/>
    <n v="192.5"/>
    <d v="2024-07-27T00:00:00"/>
    <d v="2024-02-10T00:00:00"/>
    <d v="2024-12-22T00:00:00"/>
    <n v="579"/>
    <n v="747"/>
    <n v="431"/>
    <s v="Expiring Soon"/>
    <s v="05 Bartelt Street"/>
    <n v="64"/>
    <n v="12320"/>
    <n v="73"/>
    <s v="Active"/>
  </r>
  <r>
    <s v="47-866-6589"/>
    <s v="Egg (Duck)"/>
    <x v="4"/>
    <s v="78-203-1075"/>
    <s v="Dynazzy"/>
    <n v="41"/>
    <n v="61"/>
    <n v="69"/>
    <s v="Require"/>
    <n v="61"/>
    <s v="High Priority"/>
    <s v=" 1.00  "/>
    <n v="41"/>
    <d v="2024-07-26T00:00:00"/>
    <d v="2025-03-02T00:00:00"/>
    <d v="2024-07-27T00:00:00"/>
    <n v="580"/>
    <n v="361"/>
    <n v="579"/>
    <s v="Safe"/>
    <s v="30880 Barnett Junction"/>
    <n v="30"/>
    <n v="1230"/>
    <n v="100"/>
    <s v="Discontinued"/>
  </r>
  <r>
    <s v="91-127-7489"/>
    <s v="Orange"/>
    <x v="2"/>
    <s v="86-079-1525"/>
    <s v="Oyondu"/>
    <n v="44"/>
    <n v="8"/>
    <n v="52"/>
    <s v="Sufficient"/>
    <n v="0"/>
    <s v="Normal"/>
    <s v=" 2.95  "/>
    <n v="129.80000000000001"/>
    <d v="2024-11-05T00:00:00"/>
    <d v="2024-10-12T00:00:00"/>
    <d v="2024-08-04T00:00:00"/>
    <n v="478"/>
    <n v="502"/>
    <n v="571"/>
    <s v="Safe"/>
    <s v="43211 Anzinger Drive"/>
    <n v="42"/>
    <n v="5451.6"/>
    <n v="66"/>
    <s v="Active"/>
  </r>
  <r>
    <s v="90-343-9640"/>
    <s v="Avocado Oil"/>
    <x v="3"/>
    <s v="54-919-9424"/>
    <s v="Dabtype"/>
    <n v="53"/>
    <n v="89"/>
    <n v="100"/>
    <s v="Require"/>
    <n v="89"/>
    <s v="High Priority"/>
    <s v=" 10.00  "/>
    <n v="530"/>
    <d v="2024-01-07T00:00:00"/>
    <d v="2024-06-04T00:00:00"/>
    <d v="2024-10-06T00:00:00"/>
    <n v="781"/>
    <n v="632"/>
    <n v="508"/>
    <s v="Expiring Soon"/>
    <s v="3622 Anhalt Lane"/>
    <n v="22"/>
    <n v="11660"/>
    <n v="83"/>
    <s v="Backordered"/>
  </r>
  <r>
    <s v="01-018-6418"/>
    <s v="Chocolate Biscuit"/>
    <x v="5"/>
    <s v="78-888-6073"/>
    <s v="Chatterbridge"/>
    <n v="68"/>
    <n v="29"/>
    <n v="100"/>
    <s v="Sufficient"/>
    <n v="0"/>
    <s v="Normal"/>
    <s v=" 5.00  "/>
    <n v="340"/>
    <d v="2024-11-13T00:00:00"/>
    <d v="2024-09-27T00:00:00"/>
    <d v="2024-07-16T00:00:00"/>
    <n v="470"/>
    <n v="517"/>
    <n v="590"/>
    <s v="Safe"/>
    <s v="481 Mifflin Hill"/>
    <n v="70"/>
    <n v="23800"/>
    <n v="26"/>
    <s v="Backordered"/>
  </r>
  <r>
    <s v="80-375-9075"/>
    <s v="Swiss Cheese"/>
    <x v="4"/>
    <s v="86-487-3354"/>
    <s v="Centidel"/>
    <n v="96"/>
    <n v="34"/>
    <n v="57"/>
    <s v="Sufficient"/>
    <n v="0"/>
    <s v="Normal"/>
    <s v=" 8.00  "/>
    <n v="768"/>
    <d v="2024-11-23T00:00:00"/>
    <d v="2024-10-20T00:00:00"/>
    <d v="2024-06-19T00:00:00"/>
    <n v="460"/>
    <n v="494"/>
    <n v="617"/>
    <s v="Safe"/>
    <s v="3831 Goodland Road"/>
    <n v="71"/>
    <n v="54528"/>
    <n v="17"/>
    <s v="Discontinued"/>
  </r>
  <r>
    <s v="80-227-6886"/>
    <s v="Garlic"/>
    <x v="2"/>
    <s v="91-632-7343"/>
    <s v="Layo"/>
    <n v="33"/>
    <n v="4"/>
    <n v="31"/>
    <s v="Sufficient"/>
    <n v="0"/>
    <s v="Normal"/>
    <s v=" 7.00  "/>
    <n v="231"/>
    <d v="2024-03-13T00:00:00"/>
    <d v="2025-12-01T00:00:00"/>
    <d v="2024-06-14T00:00:00"/>
    <n v="715"/>
    <n v="87"/>
    <n v="622"/>
    <s v="Safe"/>
    <s v="4374 Corry Terrace"/>
    <n v="46"/>
    <n v="10626"/>
    <n v="92"/>
    <s v="Active"/>
  </r>
  <r>
    <s v="15-562-3712"/>
    <s v="Cauliflower"/>
    <x v="2"/>
    <s v="53-243-7800"/>
    <s v="Yakitri"/>
    <n v="33"/>
    <n v="89"/>
    <n v="15"/>
    <s v="Require"/>
    <n v="89"/>
    <s v="High Priority"/>
    <s v=" 2.50  "/>
    <n v="82.5"/>
    <d v="2024-08-27T00:00:00"/>
    <d v="2024-06-20T00:00:00"/>
    <d v="2024-10-28T00:00:00"/>
    <n v="548"/>
    <n v="616"/>
    <n v="486"/>
    <s v="Expiring Soon"/>
    <s v="1 Hudson Hill"/>
    <n v="90"/>
    <n v="7425"/>
    <n v="52"/>
    <s v="Discontinued"/>
  </r>
  <r>
    <s v="10-137-9759"/>
    <s v="Watermelon"/>
    <x v="2"/>
    <s v="23-688-6256"/>
    <s v="Trupe"/>
    <n v="90"/>
    <n v="17"/>
    <n v="17"/>
    <s v="Sufficient"/>
    <n v="0"/>
    <s v="Normal"/>
    <s v=" 3.00  "/>
    <n v="270"/>
    <d v="2024-03-31T00:00:00"/>
    <d v="2024-03-09T00:00:00"/>
    <d v="2024-03-10T00:00:00"/>
    <n v="697"/>
    <n v="719"/>
    <n v="718"/>
    <s v="Safe"/>
    <s v="402 Kings Road"/>
    <n v="82"/>
    <n v="22140"/>
    <n v="84"/>
    <s v="Backordered"/>
  </r>
  <r>
    <s v="69-171-1305"/>
    <s v="Brown Rice"/>
    <x v="0"/>
    <s v="33-733-7313"/>
    <s v="Livetube"/>
    <n v="31"/>
    <n v="29"/>
    <n v="57"/>
    <s v="Sufficient"/>
    <n v="0"/>
    <s v="Normal"/>
    <s v=" 2.50  "/>
    <n v="77.5"/>
    <d v="2024-10-26T00:00:00"/>
    <d v="2024-06-18T00:00:00"/>
    <d v="2024-10-11T00:00:00"/>
    <n v="488"/>
    <n v="618"/>
    <n v="503"/>
    <s v="Expiring Soon"/>
    <s v="9951 Petterle Alley"/>
    <n v="25"/>
    <n v="1937.5"/>
    <n v="22"/>
    <s v="Active"/>
  </r>
  <r>
    <s v="83-117-7658"/>
    <s v="Asparagus"/>
    <x v="2"/>
    <s v="61-424-7670"/>
    <s v="Yabox"/>
    <n v="92"/>
    <n v="3"/>
    <n v="81"/>
    <s v="Sufficient"/>
    <n v="0"/>
    <s v="Normal"/>
    <s v=" 5.00  "/>
    <n v="460"/>
    <d v="2024-05-04T00:00:00"/>
    <d v="2024-02-25T00:00:00"/>
    <d v="2024-12-19T00:00:00"/>
    <n v="663"/>
    <n v="732"/>
    <n v="434"/>
    <s v="Expiring Soon"/>
    <s v="0282 Emmet Hill"/>
    <n v="62"/>
    <n v="28520"/>
    <n v="20"/>
    <s v="Backordered"/>
  </r>
  <r>
    <s v="74-642-2435"/>
    <s v="Cauliflower"/>
    <x v="2"/>
    <s v="52-012-3409"/>
    <s v="Skinix"/>
    <n v="66"/>
    <n v="31"/>
    <n v="18"/>
    <s v="Sufficient"/>
    <n v="0"/>
    <s v="Normal"/>
    <s v=" 2.50  "/>
    <n v="165"/>
    <d v="2024-06-04T00:00:00"/>
    <d v="2024-12-28T00:00:00"/>
    <d v="2024-04-08T00:00:00"/>
    <n v="632"/>
    <n v="425"/>
    <n v="689"/>
    <s v="Safe"/>
    <s v="6292 Chive Street"/>
    <n v="85"/>
    <n v="14025"/>
    <n v="39"/>
    <s v="Backordered"/>
  </r>
  <r>
    <s v="10-445-0741"/>
    <s v="Anchovies"/>
    <x v="6"/>
    <s v="82-470-7146"/>
    <s v="Mybuzz"/>
    <n v="83"/>
    <n v="17"/>
    <n v="39"/>
    <s v="Sufficient"/>
    <n v="0"/>
    <s v="Normal"/>
    <s v=" 10.00  "/>
    <n v="830"/>
    <d v="2024-03-06T00:00:00"/>
    <d v="2024-11-07T00:00:00"/>
    <d v="2024-03-31T00:00:00"/>
    <n v="722"/>
    <n v="476"/>
    <n v="697"/>
    <s v="Safe"/>
    <s v="31 Loomis Park"/>
    <n v="33"/>
    <n v="27390"/>
    <n v="20"/>
    <s v="Active"/>
  </r>
  <r>
    <s v="80-658-6456"/>
    <s v="Mango"/>
    <x v="2"/>
    <s v="42-080-6579"/>
    <s v="Wordtune"/>
    <n v="84"/>
    <n v="9"/>
    <n v="46"/>
    <s v="Sufficient"/>
    <n v="0"/>
    <s v="Normal"/>
    <s v=" 5.00  "/>
    <n v="420"/>
    <d v="2024-08-06T00:00:00"/>
    <d v="2024-05-19T00:00:00"/>
    <d v="2024-12-10T00:00:00"/>
    <n v="569"/>
    <n v="648"/>
    <n v="443"/>
    <s v="Expiring Soon"/>
    <s v="44051 Old Shore Junction"/>
    <n v="30"/>
    <n v="12600"/>
    <n v="68"/>
    <s v="Backordered"/>
  </r>
  <r>
    <s v="81-354-4203"/>
    <s v="Haddock"/>
    <x v="6"/>
    <s v="15-466-5131"/>
    <s v="Yabox"/>
    <n v="76"/>
    <n v="57"/>
    <n v="78"/>
    <s v="Sufficient"/>
    <n v="0"/>
    <s v="Normal"/>
    <s v=" 9.00  "/>
    <n v="684"/>
    <d v="2024-06-18T00:00:00"/>
    <d v="2024-06-27T00:00:00"/>
    <d v="2024-04-28T00:00:00"/>
    <n v="618"/>
    <n v="609"/>
    <n v="669"/>
    <s v="Safe"/>
    <s v="12 Luster Terrace"/>
    <n v="52"/>
    <n v="35568"/>
    <n v="86"/>
    <s v="Discontinued"/>
  </r>
  <r>
    <s v="08-573-9997"/>
    <s v="Pomegranate"/>
    <x v="2"/>
    <s v="95-734-4024"/>
    <s v="Meevee"/>
    <n v="26"/>
    <n v="1"/>
    <n v="9"/>
    <s v="Sufficient"/>
    <n v="0"/>
    <s v="Normal"/>
    <s v=" 6.00  "/>
    <n v="156"/>
    <d v="2025-10-02T00:00:00"/>
    <d v="2024-05-04T00:00:00"/>
    <d v="2024-12-02T00:00:00"/>
    <n v="147"/>
    <n v="663"/>
    <n v="451"/>
    <s v="Expiring Soon"/>
    <s v="03 Little Fleur Pass"/>
    <n v="82"/>
    <n v="12792"/>
    <n v="8"/>
    <s v="Backordered"/>
  </r>
  <r>
    <s v="74-610-2295"/>
    <s v="Green Coffee"/>
    <x v="1"/>
    <s v="22-959-6357"/>
    <s v="Lajo"/>
    <n v="61"/>
    <n v="31"/>
    <n v="100"/>
    <s v="Sufficient"/>
    <n v="0"/>
    <s v="Normal"/>
    <s v=" 12.50  "/>
    <n v="762.5"/>
    <d v="2024-12-30T00:00:00"/>
    <d v="2024-03-16T00:00:00"/>
    <d v="2024-09-26T00:00:00"/>
    <n v="423"/>
    <n v="712"/>
    <n v="518"/>
    <s v="Expiring Soon"/>
    <s v="87 Bluestem Parkway"/>
    <n v="95"/>
    <n v="72437.5"/>
    <n v="61"/>
    <s v="Active"/>
  </r>
  <r>
    <s v="76-070-1411"/>
    <s v="Evaporated Milk"/>
    <x v="4"/>
    <s v="63-528-0643"/>
    <s v="Realcube"/>
    <n v="15"/>
    <n v="75"/>
    <n v="78"/>
    <s v="Require"/>
    <n v="75"/>
    <s v="High Priority"/>
    <s v=" 1.90  "/>
    <n v="28.5"/>
    <d v="2025-01-02T00:00:00"/>
    <d v="2025-12-02T00:00:00"/>
    <d v="2025-02-14T00:00:00"/>
    <n v="420"/>
    <n v="86"/>
    <n v="377"/>
    <s v="Expiring Soon"/>
    <s v="87578 Stoughton Parkway"/>
    <n v="71"/>
    <n v="2023.5"/>
    <n v="21"/>
    <s v="Discontinued"/>
  </r>
  <r>
    <s v="61-582-7399"/>
    <s v="Apricot"/>
    <x v="2"/>
    <s v="15-062-6342"/>
    <s v="Topiczoom"/>
    <n v="73"/>
    <n v="83"/>
    <n v="74"/>
    <s v="Require"/>
    <n v="83"/>
    <s v="High Priority"/>
    <s v=" 5.00  "/>
    <n v="365"/>
    <d v="2024-03-29T00:00:00"/>
    <d v="2025-05-02T00:00:00"/>
    <d v="2024-07-22T00:00:00"/>
    <n v="699"/>
    <n v="300"/>
    <n v="584"/>
    <s v="Safe"/>
    <s v="8 Hanover Center"/>
    <n v="87"/>
    <n v="31755"/>
    <n v="10"/>
    <s v="Discontinued"/>
  </r>
  <r>
    <s v="42-674-3917"/>
    <s v="Whole Wheat Flour"/>
    <x v="0"/>
    <s v="26-080-4944"/>
    <s v="Pixonyx"/>
    <n v="41"/>
    <n v="76"/>
    <n v="47"/>
    <s v="Require"/>
    <n v="76"/>
    <s v="High Priority"/>
    <s v=" 2.65  "/>
    <n v="108.64999999999999"/>
    <d v="2024-09-15T00:00:00"/>
    <d v="2024-04-20T00:00:00"/>
    <d v="2024-06-06T00:00:00"/>
    <n v="529"/>
    <n v="677"/>
    <n v="630"/>
    <s v="Safe"/>
    <s v="78 Forest Dale Road"/>
    <n v="50"/>
    <n v="5432.5"/>
    <n v="50"/>
    <s v="Backordered"/>
  </r>
  <r>
    <s v="05-899-1428"/>
    <s v="Avocado Oil"/>
    <x v="3"/>
    <s v="17-494-5505"/>
    <s v="Dabjam"/>
    <n v="14"/>
    <n v="75"/>
    <n v="10"/>
    <s v="Require"/>
    <n v="75"/>
    <s v="High Priority"/>
    <s v=" 10.00  "/>
    <n v="140"/>
    <d v="2024-04-10T00:00:00"/>
    <d v="2025-01-25T00:00:00"/>
    <d v="2024-07-01T00:00:00"/>
    <n v="687"/>
    <n v="397"/>
    <n v="605"/>
    <s v="Safe"/>
    <s v="591 Maple Junction"/>
    <n v="65"/>
    <n v="9100"/>
    <n v="62"/>
    <s v="Active"/>
  </r>
  <r>
    <s v="74-548-9313"/>
    <s v="Mango"/>
    <x v="2"/>
    <s v="69-832-7009"/>
    <s v="Meevee"/>
    <n v="99"/>
    <n v="59"/>
    <n v="12"/>
    <s v="Sufficient"/>
    <n v="0"/>
    <s v="Normal"/>
    <s v=" 5.00  "/>
    <n v="495"/>
    <d v="2024-06-24T00:00:00"/>
    <d v="2024-09-20T00:00:00"/>
    <d v="2025-02-12T00:00:00"/>
    <n v="612"/>
    <n v="524"/>
    <n v="379"/>
    <s v="Expiring Soon"/>
    <s v="1 Judy Street"/>
    <n v="52"/>
    <n v="25740"/>
    <n v="57"/>
    <s v="Backordered"/>
  </r>
  <r>
    <s v="20-448-2972"/>
    <s v="Asparagus"/>
    <x v="2"/>
    <s v="26-920-6626"/>
    <s v="Buzzbean"/>
    <n v="80"/>
    <n v="6"/>
    <n v="92"/>
    <s v="Sufficient"/>
    <n v="0"/>
    <s v="Normal"/>
    <s v=" 5.00  "/>
    <n v="400"/>
    <d v="2025-01-14T00:00:00"/>
    <d v="2025-01-20T00:00:00"/>
    <d v="2024-09-16T00:00:00"/>
    <n v="408"/>
    <n v="402"/>
    <n v="528"/>
    <s v="Expiring Soon"/>
    <s v="49770 Hoffman Court"/>
    <n v="26"/>
    <n v="10400"/>
    <n v="71"/>
    <s v="Discontinued"/>
  </r>
  <r>
    <s v="63-162-9244"/>
    <s v="Eggplant"/>
    <x v="2"/>
    <s v="58-945-2944"/>
    <s v="Vimbo"/>
    <n v="49"/>
    <n v="89"/>
    <n v="65"/>
    <s v="Require"/>
    <n v="89"/>
    <s v="High Priority"/>
    <s v=" 3.00  "/>
    <n v="147"/>
    <d v="2024-05-24T00:00:00"/>
    <d v="2024-11-08T00:00:00"/>
    <d v="2024-05-17T00:00:00"/>
    <n v="643"/>
    <n v="475"/>
    <n v="650"/>
    <s v="Safe"/>
    <s v="04 Rockefeller Terrace"/>
    <n v="37"/>
    <n v="5439"/>
    <n v="48"/>
    <s v="Active"/>
  </r>
  <r>
    <s v="91-417-0366"/>
    <s v="Grapes"/>
    <x v="2"/>
    <s v="28-442-2578"/>
    <s v="Riffwire"/>
    <n v="25"/>
    <n v="74"/>
    <n v="100"/>
    <s v="Require"/>
    <n v="74"/>
    <s v="High Priority"/>
    <s v=" 5.50  "/>
    <n v="137.5"/>
    <d v="2024-07-06T00:00:00"/>
    <d v="2024-07-12T00:00:00"/>
    <d v="2024-12-04T00:00:00"/>
    <n v="600"/>
    <n v="594"/>
    <n v="449"/>
    <s v="Expiring Soon"/>
    <s v="1 Elmside Parkway"/>
    <n v="41"/>
    <n v="5637.5"/>
    <n v="59"/>
    <s v="Discontinued"/>
  </r>
  <r>
    <s v="60-311-5701"/>
    <s v="Sesame Oil"/>
    <x v="3"/>
    <s v="07-578-7055"/>
    <s v="Shuffledrive"/>
    <n v="39"/>
    <n v="78"/>
    <n v="97"/>
    <s v="Require"/>
    <n v="78"/>
    <s v="High Priority"/>
    <s v=" 6.50  "/>
    <n v="253.5"/>
    <d v="2024-10-29T00:00:00"/>
    <d v="2024-10-19T00:00:00"/>
    <d v="2024-07-17T00:00:00"/>
    <n v="485"/>
    <n v="495"/>
    <n v="589"/>
    <s v="Safe"/>
    <s v="9 Meadow Vale Drive"/>
    <n v="54"/>
    <n v="13689"/>
    <n v="89"/>
    <s v="Backordered"/>
  </r>
  <r>
    <s v="36-899-5324"/>
    <s v="Orange"/>
    <x v="2"/>
    <s v="02-656-3112"/>
    <s v="Flashdog"/>
    <n v="94"/>
    <n v="58"/>
    <n v="17"/>
    <s v="Sufficient"/>
    <n v="0"/>
    <s v="Normal"/>
    <s v=" 2.90  "/>
    <n v="272.59999999999997"/>
    <d v="2024-01-08T00:00:00"/>
    <d v="2024-05-07T00:00:00"/>
    <d v="2024-12-19T00:00:00"/>
    <n v="780"/>
    <n v="660"/>
    <n v="434"/>
    <s v="Expiring Soon"/>
    <s v="3 Bashford Court"/>
    <n v="57"/>
    <n v="15538.199999999999"/>
    <n v="74"/>
    <s v="Backordered"/>
  </r>
  <r>
    <s v="22-266-9291"/>
    <s v="Sardines"/>
    <x v="6"/>
    <s v="15-550-0171"/>
    <s v="Vinder"/>
    <n v="11"/>
    <n v="17"/>
    <n v="59"/>
    <s v="Require"/>
    <n v="17"/>
    <s v="Normal"/>
    <s v=" 6.00  "/>
    <n v="66"/>
    <d v="2024-07-20T00:00:00"/>
    <d v="2024-03-27T00:00:00"/>
    <d v="2024-04-08T00:00:00"/>
    <n v="586"/>
    <n v="701"/>
    <n v="689"/>
    <s v="Safe"/>
    <s v="111 David Hill"/>
    <n v="69"/>
    <n v="4554"/>
    <n v="100"/>
    <s v="Backordered"/>
  </r>
  <r>
    <s v="76-584-4790"/>
    <s v="Peanut Oil"/>
    <x v="3"/>
    <s v="58-213-1146"/>
    <s v="Twitterwire"/>
    <n v="21"/>
    <n v="52"/>
    <n v="80"/>
    <s v="Require"/>
    <n v="52"/>
    <s v="Normal"/>
    <s v=" 4.00  "/>
    <n v="84"/>
    <d v="2024-03-06T00:00:00"/>
    <d v="2024-04-11T00:00:00"/>
    <d v="2025-01-01T00:00:00"/>
    <n v="722"/>
    <n v="686"/>
    <n v="421"/>
    <s v="Expiring Soon"/>
    <s v="1170 Shasta Circle"/>
    <n v="49"/>
    <n v="4116"/>
    <n v="37"/>
    <s v="Backordered"/>
  </r>
  <r>
    <s v="82-948-2298"/>
    <s v="Kiwi"/>
    <x v="2"/>
    <s v="53-749-6148"/>
    <s v="Topdrive"/>
    <n v="38"/>
    <n v="91"/>
    <n v="94"/>
    <s v="Require"/>
    <n v="91"/>
    <s v="High Priority"/>
    <s v=" 5.70  "/>
    <n v="216.6"/>
    <d v="2024-12-07T00:00:00"/>
    <d v="2025-02-17T00:00:00"/>
    <d v="2024-11-21T00:00:00"/>
    <n v="446"/>
    <n v="374"/>
    <n v="462"/>
    <s v="Expiring Soon"/>
    <s v="555 Butternut Hill"/>
    <n v="53"/>
    <n v="11479.8"/>
    <n v="87"/>
    <s v="Discontinued"/>
  </r>
  <r>
    <s v="97-283-4840"/>
    <s v="Palm Oil"/>
    <x v="3"/>
    <s v="64-604-1679"/>
    <s v="Browsetype"/>
    <n v="58"/>
    <n v="23"/>
    <n v="66"/>
    <s v="Sufficient"/>
    <n v="0"/>
    <s v="Normal"/>
    <s v=" 1.80  "/>
    <n v="104.4"/>
    <d v="2024-04-29T00:00:00"/>
    <d v="2024-12-05T00:00:00"/>
    <d v="2025-02-24T00:00:00"/>
    <n v="668"/>
    <n v="448"/>
    <n v="367"/>
    <s v="Expiring Soon"/>
    <s v="7232 Ridgeway Center"/>
    <n v="82"/>
    <n v="8560.8000000000011"/>
    <n v="61"/>
    <s v="Backordered"/>
  </r>
  <r>
    <s v="17-395-1121"/>
    <s v="Plum"/>
    <x v="2"/>
    <s v="67-252-3923"/>
    <s v="Lajo"/>
    <n v="85"/>
    <n v="16"/>
    <n v="74"/>
    <s v="Sufficient"/>
    <n v="0"/>
    <s v="Normal"/>
    <s v=" 3.85  "/>
    <n v="327.25"/>
    <d v="2024-11-18T00:00:00"/>
    <d v="2024-08-10T00:00:00"/>
    <d v="2024-12-03T00:00:00"/>
    <n v="465"/>
    <n v="565"/>
    <n v="450"/>
    <s v="Expiring Soon"/>
    <s v="8 Oriole Terrace"/>
    <n v="58"/>
    <n v="18980.5"/>
    <n v="36"/>
    <s v="Backordered"/>
  </r>
  <r>
    <s v="74-132-5528"/>
    <s v="Cauliflower"/>
    <x v="2"/>
    <s v="41-713-1053"/>
    <s v="Vinder"/>
    <n v="63"/>
    <n v="62"/>
    <n v="98"/>
    <s v="Sufficient"/>
    <n v="0"/>
    <s v="Normal"/>
    <s v=" 2.50  "/>
    <n v="157.5"/>
    <d v="2024-05-30T00:00:00"/>
    <d v="2024-03-21T00:00:00"/>
    <d v="2025-01-22T00:00:00"/>
    <n v="637"/>
    <n v="707"/>
    <n v="400"/>
    <s v="Expiring Soon"/>
    <s v="611 Fieldstone Drive"/>
    <n v="62"/>
    <n v="9765"/>
    <n v="45"/>
    <s v="Backordered"/>
  </r>
  <r>
    <s v="52-029-2382"/>
    <s v="Coconut Oil"/>
    <x v="3"/>
    <s v="16-474-4516"/>
    <s v="Brightdog"/>
    <n v="54"/>
    <n v="86"/>
    <n v="69"/>
    <s v="Require"/>
    <n v="86"/>
    <s v="High Priority"/>
    <s v=" 5.00  "/>
    <n v="270"/>
    <d v="2024-11-26T00:00:00"/>
    <d v="2024-08-15T00:00:00"/>
    <d v="2024-04-08T00:00:00"/>
    <n v="457"/>
    <n v="560"/>
    <n v="689"/>
    <s v="Safe"/>
    <s v="08896 Evergreen Avenue"/>
    <n v="29"/>
    <n v="7830"/>
    <n v="8"/>
    <s v="Discontinued"/>
  </r>
  <r>
    <s v="11-053-0107"/>
    <s v="Cherry"/>
    <x v="2"/>
    <s v="07-410-2867"/>
    <s v="Rooxo"/>
    <n v="30"/>
    <n v="25"/>
    <n v="11"/>
    <s v="Sufficient"/>
    <n v="0"/>
    <s v="Normal"/>
    <s v=" 8.00  "/>
    <n v="240"/>
    <d v="2024-12-25T00:00:00"/>
    <d v="2024-12-07T00:00:00"/>
    <d v="2024-06-28T00:00:00"/>
    <n v="428"/>
    <n v="446"/>
    <n v="608"/>
    <s v="Safe"/>
    <s v="734 Thackeray Avenue"/>
    <n v="42"/>
    <n v="10080"/>
    <n v="76"/>
    <s v="Active"/>
  </r>
  <r>
    <s v="99-194-5600"/>
    <s v="Cauliflower"/>
    <x v="2"/>
    <s v="70-064-6828"/>
    <s v="Tanoodle"/>
    <n v="57"/>
    <n v="25"/>
    <n v="98"/>
    <s v="Sufficient"/>
    <n v="0"/>
    <s v="Normal"/>
    <s v=" 2.50  "/>
    <n v="142.5"/>
    <d v="2024-06-14T00:00:00"/>
    <d v="2024-02-25T00:00:00"/>
    <d v="2024-05-14T00:00:00"/>
    <n v="622"/>
    <n v="732"/>
    <n v="653"/>
    <s v="Safe"/>
    <s v="973 Spaight Place"/>
    <n v="78"/>
    <n v="11115"/>
    <n v="37"/>
    <s v="Active"/>
  </r>
  <r>
    <s v="48-289-0604"/>
    <s v="Vegetable Oil"/>
    <x v="3"/>
    <s v="94-261-1193"/>
    <s v="Browseblab"/>
    <n v="18"/>
    <n v="72"/>
    <n v="71"/>
    <s v="Require"/>
    <n v="72"/>
    <s v="High Priority"/>
    <s v=" 2.00  "/>
    <n v="36"/>
    <d v="2024-05-05T00:00:00"/>
    <d v="2024-12-08T00:00:00"/>
    <d v="2024-06-20T00:00:00"/>
    <n v="662"/>
    <n v="445"/>
    <n v="616"/>
    <s v="Safe"/>
    <s v="5 Colorado Park"/>
    <n v="25"/>
    <n v="900"/>
    <n v="81"/>
    <s v="Active"/>
  </r>
  <r>
    <s v="73-010-8323"/>
    <s v="Tuna"/>
    <x v="6"/>
    <s v="80-622-6587"/>
    <s v="Tagcat"/>
    <n v="16"/>
    <n v="34"/>
    <n v="89"/>
    <s v="Require"/>
    <n v="34"/>
    <s v="Normal"/>
    <s v=" 18.00  "/>
    <n v="288"/>
    <d v="2024-12-26T00:00:00"/>
    <d v="2024-02-27T00:00:00"/>
    <d v="2024-04-29T00:00:00"/>
    <n v="427"/>
    <n v="730"/>
    <n v="668"/>
    <s v="Safe"/>
    <s v="811 Dapin Center"/>
    <n v="35"/>
    <n v="10080"/>
    <n v="52"/>
    <s v="Backordered"/>
  </r>
  <r>
    <s v="06-068-6793"/>
    <s v="Buttermilk"/>
    <x v="4"/>
    <s v="94-958-6101"/>
    <s v="Twitterbeat"/>
    <n v="39"/>
    <n v="80"/>
    <n v="68"/>
    <s v="Require"/>
    <n v="80"/>
    <s v="High Priority"/>
    <s v=" 2.50  "/>
    <n v="97.5"/>
    <d v="2024-07-20T00:00:00"/>
    <d v="2024-06-08T00:00:00"/>
    <d v="2024-08-15T00:00:00"/>
    <n v="586"/>
    <n v="628"/>
    <n v="560"/>
    <s v="Safe"/>
    <s v="25 Nancy Place"/>
    <n v="46"/>
    <n v="4485"/>
    <n v="54"/>
    <s v="Discontinued"/>
  </r>
  <r>
    <s v="56-054-8664"/>
    <s v="Lemon"/>
    <x v="2"/>
    <s v="53-247-1844"/>
    <s v="Centimia"/>
    <n v="59"/>
    <n v="82"/>
    <n v="69"/>
    <s v="Require"/>
    <n v="82"/>
    <s v="High Priority"/>
    <s v=" 2.45  "/>
    <n v="144.55000000000001"/>
    <d v="2024-04-05T00:00:00"/>
    <d v="2024-03-25T00:00:00"/>
    <d v="2024-03-03T00:00:00"/>
    <n v="692"/>
    <n v="703"/>
    <n v="725"/>
    <s v="Safe"/>
    <s v="01 Straubel Hill"/>
    <n v="30"/>
    <n v="4336.5"/>
    <n v="34"/>
    <s v="Discontinued"/>
  </r>
  <r>
    <s v="36-330-5036"/>
    <s v="Salmon"/>
    <x v="6"/>
    <s v="52-359-1255"/>
    <s v="Mycat"/>
    <n v="79"/>
    <n v="28"/>
    <n v="4"/>
    <s v="Sufficient"/>
    <n v="0"/>
    <s v="Normal"/>
    <s v=" 15.00  "/>
    <n v="1185"/>
    <d v="2025-01-02T00:00:00"/>
    <d v="2024-09-20T00:00:00"/>
    <d v="2024-05-17T00:00:00"/>
    <n v="420"/>
    <n v="524"/>
    <n v="650"/>
    <s v="Safe"/>
    <s v="21 Golden Leaf Hill"/>
    <n v="42"/>
    <n v="49770"/>
    <n v="46"/>
    <s v="Active"/>
  </r>
  <r>
    <s v="65-674-6076"/>
    <s v="Egg (Quail)"/>
    <x v="4"/>
    <s v="16-933-3355"/>
    <s v="Ntags"/>
    <n v="78"/>
    <n v="61"/>
    <n v="6"/>
    <s v="Sufficient"/>
    <n v="0"/>
    <s v="Normal"/>
    <s v=" 0.80  "/>
    <n v="62.400000000000006"/>
    <d v="2024-05-27T00:00:00"/>
    <d v="2024-06-10T00:00:00"/>
    <d v="2024-12-18T00:00:00"/>
    <n v="640"/>
    <n v="626"/>
    <n v="435"/>
    <s v="Expiring Soon"/>
    <s v="9738 Old Shore Trail"/>
    <n v="49"/>
    <n v="3057.6000000000004"/>
    <n v="60"/>
    <s v="Active"/>
  </r>
  <r>
    <s v="87-013-6488"/>
    <s v="Sushi Rice"/>
    <x v="0"/>
    <s v="77-471-0792"/>
    <s v="Tekfly"/>
    <n v="22"/>
    <n v="10"/>
    <n v="53"/>
    <s v="Sufficient"/>
    <n v="0"/>
    <s v="Normal"/>
    <s v=" 4.25  "/>
    <n v="93.5"/>
    <d v="2024-08-08T00:00:00"/>
    <d v="2024-10-26T00:00:00"/>
    <d v="2024-04-14T00:00:00"/>
    <n v="567"/>
    <n v="488"/>
    <n v="683"/>
    <s v="Safe"/>
    <s v="07855 Goodland Lane"/>
    <n v="64"/>
    <n v="5984"/>
    <n v="7"/>
    <s v="Active"/>
  </r>
  <r>
    <s v="95-449-1286"/>
    <s v="Egg (Chicken)"/>
    <x v="4"/>
    <s v="18-260-7354"/>
    <s v="Realfire"/>
    <n v="10"/>
    <n v="17"/>
    <n v="70"/>
    <s v="Require"/>
    <n v="17"/>
    <s v="Normal"/>
    <s v=" 0.20  "/>
    <n v="2"/>
    <d v="2024-12-29T00:00:00"/>
    <d v="2024-12-23T00:00:00"/>
    <d v="2024-09-08T00:00:00"/>
    <n v="424"/>
    <n v="430"/>
    <n v="536"/>
    <s v="Expiring Soon"/>
    <s v="1 Jackson Pass"/>
    <n v="100"/>
    <n v="200"/>
    <n v="63"/>
    <s v="Backordered"/>
  </r>
  <r>
    <s v="95-640-0293"/>
    <s v="Arborio Rice"/>
    <x v="0"/>
    <s v="43-575-2151"/>
    <s v="Geba"/>
    <n v="34"/>
    <n v="32"/>
    <n v="22"/>
    <s v="Sufficient"/>
    <n v="0"/>
    <s v="Normal"/>
    <s v=" 4.50  "/>
    <n v="153"/>
    <d v="2024-02-05T00:00:00"/>
    <d v="2024-02-11T00:00:00"/>
    <d v="2025-02-07T00:00:00"/>
    <n v="752"/>
    <n v="746"/>
    <n v="384"/>
    <s v="Expiring Soon"/>
    <s v="31 Sullivan Hill"/>
    <n v="42"/>
    <n v="6426"/>
    <n v="27"/>
    <s v="Active"/>
  </r>
  <r>
    <s v="08-495-6853"/>
    <s v="Heavy Cream"/>
    <x v="4"/>
    <s v="07-432-0137"/>
    <s v="Yadel"/>
    <n v="74"/>
    <n v="62"/>
    <n v="6"/>
    <s v="Sufficient"/>
    <n v="0"/>
    <s v="Normal"/>
    <s v=" 4.00  "/>
    <n v="296"/>
    <d v="2024-12-27T00:00:00"/>
    <d v="2025-01-13T00:00:00"/>
    <d v="2024-08-14T00:00:00"/>
    <n v="426"/>
    <n v="409"/>
    <n v="561"/>
    <s v="Safe"/>
    <s v="7943 Amoth Parkway"/>
    <n v="65"/>
    <n v="19240"/>
    <n v="96"/>
    <s v="Active"/>
  </r>
  <r>
    <s v="42-495-7698"/>
    <s v="Sushi Rice"/>
    <x v="0"/>
    <s v="93-625-4768"/>
    <s v="Latz"/>
    <n v="10"/>
    <n v="11"/>
    <n v="29"/>
    <s v="Require"/>
    <n v="11"/>
    <s v="Normal"/>
    <s v=" 4.30  "/>
    <n v="43"/>
    <d v="2025-02-13T00:00:00"/>
    <d v="2024-08-10T00:00:00"/>
    <d v="2024-07-22T00:00:00"/>
    <n v="378"/>
    <n v="565"/>
    <n v="584"/>
    <s v="Safe"/>
    <s v="91 Gateway Pass"/>
    <n v="29"/>
    <n v="1247"/>
    <n v="72"/>
    <s v="Backordered"/>
  </r>
  <r>
    <s v="83-727-0814"/>
    <s v="Basmati Rice"/>
    <x v="0"/>
    <s v="79-656-1990"/>
    <s v="Yodo"/>
    <n v="11"/>
    <n v="87"/>
    <n v="64"/>
    <s v="Require"/>
    <n v="87"/>
    <s v="High Priority"/>
    <s v=" 4.50  "/>
    <n v="49.5"/>
    <d v="2024-08-30T00:00:00"/>
    <d v="2024-08-06T00:00:00"/>
    <d v="2024-06-05T00:00:00"/>
    <n v="545"/>
    <n v="569"/>
    <n v="631"/>
    <s v="Safe"/>
    <s v="28 Boyd Pass"/>
    <n v="29"/>
    <n v="1435.5"/>
    <n v="6"/>
    <s v="Active"/>
  </r>
  <r>
    <s v="01-050-2246"/>
    <s v="Grapes"/>
    <x v="2"/>
    <s v="80-462-5807"/>
    <s v="Gabspot"/>
    <n v="99"/>
    <n v="68"/>
    <n v="1"/>
    <s v="Sufficient"/>
    <n v="0"/>
    <s v="Normal"/>
    <s v=" 5.50  "/>
    <n v="544.5"/>
    <d v="2024-07-13T00:00:00"/>
    <d v="2024-02-25T00:00:00"/>
    <d v="2024-09-08T00:00:00"/>
    <n v="593"/>
    <n v="732"/>
    <n v="536"/>
    <s v="Expiring Soon"/>
    <s v="38 Esch Pass"/>
    <n v="59"/>
    <n v="32125.5"/>
    <n v="16"/>
    <s v="Discontinued"/>
  </r>
  <r>
    <s v="07-858-5487"/>
    <s v="Swiss Cheese"/>
    <x v="4"/>
    <s v="92-991-6167"/>
    <s v="Meeveo"/>
    <n v="64"/>
    <n v="14"/>
    <n v="44"/>
    <s v="Sufficient"/>
    <n v="0"/>
    <s v="Normal"/>
    <s v=" 8.00  "/>
    <n v="512"/>
    <d v="2024-06-23T00:00:00"/>
    <d v="2024-05-16T00:00:00"/>
    <d v="2024-12-29T00:00:00"/>
    <n v="613"/>
    <n v="651"/>
    <n v="424"/>
    <s v="Expiring Soon"/>
    <s v="6 Susan Alley"/>
    <n v="53"/>
    <n v="27136"/>
    <n v="33"/>
    <s v="Active"/>
  </r>
  <r>
    <s v="20-283-0111"/>
    <s v="Pear"/>
    <x v="2"/>
    <s v="60-394-8955"/>
    <s v="Cogidoo"/>
    <n v="58"/>
    <n v="55"/>
    <n v="5"/>
    <s v="Sufficient"/>
    <n v="0"/>
    <s v="Normal"/>
    <s v=" 4.45  "/>
    <n v="258.10000000000002"/>
    <d v="2024-12-31T00:00:00"/>
    <d v="2024-04-17T00:00:00"/>
    <d v="2025-01-06T00:00:00"/>
    <n v="422"/>
    <n v="680"/>
    <n v="416"/>
    <s v="Expiring Soon"/>
    <s v="0 Ruskin Way"/>
    <n v="62"/>
    <n v="16002.2"/>
    <n v="89"/>
    <s v="Active"/>
  </r>
  <r>
    <s v="87-391-9658"/>
    <s v="Corn Oil"/>
    <x v="3"/>
    <s v="51-054-1226"/>
    <s v="Centizu"/>
    <n v="26"/>
    <n v="100"/>
    <n v="13"/>
    <s v="Require"/>
    <n v="100"/>
    <s v="High Priority"/>
    <s v=" 2.50  "/>
    <n v="65"/>
    <d v="2024-11-23T00:00:00"/>
    <d v="2024-09-18T00:00:00"/>
    <d v="2025-01-07T00:00:00"/>
    <n v="460"/>
    <n v="526"/>
    <n v="415"/>
    <s v="Expiring Soon"/>
    <s v="92486 Laurel Alley"/>
    <n v="45"/>
    <n v="2925"/>
    <n v="45"/>
    <s v="Discontinued"/>
  </r>
  <r>
    <s v="44-782-1395"/>
    <s v="Raw Sugar"/>
    <x v="0"/>
    <s v="54-132-9762"/>
    <s v="Flipopia"/>
    <n v="72"/>
    <n v="72"/>
    <n v="68"/>
    <s v="Require"/>
    <n v="72"/>
    <s v="High Priority"/>
    <s v=" 1.50  "/>
    <n v="108"/>
    <d v="2024-09-29T00:00:00"/>
    <d v="2024-06-26T00:00:00"/>
    <d v="2024-11-17T00:00:00"/>
    <n v="515"/>
    <n v="610"/>
    <n v="466"/>
    <s v="Expiring Soon"/>
    <s v="365 Vera Terrace"/>
    <n v="39"/>
    <n v="4212"/>
    <n v="78"/>
    <s v="Active"/>
  </r>
  <r>
    <s v="12-828-1063"/>
    <s v="Mozzarella Cheese"/>
    <x v="4"/>
    <s v="48-707-5857"/>
    <s v="Buzzdog"/>
    <n v="36"/>
    <n v="82"/>
    <n v="85"/>
    <s v="Require"/>
    <n v="82"/>
    <s v="High Priority"/>
    <s v=" 7.10  "/>
    <n v="255.6"/>
    <d v="2024-04-28T00:00:00"/>
    <d v="2024-03-29T00:00:00"/>
    <d v="2024-08-05T00:00:00"/>
    <n v="669"/>
    <n v="699"/>
    <n v="570"/>
    <s v="Safe"/>
    <s v="018 Oxford Crossing"/>
    <n v="27"/>
    <n v="6901.2"/>
    <n v="67"/>
    <s v="Discontinued"/>
  </r>
  <r>
    <s v="72-989-2512"/>
    <s v="Mushrooms"/>
    <x v="2"/>
    <s v="03-117-6217"/>
    <s v="Yakijo"/>
    <n v="24"/>
    <n v="21"/>
    <n v="4"/>
    <s v="Sufficient"/>
    <n v="0"/>
    <s v="Normal"/>
    <s v=" 6.00  "/>
    <n v="144"/>
    <d v="2024-05-04T00:00:00"/>
    <d v="2024-06-27T00:00:00"/>
    <d v="2024-10-28T00:00:00"/>
    <n v="663"/>
    <n v="609"/>
    <n v="486"/>
    <s v="Expiring Soon"/>
    <s v="61 Waubesa Court"/>
    <n v="85"/>
    <n v="12240"/>
    <n v="17"/>
    <s v="Backordered"/>
  </r>
  <r>
    <s v="53-667-4109"/>
    <s v="Onion"/>
    <x v="2"/>
    <s v="40-800-4739"/>
    <s v="Voolith"/>
    <n v="16"/>
    <n v="75"/>
    <n v="42"/>
    <s v="Require"/>
    <n v="75"/>
    <s v="High Priority"/>
    <s v=" 2.00  "/>
    <n v="32"/>
    <d v="2024-07-23T00:00:00"/>
    <d v="2024-03-21T00:00:00"/>
    <d v="2024-05-24T00:00:00"/>
    <n v="583"/>
    <n v="707"/>
    <n v="643"/>
    <s v="Safe"/>
    <s v="992 East Point"/>
    <n v="22"/>
    <n v="704"/>
    <n v="46"/>
    <s v="Active"/>
  </r>
  <r>
    <s v="93-772-3085"/>
    <s v="Banana"/>
    <x v="2"/>
    <s v="61-807-0746"/>
    <s v="Edgetag"/>
    <n v="39"/>
    <n v="19"/>
    <n v="18"/>
    <s v="Sufficient"/>
    <n v="0"/>
    <s v="Normal"/>
    <s v=" 13.99  "/>
    <n v="545.61"/>
    <d v="2024-03-30T00:00:00"/>
    <d v="2024-07-18T00:00:00"/>
    <d v="2025-01-20T00:00:00"/>
    <n v="698"/>
    <n v="588"/>
    <n v="402"/>
    <s v="Expiring Soon"/>
    <s v="07359 Porter Park"/>
    <n v="58"/>
    <n v="31645.38"/>
    <n v="90"/>
    <s v="Active"/>
  </r>
  <r>
    <s v="92-652-3737"/>
    <s v="Zucchini"/>
    <x v="2"/>
    <s v="42-361-6981"/>
    <s v="Quimm"/>
    <n v="89"/>
    <n v="56"/>
    <n v="74"/>
    <s v="Sufficient"/>
    <n v="0"/>
    <s v="Normal"/>
    <s v=" 2.50  "/>
    <n v="222.5"/>
    <d v="2024-10-11T00:00:00"/>
    <d v="2024-07-30T00:00:00"/>
    <d v="2024-10-01T00:00:00"/>
    <n v="503"/>
    <n v="576"/>
    <n v="513"/>
    <s v="Expiring Soon"/>
    <s v="66330 Northridge Street"/>
    <n v="27"/>
    <n v="6007.5"/>
    <n v="51"/>
    <s v="Backordered"/>
  </r>
  <r>
    <s v="74-404-0582"/>
    <s v="Cherry"/>
    <x v="2"/>
    <s v="31-628-6696"/>
    <s v="Jabbersphere"/>
    <n v="57"/>
    <n v="82"/>
    <n v="59"/>
    <s v="Require"/>
    <n v="82"/>
    <s v="High Priority"/>
    <s v=" 8.00  "/>
    <n v="456"/>
    <d v="2024-10-09T00:00:00"/>
    <d v="2024-11-20T00:00:00"/>
    <d v="2024-06-11T00:00:00"/>
    <n v="505"/>
    <n v="463"/>
    <n v="625"/>
    <s v="Safe"/>
    <s v="07 Maple Wood Drive"/>
    <n v="44"/>
    <n v="20064"/>
    <n v="57"/>
    <s v="Active"/>
  </r>
  <r>
    <s v="19-244-9890"/>
    <s v="Herbal Tea"/>
    <x v="1"/>
    <s v="98-107-0604"/>
    <s v="Wikido"/>
    <n v="61"/>
    <n v="22"/>
    <n v="98"/>
    <s v="Sufficient"/>
    <n v="0"/>
    <s v="Normal"/>
    <s v=" 30.00  "/>
    <n v="1830"/>
    <d v="2024-07-03T00:00:00"/>
    <d v="2024-02-10T00:00:00"/>
    <d v="2024-11-09T00:00:00"/>
    <n v="603"/>
    <n v="747"/>
    <n v="474"/>
    <s v="Expiring Soon"/>
    <s v="620 Mockingbird Pass"/>
    <n v="90"/>
    <n v="164700"/>
    <n v="11"/>
    <s v="Active"/>
  </r>
  <r>
    <s v="01-839-6534"/>
    <s v="Short Grain Rice"/>
    <x v="0"/>
    <s v="51-519-4588"/>
    <s v="Tanoodle"/>
    <n v="56"/>
    <n v="28"/>
    <n v="76"/>
    <s v="Sufficient"/>
    <n v="0"/>
    <s v="Normal"/>
    <s v=" 3.00  "/>
    <n v="168"/>
    <d v="2024-10-25T00:00:00"/>
    <d v="2025-04-02T00:00:00"/>
    <d v="2024-09-02T00:00:00"/>
    <n v="489"/>
    <n v="330"/>
    <n v="542"/>
    <s v="Expiring Soon"/>
    <s v="8 Hazelcrest Street"/>
    <n v="93"/>
    <n v="15624"/>
    <n v="69"/>
    <s v="Active"/>
  </r>
  <r>
    <s v="58-229-1358"/>
    <s v="Cream"/>
    <x v="4"/>
    <s v="66-883-2383"/>
    <s v="Bubblebox"/>
    <n v="21"/>
    <n v="24"/>
    <n v="2"/>
    <s v="Require"/>
    <n v="24"/>
    <s v="Normal"/>
    <s v=" 2.35  "/>
    <n v="49.35"/>
    <d v="2024-05-04T00:00:00"/>
    <d v="2024-11-09T00:00:00"/>
    <d v="2024-09-28T00:00:00"/>
    <n v="663"/>
    <n v="474"/>
    <n v="516"/>
    <s v="Expiring Soon"/>
    <s v="1 Lillian Plaza"/>
    <n v="87"/>
    <n v="4293.45"/>
    <n v="36"/>
    <s v="Backordered"/>
  </r>
  <r>
    <s v="80-025-6757"/>
    <s v="Grapes"/>
    <x v="2"/>
    <s v="49-608-3851"/>
    <s v="Thoughtmix"/>
    <n v="59"/>
    <n v="29"/>
    <n v="100"/>
    <s v="Sufficient"/>
    <n v="0"/>
    <s v="Normal"/>
    <s v=" 5.50  "/>
    <n v="324.5"/>
    <d v="2024-04-04T00:00:00"/>
    <d v="2024-11-29T00:00:00"/>
    <d v="2025-01-01T00:00:00"/>
    <n v="693"/>
    <n v="454"/>
    <n v="421"/>
    <s v="Expiring Soon"/>
    <s v="183 Algoma Trail"/>
    <n v="74"/>
    <n v="24013"/>
    <n v="16"/>
    <s v="Discontinued"/>
  </r>
  <r>
    <s v="35-031-1497"/>
    <s v="Green Coffee"/>
    <x v="1"/>
    <s v="84-835-1656"/>
    <s v="Linklinks"/>
    <n v="20"/>
    <n v="68"/>
    <n v="20"/>
    <s v="Require"/>
    <n v="68"/>
    <s v="High Priority"/>
    <s v=" 12.00  "/>
    <n v="240"/>
    <d v="2025-09-01T00:00:00"/>
    <d v="2024-04-07T00:00:00"/>
    <d v="2024-11-02T00:00:00"/>
    <n v="178"/>
    <n v="690"/>
    <n v="481"/>
    <s v="Expiring Soon"/>
    <s v="581 Oneill Crossing"/>
    <n v="38"/>
    <n v="9120"/>
    <n v="51"/>
    <s v="Active"/>
  </r>
  <r>
    <s v="26-629-5920"/>
    <s v="Rye Bread"/>
    <x v="5"/>
    <s v="19-264-7608"/>
    <s v="Jetwire"/>
    <n v="99"/>
    <n v="6"/>
    <n v="88"/>
    <s v="Sufficient"/>
    <n v="0"/>
    <s v="Normal"/>
    <s v=" 3.00  "/>
    <n v="297"/>
    <d v="2024-05-15T00:00:00"/>
    <d v="2024-07-16T00:00:00"/>
    <d v="2024-12-14T00:00:00"/>
    <n v="652"/>
    <n v="590"/>
    <n v="439"/>
    <s v="Expiring Soon"/>
    <s v="77563 Russell Lane"/>
    <n v="49"/>
    <n v="14553"/>
    <n v="9"/>
    <s v="Active"/>
  </r>
  <r>
    <s v="51-000-8113"/>
    <s v="Green Tea"/>
    <x v="1"/>
    <s v="56-825-0880"/>
    <s v="Vidoo"/>
    <n v="24"/>
    <n v="27"/>
    <n v="35"/>
    <s v="Require"/>
    <n v="27"/>
    <s v="Normal"/>
    <s v=" 8.00  "/>
    <n v="192"/>
    <d v="2024-10-14T00:00:00"/>
    <d v="2025-01-31T00:00:00"/>
    <d v="2024-11-20T00:00:00"/>
    <n v="500"/>
    <n v="391"/>
    <n v="463"/>
    <s v="Expiring Soon"/>
    <s v="51369 Dawn Hill"/>
    <n v="49"/>
    <n v="9408"/>
    <n v="58"/>
    <s v="Active"/>
  </r>
  <r>
    <s v="93-571-7294"/>
    <s v="Sushi Rice"/>
    <x v="0"/>
    <s v="77-842-0920"/>
    <s v="Quire"/>
    <n v="78"/>
    <n v="94"/>
    <n v="7"/>
    <s v="Require"/>
    <n v="94"/>
    <s v="High Priority"/>
    <s v=" 4.35  "/>
    <n v="339.29999999999995"/>
    <d v="2024-06-09T00:00:00"/>
    <d v="2024-03-11T00:00:00"/>
    <d v="2024-05-22T00:00:00"/>
    <n v="627"/>
    <n v="717"/>
    <n v="645"/>
    <s v="Safe"/>
    <s v="76 Fisk Park"/>
    <n v="69"/>
    <n v="23411.699999999997"/>
    <n v="40"/>
    <s v="Backordered"/>
  </r>
  <r>
    <s v="48-770-6319"/>
    <s v="Egg (Duck)"/>
    <x v="4"/>
    <s v="64-452-2395"/>
    <s v="Fivebridge"/>
    <n v="52"/>
    <n v="31"/>
    <n v="18"/>
    <s v="Sufficient"/>
    <n v="0"/>
    <s v="Normal"/>
    <s v=" 1.00  "/>
    <n v="52"/>
    <d v="2024-04-28T00:00:00"/>
    <d v="2024-11-21T00:00:00"/>
    <d v="2025-02-02T00:00:00"/>
    <n v="669"/>
    <n v="462"/>
    <n v="389"/>
    <s v="Expiring Soon"/>
    <s v="34 Fremont Point"/>
    <n v="77"/>
    <n v="4004"/>
    <n v="16"/>
    <s v="Backordered"/>
  </r>
  <r>
    <s v="74-818-3306"/>
    <s v="Spinach"/>
    <x v="2"/>
    <s v="75-536-2986"/>
    <s v="Eabox"/>
    <n v="45"/>
    <n v="70"/>
    <n v="98"/>
    <s v="Require"/>
    <n v="70"/>
    <s v="High Priority"/>
    <s v=" 2.45  "/>
    <n v="110.25000000000001"/>
    <d v="2024-10-08T00:00:00"/>
    <d v="2024-07-27T00:00:00"/>
    <d v="2024-05-09T00:00:00"/>
    <n v="506"/>
    <n v="579"/>
    <n v="658"/>
    <s v="Safe"/>
    <s v="62 Thackeray Center"/>
    <n v="25"/>
    <n v="2756.2500000000005"/>
    <n v="39"/>
    <s v="Backordered"/>
  </r>
  <r>
    <s v="15-082-9124"/>
    <s v="Apricot"/>
    <x v="2"/>
    <s v="02-997-1489"/>
    <s v="LiveZ"/>
    <n v="89"/>
    <n v="35"/>
    <n v="19"/>
    <s v="Sufficient"/>
    <n v="0"/>
    <s v="Normal"/>
    <s v=" 5.00  "/>
    <n v="445"/>
    <d v="2025-01-31T00:00:00"/>
    <d v="2024-08-10T00:00:00"/>
    <d v="2024-05-07T00:00:00"/>
    <n v="391"/>
    <n v="565"/>
    <n v="660"/>
    <s v="Safe"/>
    <s v="38 Dawn Street"/>
    <n v="49"/>
    <n v="21805"/>
    <n v="55"/>
    <s v="Discontinued"/>
  </r>
  <r>
    <s v="66-854-5736"/>
    <s v="Kiwi"/>
    <x v="2"/>
    <s v="98-591-1051"/>
    <s v="Vitz"/>
    <n v="63"/>
    <n v="57"/>
    <n v="11"/>
    <s v="Sufficient"/>
    <n v="0"/>
    <s v="Normal"/>
    <s v=" 5.80  "/>
    <n v="365.4"/>
    <d v="2025-11-01T00:00:00"/>
    <d v="2024-12-23T00:00:00"/>
    <d v="2024-05-10T00:00:00"/>
    <n v="117"/>
    <n v="430"/>
    <n v="657"/>
    <s v="Safe"/>
    <s v="50880 Nobel Road"/>
    <n v="20"/>
    <n v="7308"/>
    <n v="100"/>
    <s v="Discontinued"/>
  </r>
  <r>
    <s v="90-128-7973"/>
    <s v="Black Rice"/>
    <x v="0"/>
    <s v="91-417-6283"/>
    <s v="Shuffletag"/>
    <n v="49"/>
    <n v="3"/>
    <n v="7"/>
    <s v="Sufficient"/>
    <n v="0"/>
    <s v="Normal"/>
    <s v=" 6.25  "/>
    <n v="306.25"/>
    <d v="2024-09-19T00:00:00"/>
    <d v="2024-10-31T00:00:00"/>
    <d v="2024-03-13T00:00:00"/>
    <n v="525"/>
    <n v="483"/>
    <n v="715"/>
    <s v="Safe"/>
    <s v="46989 Crescent Oaks Junction"/>
    <n v="75"/>
    <n v="22968.75"/>
    <n v="46"/>
    <s v="Backordered"/>
  </r>
  <r>
    <s v="60-198-7050"/>
    <s v="Green Tea"/>
    <x v="1"/>
    <s v="27-493-6787"/>
    <s v="Photobug"/>
    <n v="26"/>
    <n v="59"/>
    <n v="54"/>
    <s v="Require"/>
    <n v="59"/>
    <s v="Normal"/>
    <s v=" 8.00  "/>
    <n v="208"/>
    <d v="2024-10-08T00:00:00"/>
    <d v="2024-11-24T00:00:00"/>
    <d v="2024-03-19T00:00:00"/>
    <n v="506"/>
    <n v="459"/>
    <n v="709"/>
    <s v="Safe"/>
    <s v="5306 Arkansas Avenue"/>
    <n v="92"/>
    <n v="19136"/>
    <n v="49"/>
    <s v="Active"/>
  </r>
  <r>
    <s v="70-206-4860"/>
    <s v="Egg (Quail)"/>
    <x v="4"/>
    <s v="82-527-9395"/>
    <s v="Meejo"/>
    <n v="93"/>
    <n v="68"/>
    <n v="71"/>
    <s v="Sufficient"/>
    <n v="0"/>
    <s v="Normal"/>
    <s v=" 0.80  "/>
    <n v="74.400000000000006"/>
    <d v="2025-09-02T00:00:00"/>
    <d v="2024-11-03T00:00:00"/>
    <d v="2024-09-17T00:00:00"/>
    <n v="177"/>
    <n v="480"/>
    <n v="527"/>
    <s v="Expiring Soon"/>
    <s v="75 High Crossing Junction"/>
    <n v="30"/>
    <n v="2232"/>
    <n v="37"/>
    <s v="Discontinued"/>
  </r>
  <r>
    <s v="25-353-2067"/>
    <s v="Papaya"/>
    <x v="2"/>
    <s v="01-210-3485"/>
    <s v="Brightbean"/>
    <n v="81"/>
    <n v="16"/>
    <n v="69"/>
    <s v="Sufficient"/>
    <n v="0"/>
    <s v="Normal"/>
    <s v=" 4.30  "/>
    <n v="348.3"/>
    <d v="2025-06-01T00:00:00"/>
    <d v="2024-04-08T00:00:00"/>
    <d v="2024-07-25T00:00:00"/>
    <n v="270"/>
    <n v="689"/>
    <n v="581"/>
    <s v="Safe"/>
    <s v="59449 Sherman Parkway"/>
    <n v="23"/>
    <n v="8010.9000000000005"/>
    <n v="96"/>
    <s v="Backordered"/>
  </r>
  <r>
    <s v="93-218-8108"/>
    <s v="Heavy Cream"/>
    <x v="4"/>
    <s v="05-966-6460"/>
    <s v="Talane"/>
    <n v="74"/>
    <n v="60"/>
    <n v="27"/>
    <s v="Sufficient"/>
    <n v="0"/>
    <s v="Normal"/>
    <s v=" 4.00  "/>
    <n v="296"/>
    <d v="2024-06-17T00:00:00"/>
    <d v="2024-05-22T00:00:00"/>
    <d v="2024-11-17T00:00:00"/>
    <n v="619"/>
    <n v="645"/>
    <n v="466"/>
    <s v="Expiring Soon"/>
    <s v="9848 Little Fleur Point"/>
    <n v="99"/>
    <n v="29304"/>
    <n v="68"/>
    <s v="Backordered"/>
  </r>
  <r>
    <s v="95-262-6208"/>
    <s v="Black Tea"/>
    <x v="1"/>
    <s v="66-227-1125"/>
    <s v="Devshare"/>
    <n v="19"/>
    <n v="78"/>
    <n v="90"/>
    <s v="Require"/>
    <n v="78"/>
    <s v="High Priority"/>
    <s v=" 5.00  "/>
    <n v="95"/>
    <d v="2024-12-24T00:00:00"/>
    <d v="2024-04-15T00:00:00"/>
    <d v="2024-07-29T00:00:00"/>
    <n v="429"/>
    <n v="682"/>
    <n v="577"/>
    <s v="Safe"/>
    <s v="44662 American Plaza"/>
    <n v="72"/>
    <n v="6840"/>
    <n v="84"/>
    <s v="Discontinued"/>
  </r>
  <r>
    <s v="02-484-0206"/>
    <s v="Short Grain Rice"/>
    <x v="0"/>
    <s v="62-011-9357"/>
    <s v="Quatz"/>
    <n v="64"/>
    <n v="97"/>
    <n v="91"/>
    <s v="Require"/>
    <n v="97"/>
    <s v="High Priority"/>
    <s v=" 3.00  "/>
    <n v="192"/>
    <d v="2024-11-25T00:00:00"/>
    <d v="2024-08-20T00:00:00"/>
    <d v="2024-08-02T00:00:00"/>
    <n v="458"/>
    <n v="555"/>
    <n v="573"/>
    <s v="Safe"/>
    <s v="60 Main Pass"/>
    <n v="48"/>
    <n v="9216"/>
    <n v="100"/>
    <s v="Active"/>
  </r>
  <r>
    <s v="08-226-5155"/>
    <s v="Bell Pepper"/>
    <x v="2"/>
    <s v="64-584-7898"/>
    <s v="Zava"/>
    <n v="49"/>
    <n v="93"/>
    <n v="15"/>
    <s v="Require"/>
    <n v="93"/>
    <s v="High Priority"/>
    <s v=" 4.50  "/>
    <n v="220.5"/>
    <d v="2024-04-27T00:00:00"/>
    <d v="2024-01-05T00:00:00"/>
    <d v="2024-04-27T00:00:00"/>
    <n v="670"/>
    <n v="783"/>
    <n v="670"/>
    <s v="Safe"/>
    <s v="81503 Graedel Plaza"/>
    <n v="52"/>
    <n v="11466"/>
    <n v="31"/>
    <s v="Backordered"/>
  </r>
  <r>
    <s v="47-581-0363"/>
    <s v="Parmesan Cheese"/>
    <x v="4"/>
    <s v="08-359-2568"/>
    <s v="Tagpad"/>
    <n v="99"/>
    <n v="10"/>
    <n v="88"/>
    <s v="Sufficient"/>
    <n v="0"/>
    <s v="Normal"/>
    <s v=" 12.00  "/>
    <n v="1188"/>
    <d v="2024-07-14T00:00:00"/>
    <d v="2024-05-12T00:00:00"/>
    <d v="2025-01-20T00:00:00"/>
    <n v="592"/>
    <n v="655"/>
    <n v="402"/>
    <s v="Expiring Soon"/>
    <s v="8 Dawn Court"/>
    <n v="69"/>
    <n v="81972"/>
    <n v="98"/>
    <s v="Active"/>
  </r>
  <r>
    <s v="04-104-6993"/>
    <s v="Buttermilk"/>
    <x v="4"/>
    <s v="06-776-1072"/>
    <s v="Trilia"/>
    <n v="60"/>
    <n v="1"/>
    <n v="42"/>
    <s v="Sufficient"/>
    <n v="0"/>
    <s v="Normal"/>
    <s v=" 2.45  "/>
    <n v="147"/>
    <d v="2024-11-16T00:00:00"/>
    <d v="2024-08-27T00:00:00"/>
    <d v="2024-10-15T00:00:00"/>
    <n v="467"/>
    <n v="548"/>
    <n v="499"/>
    <s v="Expiring Soon"/>
    <s v="55095 Northview Drive"/>
    <n v="42"/>
    <n v="6174"/>
    <n v="91"/>
    <s v="Active"/>
  </r>
  <r>
    <s v="45-380-4627"/>
    <s v="Cabbage"/>
    <x v="2"/>
    <s v="20-201-5639"/>
    <s v="Zoombox"/>
    <n v="90"/>
    <n v="1"/>
    <n v="40"/>
    <s v="Sufficient"/>
    <n v="0"/>
    <s v="Normal"/>
    <s v=" 0.90  "/>
    <n v="81"/>
    <d v="2024-10-20T00:00:00"/>
    <d v="2025-11-01T00:00:00"/>
    <d v="2025-02-16T00:00:00"/>
    <n v="494"/>
    <n v="117"/>
    <n v="375"/>
    <s v="Expiring Soon"/>
    <s v="0 Thackeray Point"/>
    <n v="52"/>
    <n v="4212"/>
    <n v="19"/>
    <s v="Discontinued"/>
  </r>
  <r>
    <s v="41-240-8856"/>
    <s v="Haddock"/>
    <x v="6"/>
    <s v="28-162-7486"/>
    <s v="Snaptags"/>
    <n v="79"/>
    <n v="53"/>
    <n v="12"/>
    <s v="Sufficient"/>
    <n v="0"/>
    <s v="Normal"/>
    <s v=" 9.00  "/>
    <n v="711"/>
    <d v="2024-08-18T00:00:00"/>
    <d v="2024-05-29T00:00:00"/>
    <d v="2025-01-10T00:00:00"/>
    <n v="557"/>
    <n v="638"/>
    <n v="412"/>
    <s v="Expiring Soon"/>
    <s v="8 Autumn Leaf Drive"/>
    <n v="45"/>
    <n v="31995"/>
    <n v="95"/>
    <s v="Discontinued"/>
  </r>
  <r>
    <s v="81-573-0943"/>
    <s v="Egg (Chicken)"/>
    <x v="4"/>
    <s v="07-754-2313"/>
    <s v="Topiclounge"/>
    <n v="22"/>
    <n v="58"/>
    <n v="2"/>
    <s v="Require"/>
    <n v="58"/>
    <s v="Normal"/>
    <s v=" 0.20  "/>
    <n v="4.4000000000000004"/>
    <d v="2025-07-02T00:00:00"/>
    <d v="2024-06-28T00:00:00"/>
    <d v="2024-11-14T00:00:00"/>
    <n v="239"/>
    <n v="608"/>
    <n v="469"/>
    <s v="Expiring Soon"/>
    <s v="20 Marcy Circle"/>
    <n v="33"/>
    <n v="145.20000000000002"/>
    <n v="68"/>
    <s v="Active"/>
  </r>
  <r>
    <s v="67-725-6830"/>
    <s v="Brown Rice"/>
    <x v="0"/>
    <s v="05-727-0033"/>
    <s v="Quinu"/>
    <n v="51"/>
    <n v="47"/>
    <n v="6"/>
    <s v="Sufficient"/>
    <n v="0"/>
    <s v="Normal"/>
    <s v=" 2.50  "/>
    <n v="127.5"/>
    <d v="2024-11-23T00:00:00"/>
    <d v="2024-11-08T00:00:00"/>
    <d v="2024-06-18T00:00:00"/>
    <n v="460"/>
    <n v="475"/>
    <n v="618"/>
    <s v="Safe"/>
    <s v="9 Victoria Point"/>
    <n v="53"/>
    <n v="6757.5"/>
    <n v="4"/>
    <s v="Backordered"/>
  </r>
  <r>
    <s v="55-154-4728"/>
    <s v="Arabica Coffee"/>
    <x v="1"/>
    <s v="33-466-7894"/>
    <s v="Yotz"/>
    <n v="65"/>
    <n v="63"/>
    <n v="41"/>
    <s v="Sufficient"/>
    <n v="0"/>
    <s v="Normal"/>
    <s v=" 20.00  "/>
    <n v="1300"/>
    <d v="2024-02-04T00:00:00"/>
    <d v="2025-07-01T00:00:00"/>
    <d v="2024-03-29T00:00:00"/>
    <n v="753"/>
    <n v="240"/>
    <n v="699"/>
    <s v="Safe"/>
    <s v="96 Westridge Junction"/>
    <n v="28"/>
    <n v="36400"/>
    <n v="26"/>
    <s v="Backordered"/>
  </r>
  <r>
    <s v="41-526-4036"/>
    <s v="Whipped Cream"/>
    <x v="4"/>
    <s v="45-923-7206"/>
    <s v="Flashset"/>
    <n v="55"/>
    <n v="25"/>
    <n v="87"/>
    <s v="Sufficient"/>
    <n v="0"/>
    <s v="Normal"/>
    <s v=" 4.00  "/>
    <n v="220"/>
    <d v="2024-05-13T00:00:00"/>
    <d v="2024-02-03T00:00:00"/>
    <d v="2025-01-29T00:00:00"/>
    <n v="654"/>
    <n v="754"/>
    <n v="393"/>
    <s v="Expiring Soon"/>
    <s v="38726 Gina Pass"/>
    <n v="69"/>
    <n v="15180"/>
    <n v="48"/>
    <s v="Backordered"/>
  </r>
  <r>
    <s v="86-273-9377"/>
    <s v="White Rice"/>
    <x v="0"/>
    <s v="38-330-5543"/>
    <s v="Eimbee"/>
    <n v="18"/>
    <n v="86"/>
    <n v="20"/>
    <s v="Require"/>
    <n v="86"/>
    <s v="High Priority"/>
    <s v=" 1.80  "/>
    <n v="32.4"/>
    <d v="2024-12-26T00:00:00"/>
    <d v="2024-04-12T00:00:00"/>
    <d v="2024-11-29T00:00:00"/>
    <n v="427"/>
    <n v="685"/>
    <n v="454"/>
    <s v="Expiring Soon"/>
    <s v="1 Hollow Ridge Park"/>
    <n v="64"/>
    <n v="2073.6"/>
    <n v="34"/>
    <s v="Discontinued"/>
  </r>
  <r>
    <s v="98-499-2220"/>
    <s v="Parmesan Cheese"/>
    <x v="4"/>
    <s v="69-666-2257"/>
    <s v="Skidoo"/>
    <n v="37"/>
    <n v="3"/>
    <n v="45"/>
    <s v="Sufficient"/>
    <n v="0"/>
    <s v="Normal"/>
    <s v=" 12.00  "/>
    <n v="444"/>
    <d v="2024-10-25T00:00:00"/>
    <d v="2024-04-22T00:00:00"/>
    <d v="2024-11-21T00:00:00"/>
    <n v="489"/>
    <n v="675"/>
    <n v="462"/>
    <s v="Expiring Soon"/>
    <s v="27 School Court"/>
    <n v="39"/>
    <n v="17316"/>
    <n v="28"/>
    <s v="Discontinued"/>
  </r>
  <r>
    <s v="50-930-4751"/>
    <s v="Salmon"/>
    <x v="6"/>
    <s v="40-260-8547"/>
    <s v="Abata"/>
    <n v="88"/>
    <n v="40"/>
    <n v="29"/>
    <s v="Sufficient"/>
    <n v="0"/>
    <s v="Normal"/>
    <s v=" 15.00  "/>
    <n v="1320"/>
    <d v="2025-02-24T00:00:00"/>
    <d v="2024-06-24T00:00:00"/>
    <d v="2024-02-25T00:00:00"/>
    <n v="367"/>
    <n v="612"/>
    <n v="732"/>
    <s v="Safe"/>
    <s v="80380 Valley Edge Road"/>
    <n v="96"/>
    <n v="126720"/>
    <n v="87"/>
    <s v="Discontinued"/>
  </r>
  <r>
    <s v="88-304-2855"/>
    <s v="Pineapple"/>
    <x v="2"/>
    <s v="59-570-2020"/>
    <s v="Brainverse"/>
    <n v="20"/>
    <n v="51"/>
    <n v="33"/>
    <s v="Require"/>
    <n v="51"/>
    <s v="Normal"/>
    <s v=" 3.50  "/>
    <n v="70"/>
    <d v="2024-03-04T00:00:00"/>
    <d v="2025-01-24T00:00:00"/>
    <d v="2025-02-12T00:00:00"/>
    <n v="724"/>
    <n v="398"/>
    <n v="379"/>
    <s v="Expiring Soon"/>
    <s v="0 Delladonna Place"/>
    <n v="80"/>
    <n v="5600"/>
    <n v="41"/>
    <s v="Active"/>
  </r>
  <r>
    <s v="69-743-0161"/>
    <s v="Bread Flour"/>
    <x v="0"/>
    <s v="29-774-6779"/>
    <s v="Twitterwire"/>
    <n v="99"/>
    <n v="54"/>
    <n v="71"/>
    <s v="Sufficient"/>
    <n v="0"/>
    <s v="Normal"/>
    <s v=" 1.50  "/>
    <n v="148.5"/>
    <d v="2024-10-22T00:00:00"/>
    <d v="2024-08-14T00:00:00"/>
    <d v="2024-11-21T00:00:00"/>
    <n v="492"/>
    <n v="561"/>
    <n v="462"/>
    <s v="Expiring Soon"/>
    <s v="583 Loftsgordon Road"/>
    <n v="80"/>
    <n v="11880"/>
    <n v="10"/>
    <s v="Discontinued"/>
  </r>
  <r>
    <s v="40-902-1995"/>
    <s v="Asparagus"/>
    <x v="2"/>
    <s v="86-879-7811"/>
    <s v="Zoomzone"/>
    <n v="46"/>
    <n v="88"/>
    <n v="20"/>
    <s v="Require"/>
    <n v="88"/>
    <s v="High Priority"/>
    <s v=" 4.80  "/>
    <n v="220.79999999999998"/>
    <d v="2024-08-10T00:00:00"/>
    <d v="2024-08-12T00:00:00"/>
    <d v="2024-04-01T00:00:00"/>
    <n v="565"/>
    <n v="563"/>
    <n v="696"/>
    <s v="Safe"/>
    <s v="1519 Delaware Court"/>
    <n v="59"/>
    <n v="13027.199999999999"/>
    <n v="79"/>
    <s v="Backordered"/>
  </r>
  <r>
    <s v="50-329-3360"/>
    <s v="Wild Rice"/>
    <x v="0"/>
    <s v="85-594-2570"/>
    <s v="Topdrive"/>
    <n v="19"/>
    <n v="77"/>
    <n v="66"/>
    <s v="Require"/>
    <n v="77"/>
    <s v="High Priority"/>
    <s v=" 10.00  "/>
    <n v="190"/>
    <d v="2024-07-11T00:00:00"/>
    <d v="2025-02-16T00:00:00"/>
    <d v="2024-08-25T00:00:00"/>
    <n v="595"/>
    <n v="375"/>
    <n v="550"/>
    <s v="Expiring Soon"/>
    <s v="72 Crownhardt Circle"/>
    <n v="62"/>
    <n v="11780"/>
    <n v="100"/>
    <s v="Active"/>
  </r>
  <r>
    <s v="03-441-4252"/>
    <s v="Yogurt"/>
    <x v="4"/>
    <s v="11-430-6041"/>
    <s v="Wordpedia"/>
    <n v="12"/>
    <n v="83"/>
    <n v="93"/>
    <s v="Require"/>
    <n v="83"/>
    <s v="High Priority"/>
    <s v=" 1.75  "/>
    <n v="21"/>
    <d v="2024-10-27T00:00:00"/>
    <d v="2024-06-28T00:00:00"/>
    <d v="2024-07-24T00:00:00"/>
    <n v="487"/>
    <n v="608"/>
    <n v="582"/>
    <s v="Safe"/>
    <s v="6 Bobwhite Alley"/>
    <n v="22"/>
    <n v="462"/>
    <n v="9"/>
    <s v="Backordered"/>
  </r>
  <r>
    <s v="97-093-4278"/>
    <s v="Buttermilk"/>
    <x v="4"/>
    <s v="38-200-4863"/>
    <s v="Twitterlist"/>
    <n v="69"/>
    <n v="98"/>
    <n v="89"/>
    <s v="Require"/>
    <n v="98"/>
    <s v="High Priority"/>
    <s v=" 2.55  "/>
    <n v="175.95"/>
    <d v="2024-10-29T00:00:00"/>
    <d v="2024-09-04T00:00:00"/>
    <d v="2024-06-01T00:00:00"/>
    <n v="485"/>
    <n v="540"/>
    <n v="635"/>
    <s v="Safe"/>
    <s v="467 Dexter Pass"/>
    <n v="29"/>
    <n v="5102.5499999999993"/>
    <n v="34"/>
    <s v="Discontinued"/>
  </r>
  <r>
    <s v="01-820-5784"/>
    <s v="Egg (Duck)"/>
    <x v="4"/>
    <s v="80-567-5598"/>
    <s v="Skipfire"/>
    <n v="63"/>
    <n v="38"/>
    <n v="77"/>
    <s v="Sufficient"/>
    <n v="0"/>
    <s v="Normal"/>
    <s v=" 1.00  "/>
    <n v="63"/>
    <d v="2024-12-23T00:00:00"/>
    <d v="2025-12-02T00:00:00"/>
    <d v="2024-04-26T00:00:00"/>
    <n v="430"/>
    <n v="86"/>
    <n v="671"/>
    <s v="Safe"/>
    <s v="6982 Crownhardt Circle"/>
    <n v="23"/>
    <n v="1449"/>
    <n v="18"/>
    <s v="Active"/>
  </r>
  <r>
    <s v="31-803-5001"/>
    <s v="Asparagus"/>
    <x v="2"/>
    <s v="14-414-1945"/>
    <s v="Voonder"/>
    <n v="78"/>
    <n v="16"/>
    <n v="37"/>
    <s v="Sufficient"/>
    <n v="0"/>
    <s v="Normal"/>
    <s v=" 4.70  "/>
    <n v="366.6"/>
    <d v="2024-12-10T00:00:00"/>
    <d v="2024-04-12T00:00:00"/>
    <d v="2024-06-01T00:00:00"/>
    <n v="443"/>
    <n v="685"/>
    <n v="635"/>
    <s v="Safe"/>
    <s v="64 1st Plaza"/>
    <n v="25"/>
    <n v="9165"/>
    <n v="96"/>
    <s v="Backordered"/>
  </r>
  <r>
    <s v="61-317-9944"/>
    <s v="White Bread"/>
    <x v="5"/>
    <s v="03-220-5535"/>
    <s v="Skivee"/>
    <n v="72"/>
    <n v="20"/>
    <n v="71"/>
    <s v="Sufficient"/>
    <n v="0"/>
    <s v="Normal"/>
    <s v=" 2.50  "/>
    <n v="180"/>
    <d v="2024-06-29T00:00:00"/>
    <d v="2024-05-17T00:00:00"/>
    <d v="2024-10-29T00:00:00"/>
    <n v="607"/>
    <n v="650"/>
    <n v="485"/>
    <s v="Expiring Soon"/>
    <s v="21844 Artisan Trail"/>
    <n v="87"/>
    <n v="15660"/>
    <n v="68"/>
    <s v="Discontinued"/>
  </r>
  <r>
    <s v="56-303-5256"/>
    <s v="Wild Rice"/>
    <x v="0"/>
    <s v="29-821-5359"/>
    <s v="Babbleopia"/>
    <n v="58"/>
    <n v="24"/>
    <n v="25"/>
    <s v="Sufficient"/>
    <n v="0"/>
    <s v="Normal"/>
    <s v=" 10.00  "/>
    <n v="580"/>
    <d v="2024-08-24T00:00:00"/>
    <d v="2024-11-17T00:00:00"/>
    <d v="2024-03-21T00:00:00"/>
    <n v="551"/>
    <n v="466"/>
    <n v="707"/>
    <s v="Safe"/>
    <s v="3 Hermina Circle"/>
    <n v="75"/>
    <n v="43500"/>
    <n v="26"/>
    <s v="Active"/>
  </r>
  <r>
    <s v="86-672-4191"/>
    <s v="Egg (Goose)"/>
    <x v="4"/>
    <s v="79-219-8469"/>
    <s v="Einti"/>
    <n v="88"/>
    <n v="22"/>
    <n v="61"/>
    <s v="Sufficient"/>
    <n v="0"/>
    <s v="Normal"/>
    <s v=" 2.50  "/>
    <n v="220"/>
    <d v="2025-04-01T00:00:00"/>
    <d v="2024-09-29T00:00:00"/>
    <d v="2025-02-08T00:00:00"/>
    <n v="331"/>
    <n v="515"/>
    <n v="383"/>
    <s v="Expiring Soon"/>
    <s v="18 Troy Avenue"/>
    <n v="54"/>
    <n v="11880"/>
    <n v="100"/>
    <s v="Discontinued"/>
  </r>
  <r>
    <s v="34-547-0827"/>
    <s v="White Rice"/>
    <x v="0"/>
    <s v="30-853-8580"/>
    <s v="Wikibox"/>
    <n v="54"/>
    <n v="53"/>
    <n v="33"/>
    <s v="Sufficient"/>
    <n v="0"/>
    <s v="Normal"/>
    <s v=" 1.80  "/>
    <n v="97.2"/>
    <d v="2024-07-04T00:00:00"/>
    <d v="2025-01-17T00:00:00"/>
    <d v="2024-07-05T00:00:00"/>
    <n v="602"/>
    <n v="405"/>
    <n v="601"/>
    <s v="Safe"/>
    <s v="18 Comanche Junction"/>
    <n v="94"/>
    <n v="9136.8000000000011"/>
    <n v="82"/>
    <s v="Backordered"/>
  </r>
  <r>
    <s v="20-387-7746"/>
    <s v="Powdered Sugar"/>
    <x v="0"/>
    <s v="08-218-9429"/>
    <s v="Aivee"/>
    <n v="64"/>
    <n v="10"/>
    <n v="100"/>
    <s v="Sufficient"/>
    <n v="0"/>
    <s v="Normal"/>
    <s v=" 2.50  "/>
    <n v="160"/>
    <d v="2024-10-14T00:00:00"/>
    <d v="2024-05-06T00:00:00"/>
    <d v="2024-10-27T00:00:00"/>
    <n v="500"/>
    <n v="661"/>
    <n v="487"/>
    <s v="Expiring Soon"/>
    <s v="9050 Dorton Pass"/>
    <n v="97"/>
    <n v="15520"/>
    <n v="52"/>
    <s v="Active"/>
  </r>
  <r>
    <s v="50-329-3145"/>
    <s v="Milk"/>
    <x v="4"/>
    <s v="88-418-3855"/>
    <s v="Jatri"/>
    <n v="12"/>
    <n v="54"/>
    <n v="48"/>
    <s v="Require"/>
    <n v="54"/>
    <s v="Normal"/>
    <s v=" 1.00  "/>
    <n v="12"/>
    <d v="2024-06-11T00:00:00"/>
    <d v="2024-12-20T00:00:00"/>
    <d v="2024-04-21T00:00:00"/>
    <n v="625"/>
    <n v="433"/>
    <n v="676"/>
    <s v="Safe"/>
    <s v="591 Maple Wood Drive"/>
    <n v="31"/>
    <n v="372"/>
    <n v="88"/>
    <s v="Backordered"/>
  </r>
  <r>
    <s v="02-559-8196"/>
    <s v="Mango"/>
    <x v="2"/>
    <s v="44-495-6660"/>
    <s v="Jaxnation"/>
    <n v="61"/>
    <n v="14"/>
    <n v="49"/>
    <s v="Sufficient"/>
    <n v="0"/>
    <s v="Normal"/>
    <s v=" 5.20  "/>
    <n v="317.2"/>
    <d v="2024-10-06T00:00:00"/>
    <d v="2024-12-12T00:00:00"/>
    <d v="2024-07-25T00:00:00"/>
    <n v="508"/>
    <n v="441"/>
    <n v="581"/>
    <s v="Safe"/>
    <s v="545 Linden Alley"/>
    <n v="74"/>
    <n v="23472.799999999999"/>
    <n v="35"/>
    <s v="Discontinued"/>
  </r>
  <r>
    <s v="69-834-2874"/>
    <s v="Oatmeal Biscuit"/>
    <x v="5"/>
    <s v="51-600-6076"/>
    <s v="Skajo"/>
    <n v="28"/>
    <n v="62"/>
    <n v="81"/>
    <s v="Require"/>
    <n v="62"/>
    <s v="High Priority"/>
    <s v=" 5.00  "/>
    <n v="140"/>
    <d v="2024-03-27T00:00:00"/>
    <d v="2024-06-25T00:00:00"/>
    <d v="2024-10-07T00:00:00"/>
    <n v="701"/>
    <n v="611"/>
    <n v="507"/>
    <s v="Expiring Soon"/>
    <s v="39 Oxford Drive"/>
    <n v="28"/>
    <n v="3920"/>
    <n v="30"/>
    <s v="Discontinued"/>
  </r>
  <r>
    <s v="27-474-0056"/>
    <s v="Spinach"/>
    <x v="2"/>
    <s v="56-969-3705"/>
    <s v="Feedfish"/>
    <n v="23"/>
    <n v="6"/>
    <n v="40"/>
    <s v="Sufficient"/>
    <n v="0"/>
    <s v="Normal"/>
    <s v=" 2.50  "/>
    <n v="57.5"/>
    <d v="2024-03-20T00:00:00"/>
    <d v="2024-12-19T00:00:00"/>
    <d v="2024-06-19T00:00:00"/>
    <n v="708"/>
    <n v="434"/>
    <n v="617"/>
    <s v="Safe"/>
    <s v="538 Bayside Parkway"/>
    <n v="95"/>
    <n v="5462.5"/>
    <n v="24"/>
    <s v="Backordered"/>
  </r>
  <r>
    <s v="66-378-7532"/>
    <s v="Blueberries"/>
    <x v="2"/>
    <s v="15-365-5585"/>
    <s v="Flipbug"/>
    <n v="87"/>
    <n v="51"/>
    <n v="67"/>
    <s v="Sufficient"/>
    <n v="0"/>
    <s v="Normal"/>
    <s v=" 10.00  "/>
    <n v="870"/>
    <d v="2025-07-01T00:00:00"/>
    <d v="2024-05-06T00:00:00"/>
    <d v="2024-05-06T00:00:00"/>
    <n v="240"/>
    <n v="661"/>
    <n v="661"/>
    <s v="Safe"/>
    <s v="88678 Bayside Park"/>
    <n v="55"/>
    <n v="47850"/>
    <n v="100"/>
    <s v="Backordered"/>
  </r>
  <r>
    <s v="28-185-7303"/>
    <s v="Robusta Coffee"/>
    <x v="1"/>
    <s v="97-143-0641"/>
    <s v="Yozio"/>
    <n v="59"/>
    <n v="31"/>
    <n v="3"/>
    <s v="Sufficient"/>
    <n v="0"/>
    <s v="Normal"/>
    <s v=" 10.00  "/>
    <n v="590"/>
    <d v="2024-09-15T00:00:00"/>
    <d v="2025-01-21T00:00:00"/>
    <d v="2024-10-22T00:00:00"/>
    <n v="529"/>
    <n v="401"/>
    <n v="492"/>
    <s v="Expiring Soon"/>
    <s v="25696 Westerfield Alley"/>
    <n v="48"/>
    <n v="28320"/>
    <n v="51"/>
    <s v="Active"/>
  </r>
  <r>
    <s v="19-854-3663"/>
    <s v="Watermelon"/>
    <x v="2"/>
    <s v="72-509-7548"/>
    <s v="Dabjam"/>
    <n v="13"/>
    <n v="88"/>
    <n v="11"/>
    <s v="Require"/>
    <n v="88"/>
    <s v="High Priority"/>
    <s v=" 3.00  "/>
    <n v="39"/>
    <d v="2024-11-19T00:00:00"/>
    <d v="2024-05-05T00:00:00"/>
    <d v="2024-12-14T00:00:00"/>
    <n v="464"/>
    <n v="662"/>
    <n v="439"/>
    <s v="Expiring Soon"/>
    <s v="4 Dakota Avenue"/>
    <n v="100"/>
    <n v="3900"/>
    <n v="52"/>
    <s v="Backordered"/>
  </r>
  <r>
    <s v="42-175-1648"/>
    <s v="Pomegranate"/>
    <x v="2"/>
    <s v="67-272-8844"/>
    <s v="Browsetype"/>
    <n v="81"/>
    <n v="87"/>
    <n v="15"/>
    <s v="Require"/>
    <n v="87"/>
    <s v="High Priority"/>
    <s v=" 6.00  "/>
    <n v="486"/>
    <d v="2025-08-01T00:00:00"/>
    <d v="2025-01-25T00:00:00"/>
    <d v="2024-09-09T00:00:00"/>
    <n v="209"/>
    <n v="397"/>
    <n v="535"/>
    <s v="Expiring Soon"/>
    <s v="72778 Loftsgordon Center"/>
    <n v="94"/>
    <n v="45684"/>
    <n v="10"/>
    <s v="Backordered"/>
  </r>
  <r>
    <s v="56-657-4387"/>
    <s v="White Bread"/>
    <x v="5"/>
    <s v="78-629-7560"/>
    <s v="Meevee"/>
    <n v="61"/>
    <n v="77"/>
    <n v="45"/>
    <s v="Require"/>
    <n v="77"/>
    <s v="High Priority"/>
    <s v=" 2.50  "/>
    <n v="152.5"/>
    <d v="2024-03-21T00:00:00"/>
    <d v="2024-02-29T00:00:00"/>
    <d v="2024-06-22T00:00:00"/>
    <n v="707"/>
    <n v="728"/>
    <n v="614"/>
    <s v="Safe"/>
    <s v="5 Lyons Street"/>
    <n v="51"/>
    <n v="7777.5"/>
    <n v="48"/>
    <s v="Backordered"/>
  </r>
  <r>
    <s v="05-720-8792"/>
    <s v="Carrot"/>
    <x v="2"/>
    <s v="33-265-4588"/>
    <s v="Linkbridge"/>
    <n v="80"/>
    <n v="91"/>
    <n v="36"/>
    <s v="Require"/>
    <n v="91"/>
    <s v="High Priority"/>
    <s v=" 1.50  "/>
    <n v="120"/>
    <d v="2024-03-24T00:00:00"/>
    <d v="2024-08-07T00:00:00"/>
    <d v="2024-10-26T00:00:00"/>
    <n v="704"/>
    <n v="568"/>
    <n v="488"/>
    <s v="Expiring Soon"/>
    <s v="2 Northview Avenue"/>
    <n v="81"/>
    <n v="9720"/>
    <n v="74"/>
    <s v="Active"/>
  </r>
  <r>
    <s v="84-151-2114"/>
    <s v="Brown Rice"/>
    <x v="0"/>
    <s v="79-704-1471"/>
    <s v="Avamm"/>
    <n v="39"/>
    <n v="57"/>
    <n v="54"/>
    <s v="Require"/>
    <n v="57"/>
    <s v="Normal"/>
    <s v=" 2.50  "/>
    <n v="97.5"/>
    <d v="2024-06-12T00:00:00"/>
    <d v="2024-06-03T00:00:00"/>
    <d v="2024-08-11T00:00:00"/>
    <n v="624"/>
    <n v="633"/>
    <n v="564"/>
    <s v="Safe"/>
    <s v="12 Rigney Street"/>
    <n v="77"/>
    <n v="7507.5"/>
    <n v="32"/>
    <s v="Active"/>
  </r>
  <r>
    <s v="10-378-9729"/>
    <s v="Cabbage"/>
    <x v="7"/>
    <s v="83-941-9620"/>
    <s v="Rooxo"/>
    <n v="69"/>
    <n v="21"/>
    <n v="68"/>
    <s v="Sufficient"/>
    <n v="0"/>
    <s v="Normal"/>
    <s v=" 66.55  "/>
    <n v="4591.95"/>
    <d v="2024-12-23T00:00:00"/>
    <d v="2024-11-26T00:00:00"/>
    <d v="2024-09-21T00:00:00"/>
    <n v="430"/>
    <n v="457"/>
    <n v="523"/>
    <s v="Expiring Soon"/>
    <s v="2 Butterfield Pass"/>
    <n v="36"/>
    <n v="165310.19999999998"/>
    <n v="35"/>
    <s v="Discontinued"/>
  </r>
  <r>
    <s v="53-930-2215"/>
    <s v="Egg (Goose)"/>
    <x v="4"/>
    <s v="42-210-6541"/>
    <s v="Gabvine"/>
    <n v="60"/>
    <n v="43"/>
    <n v="32"/>
    <s v="Sufficient"/>
    <n v="0"/>
    <s v="Normal"/>
    <s v=" 2.50  "/>
    <n v="150"/>
    <d v="2024-05-07T00:00:00"/>
    <d v="2024-04-10T00:00:00"/>
    <d v="2024-07-09T00:00:00"/>
    <n v="660"/>
    <n v="687"/>
    <n v="597"/>
    <s v="Safe"/>
    <s v="292 Utah Street"/>
    <n v="77"/>
    <n v="11550"/>
    <n v="60"/>
    <s v="Active"/>
  </r>
  <r>
    <s v="02-034-6209"/>
    <s v="Sour Cream"/>
    <x v="4"/>
    <s v="34-724-1913"/>
    <s v="Yodel"/>
    <n v="22"/>
    <n v="43"/>
    <n v="3"/>
    <s v="Require"/>
    <n v="43"/>
    <s v="Normal"/>
    <s v=" 4.10  "/>
    <n v="90.199999999999989"/>
    <d v="2025-01-02T00:00:00"/>
    <d v="2024-07-26T00:00:00"/>
    <d v="2024-10-08T00:00:00"/>
    <n v="420"/>
    <n v="580"/>
    <n v="506"/>
    <s v="Expiring Soon"/>
    <s v="96 Brown Drive"/>
    <n v="45"/>
    <n v="4058.9999999999995"/>
    <n v="87"/>
    <s v="Backordered"/>
  </r>
  <r>
    <s v="28-003-8065"/>
    <s v="Almond Flour"/>
    <x v="0"/>
    <s v="42-579-7177"/>
    <s v="Voonte"/>
    <n v="79"/>
    <n v="47"/>
    <n v="51"/>
    <s v="Sufficient"/>
    <n v="0"/>
    <s v="Normal"/>
    <s v=" 9.50  "/>
    <n v="750.5"/>
    <d v="2024-07-19T00:00:00"/>
    <d v="2025-02-16T00:00:00"/>
    <d v="2025-01-28T00:00:00"/>
    <n v="587"/>
    <n v="375"/>
    <n v="394"/>
    <s v="Expiring Soon"/>
    <s v="65 Merry Circle"/>
    <n v="83"/>
    <n v="62291.5"/>
    <n v="69"/>
    <s v="Discontinued"/>
  </r>
  <r>
    <s v="19-021-5024"/>
    <s v="Broccoli"/>
    <x v="2"/>
    <s v="75-369-5047"/>
    <s v="Rhyzio"/>
    <n v="47"/>
    <n v="63"/>
    <n v="86"/>
    <s v="Require"/>
    <n v="63"/>
    <s v="High Priority"/>
    <s v=" 4.00  "/>
    <n v="188"/>
    <d v="2024-05-19T00:00:00"/>
    <d v="2025-02-13T00:00:00"/>
    <d v="2024-05-07T00:00:00"/>
    <n v="648"/>
    <n v="378"/>
    <n v="660"/>
    <s v="Safe"/>
    <s v="4 Heffernan Lane"/>
    <n v="76"/>
    <n v="14288"/>
    <n v="29"/>
    <s v="Active"/>
  </r>
  <r>
    <s v="07-846-4804"/>
    <s v="Jasmine Rice"/>
    <x v="0"/>
    <s v="30-605-2164"/>
    <s v="Tagcat"/>
    <n v="20"/>
    <n v="25"/>
    <n v="73"/>
    <s v="Require"/>
    <n v="25"/>
    <s v="Normal"/>
    <s v=" 4.75  "/>
    <n v="95"/>
    <d v="2024-08-10T00:00:00"/>
    <d v="2024-02-07T00:00:00"/>
    <d v="2024-09-25T00:00:00"/>
    <n v="565"/>
    <n v="750"/>
    <n v="519"/>
    <s v="Expiring Soon"/>
    <s v="2 Fair Oaks Pass"/>
    <n v="78"/>
    <n v="7410"/>
    <n v="1"/>
    <s v="Discontinued"/>
  </r>
  <r>
    <s v="70-542-4269"/>
    <s v="Gouda Cheese"/>
    <x v="4"/>
    <s v="27-772-7906"/>
    <s v="Gigazoom"/>
    <n v="41"/>
    <n v="22"/>
    <n v="11"/>
    <s v="Sufficient"/>
    <n v="0"/>
    <s v="Normal"/>
    <s v=" 7.00  "/>
    <n v="287"/>
    <d v="2024-06-19T00:00:00"/>
    <d v="2024-04-23T00:00:00"/>
    <d v="2024-04-17T00:00:00"/>
    <n v="617"/>
    <n v="674"/>
    <n v="680"/>
    <s v="Safe"/>
    <s v="7 Victoria Hill"/>
    <n v="86"/>
    <n v="24682"/>
    <n v="30"/>
    <s v="Active"/>
  </r>
  <r>
    <s v="52-797-6961"/>
    <s v="Tilapia"/>
    <x v="6"/>
    <s v="75-793-8978"/>
    <s v="Plajo"/>
    <n v="46"/>
    <n v="80"/>
    <n v="88"/>
    <s v="Require"/>
    <n v="80"/>
    <s v="High Priority"/>
    <s v=" 7.00  "/>
    <n v="322"/>
    <d v="2024-09-19T00:00:00"/>
    <d v="2024-07-06T00:00:00"/>
    <d v="2024-06-17T00:00:00"/>
    <n v="525"/>
    <n v="600"/>
    <n v="619"/>
    <s v="Safe"/>
    <s v="13799 Quincy Park"/>
    <n v="62"/>
    <n v="19964"/>
    <n v="22"/>
    <s v="Discontinued"/>
  </r>
  <r>
    <s v="66-327-2821"/>
    <s v="Palm Oil"/>
    <x v="3"/>
    <s v="82-525-7224"/>
    <s v="Skipstorm"/>
    <n v="67"/>
    <n v="57"/>
    <n v="36"/>
    <s v="Sufficient"/>
    <n v="0"/>
    <s v="Normal"/>
    <s v=" 1.80  "/>
    <n v="120.60000000000001"/>
    <d v="2024-02-08T00:00:00"/>
    <d v="2024-10-04T00:00:00"/>
    <d v="2024-05-27T00:00:00"/>
    <n v="749"/>
    <n v="510"/>
    <n v="640"/>
    <s v="Safe"/>
    <s v="703 Hermina Center"/>
    <n v="78"/>
    <n v="9406.8000000000011"/>
    <n v="60"/>
    <s v="Active"/>
  </r>
  <r>
    <s v="12-093-9863"/>
    <s v="Arborio Rice"/>
    <x v="0"/>
    <s v="21-416-3796"/>
    <s v="Feednation"/>
    <n v="51"/>
    <n v="19"/>
    <n v="96"/>
    <s v="Sufficient"/>
    <n v="0"/>
    <s v="Normal"/>
    <s v=" 4.50  "/>
    <n v="229.5"/>
    <d v="2024-11-23T00:00:00"/>
    <d v="2025-09-02T00:00:00"/>
    <d v="2024-06-26T00:00:00"/>
    <n v="460"/>
    <n v="177"/>
    <n v="610"/>
    <s v="Safe"/>
    <s v="6748 Mitchell Road"/>
    <n v="73"/>
    <n v="16753.5"/>
    <n v="42"/>
    <s v="Active"/>
  </r>
  <r>
    <s v="08-396-2704"/>
    <s v="White Sugar"/>
    <x v="0"/>
    <s v="94-186-9620"/>
    <s v="Cogibox"/>
    <n v="42"/>
    <n v="12"/>
    <n v="28"/>
    <s v="Sufficient"/>
    <n v="0"/>
    <s v="Normal"/>
    <s v=" 2.00  "/>
    <n v="84"/>
    <d v="2024-10-03T00:00:00"/>
    <d v="2024-01-04T00:00:00"/>
    <d v="2024-05-10T00:00:00"/>
    <n v="511"/>
    <n v="784"/>
    <n v="657"/>
    <s v="Safe"/>
    <s v="160 Crowley Center"/>
    <n v="80"/>
    <n v="6720"/>
    <n v="8"/>
    <s v="Discontinued"/>
  </r>
  <r>
    <s v="72-970-0239"/>
    <s v="Sesame Oil"/>
    <x v="3"/>
    <s v="64-752-3122"/>
    <s v="Divanoodle"/>
    <n v="85"/>
    <n v="86"/>
    <n v="21"/>
    <s v="Require"/>
    <n v="86"/>
    <s v="High Priority"/>
    <s v=" 6.50  "/>
    <n v="552.5"/>
    <d v="2024-06-30T00:00:00"/>
    <d v="2024-07-24T00:00:00"/>
    <d v="2024-07-18T00:00:00"/>
    <n v="606"/>
    <n v="582"/>
    <n v="588"/>
    <s v="Safe"/>
    <s v="73966 Pond Trail"/>
    <n v="78"/>
    <n v="43095"/>
    <n v="53"/>
    <s v="Backordered"/>
  </r>
  <r>
    <s v="03-940-0630"/>
    <s v="Sunflower Oil"/>
    <x v="3"/>
    <s v="49-762-8263"/>
    <s v="Skibox"/>
    <n v="23"/>
    <n v="43"/>
    <n v="75"/>
    <s v="Require"/>
    <n v="43"/>
    <s v="Normal"/>
    <s v=" 2.50  "/>
    <n v="57.5"/>
    <d v="2024-08-11T00:00:00"/>
    <d v="2024-10-31T00:00:00"/>
    <d v="2024-04-03T00:00:00"/>
    <n v="564"/>
    <n v="483"/>
    <n v="694"/>
    <s v="Safe"/>
    <s v="27408 Burning Wood Street"/>
    <n v="91"/>
    <n v="5232.5"/>
    <n v="86"/>
    <s v="Discontinued"/>
  </r>
  <r>
    <s v="67-130-4114"/>
    <s v="Bell Pepper"/>
    <x v="2"/>
    <s v="53-718-1768"/>
    <s v="Devcast"/>
    <n v="84"/>
    <n v="26"/>
    <n v="37"/>
    <s v="Sufficient"/>
    <n v="0"/>
    <s v="Normal"/>
    <s v=" 4.50  "/>
    <n v="378"/>
    <d v="2024-04-15T00:00:00"/>
    <d v="2024-02-27T00:00:00"/>
    <d v="2025-01-24T00:00:00"/>
    <n v="682"/>
    <n v="730"/>
    <n v="398"/>
    <s v="Expiring Soon"/>
    <s v="9327 Hanover Way"/>
    <n v="46"/>
    <n v="17388"/>
    <n v="67"/>
    <s v="Backordered"/>
  </r>
  <r>
    <s v="32-270-1385"/>
    <s v="Greek Yogurt"/>
    <x v="2"/>
    <s v="81-072-8266"/>
    <s v="Quaxo"/>
    <n v="28"/>
    <n v="38"/>
    <n v="23"/>
    <s v="Require"/>
    <n v="38"/>
    <s v="Normal"/>
    <s v=" 42.58  "/>
    <n v="1192.24"/>
    <d v="2024-10-28T00:00:00"/>
    <d v="2024-12-15T00:00:00"/>
    <d v="2024-08-08T00:00:00"/>
    <n v="486"/>
    <n v="438"/>
    <n v="567"/>
    <s v="Safe"/>
    <s v="0500 Calypso Pass"/>
    <n v="48"/>
    <n v="57227.520000000004"/>
    <n v="56"/>
    <s v="Backordered"/>
  </r>
  <r>
    <s v="85-510-2915"/>
    <s v="White Bread"/>
    <x v="5"/>
    <s v="55-134-2668"/>
    <s v="Mybuzz"/>
    <n v="62"/>
    <n v="49"/>
    <n v="38"/>
    <s v="Sufficient"/>
    <n v="0"/>
    <s v="Normal"/>
    <s v=" 2.50  "/>
    <n v="155"/>
    <d v="2024-12-16T00:00:00"/>
    <d v="2024-05-29T00:00:00"/>
    <d v="2024-10-09T00:00:00"/>
    <n v="437"/>
    <n v="638"/>
    <n v="505"/>
    <s v="Expiring Soon"/>
    <s v="8 Merrick Lane"/>
    <n v="42"/>
    <n v="6510"/>
    <n v="44"/>
    <s v="Discontinued"/>
  </r>
  <r>
    <s v="00-842-9790"/>
    <s v="Egg (Goose)"/>
    <x v="4"/>
    <s v="37-079-2530"/>
    <s v="Oba"/>
    <n v="65"/>
    <n v="94"/>
    <n v="4"/>
    <s v="Require"/>
    <n v="94"/>
    <s v="High Priority"/>
    <s v=" 2.50  "/>
    <n v="162.5"/>
    <d v="2024-07-31T00:00:00"/>
    <d v="2025-01-30T00:00:00"/>
    <d v="2024-12-28T00:00:00"/>
    <n v="575"/>
    <n v="392"/>
    <n v="425"/>
    <s v="Expiring Soon"/>
    <s v="53894 Myrtle Place"/>
    <n v="66"/>
    <n v="10725"/>
    <n v="36"/>
    <s v="Backordered"/>
  </r>
  <r>
    <s v="49-377-9731"/>
    <s v="Lime"/>
    <x v="2"/>
    <s v="56-823-5908"/>
    <s v="Livefish"/>
    <n v="18"/>
    <n v="8"/>
    <n v="68"/>
    <s v="Sufficient"/>
    <n v="0"/>
    <s v="Normal"/>
    <s v=" 2.00  "/>
    <n v="36"/>
    <d v="2024-02-06T00:00:00"/>
    <d v="2024-03-10T00:00:00"/>
    <d v="2024-04-19T00:00:00"/>
    <n v="751"/>
    <n v="718"/>
    <n v="678"/>
    <s v="Safe"/>
    <s v="3 Meadow Valley Court"/>
    <n v="54"/>
    <n v="1944"/>
    <n v="45"/>
    <s v="Backordered"/>
  </r>
  <r>
    <s v="96-682-8546"/>
    <s v="Egg (Chicken)"/>
    <x v="4"/>
    <s v="03-882-3517"/>
    <s v="Kaymbo"/>
    <n v="70"/>
    <n v="29"/>
    <n v="24"/>
    <s v="Sufficient"/>
    <n v="0"/>
    <s v="Normal"/>
    <s v=" 0.20  "/>
    <n v="14"/>
    <d v="2024-03-31T00:00:00"/>
    <d v="2024-10-26T00:00:00"/>
    <d v="2024-09-17T00:00:00"/>
    <n v="697"/>
    <n v="488"/>
    <n v="527"/>
    <s v="Expiring Soon"/>
    <s v="97 Walton Avenue"/>
    <n v="62"/>
    <n v="868"/>
    <n v="55"/>
    <s v="Backordered"/>
  </r>
  <r>
    <s v="92-837-8839"/>
    <s v="Vegetable Oil"/>
    <x v="3"/>
    <s v="95-484-3134"/>
    <s v="Yoveo"/>
    <n v="23"/>
    <n v="71"/>
    <n v="32"/>
    <s v="Require"/>
    <n v="71"/>
    <s v="High Priority"/>
    <s v=" 2.00  "/>
    <n v="46"/>
    <d v="2024-04-14T00:00:00"/>
    <d v="2025-01-16T00:00:00"/>
    <d v="2024-08-18T00:00:00"/>
    <n v="683"/>
    <n v="406"/>
    <n v="557"/>
    <s v="Safe"/>
    <s v="95 Lerdahl Park"/>
    <n v="63"/>
    <n v="2898"/>
    <n v="23"/>
    <s v="Discontinued"/>
  </r>
  <r>
    <s v="68-732-5919"/>
    <s v="Jasmine Rice"/>
    <x v="0"/>
    <s v="07-500-2023"/>
    <s v="Eimbee"/>
    <n v="26"/>
    <n v="83"/>
    <n v="24"/>
    <s v="Require"/>
    <n v="83"/>
    <s v="High Priority"/>
    <s v=" 4.75  "/>
    <n v="123.5"/>
    <d v="2025-07-02T00:00:00"/>
    <d v="2024-10-29T00:00:00"/>
    <d v="2024-05-17T00:00:00"/>
    <n v="239"/>
    <n v="485"/>
    <n v="650"/>
    <s v="Safe"/>
    <s v="56 Bonner Point"/>
    <n v="75"/>
    <n v="9262.5"/>
    <n v="12"/>
    <s v="Backordered"/>
  </r>
  <r>
    <s v="37-064-7275"/>
    <s v="Robusta Coffee"/>
    <x v="1"/>
    <s v="63-522-2633"/>
    <s v="Skiptube"/>
    <n v="20"/>
    <n v="42"/>
    <n v="45"/>
    <s v="Require"/>
    <n v="42"/>
    <s v="Normal"/>
    <s v=" 10.00  "/>
    <n v="200"/>
    <d v="2024-03-22T00:00:00"/>
    <d v="2024-06-25T00:00:00"/>
    <d v="2024-09-22T00:00:00"/>
    <n v="706"/>
    <n v="611"/>
    <n v="522"/>
    <s v="Expiring Soon"/>
    <s v="149 Lawn Way"/>
    <n v="72"/>
    <n v="14400"/>
    <n v="28"/>
    <s v="Discontinued"/>
  </r>
  <r>
    <s v="43-193-9915"/>
    <s v="Mozzarella Cheese"/>
    <x v="4"/>
    <s v="23-931-2988"/>
    <s v="Roodel"/>
    <n v="55"/>
    <n v="58"/>
    <n v="6"/>
    <s v="Require"/>
    <n v="58"/>
    <s v="Normal"/>
    <s v=" 7.20  "/>
    <n v="396"/>
    <d v="2025-01-17T00:00:00"/>
    <d v="2024-12-07T00:00:00"/>
    <d v="2024-09-23T00:00:00"/>
    <n v="405"/>
    <n v="446"/>
    <n v="521"/>
    <s v="Expiring Soon"/>
    <s v="61 Transport Parkway"/>
    <n v="48"/>
    <n v="19008"/>
    <n v="17"/>
    <s v="Discontinued"/>
  </r>
  <r>
    <s v="45-992-5653"/>
    <s v="Whole Wheat Flour"/>
    <x v="0"/>
    <s v="22-050-5775"/>
    <s v="Jaxworks"/>
    <n v="82"/>
    <n v="67"/>
    <n v="67"/>
    <s v="Sufficient"/>
    <n v="0"/>
    <s v="Normal"/>
    <s v=" 2.75  "/>
    <n v="225.5"/>
    <d v="2024-03-25T00:00:00"/>
    <d v="2024-07-07T00:00:00"/>
    <d v="2024-10-19T00:00:00"/>
    <n v="703"/>
    <n v="599"/>
    <n v="495"/>
    <s v="Expiring Soon"/>
    <s v="5 Fisk Point"/>
    <n v="26"/>
    <n v="5863"/>
    <n v="1"/>
    <s v="Backordered"/>
  </r>
  <r>
    <s v="45-852-2446"/>
    <s v="Salmon"/>
    <x v="6"/>
    <s v="37-567-5710"/>
    <s v="Fanoodle"/>
    <n v="73"/>
    <n v="12"/>
    <n v="28"/>
    <s v="Sufficient"/>
    <n v="0"/>
    <s v="Normal"/>
    <s v=" 15.00  "/>
    <n v="1095"/>
    <d v="2024-09-15T00:00:00"/>
    <d v="2024-08-06T00:00:00"/>
    <d v="2024-11-29T00:00:00"/>
    <n v="529"/>
    <n v="569"/>
    <n v="454"/>
    <s v="Expiring Soon"/>
    <s v="56 Petterle Circle"/>
    <n v="89"/>
    <n v="97455"/>
    <n v="92"/>
    <s v="Active"/>
  </r>
  <r>
    <s v="57-394-4703"/>
    <s v="White Tea"/>
    <x v="1"/>
    <s v="52-130-3457"/>
    <s v="Agivu"/>
    <n v="81"/>
    <n v="83"/>
    <n v="36"/>
    <s v="Require"/>
    <n v="83"/>
    <s v="High Priority"/>
    <s v=" 25.00  "/>
    <n v="2025"/>
    <d v="2024-10-26T00:00:00"/>
    <d v="2025-07-01T00:00:00"/>
    <d v="2024-10-16T00:00:00"/>
    <n v="488"/>
    <n v="240"/>
    <n v="498"/>
    <s v="Expiring Soon"/>
    <s v="38 Banding Lane"/>
    <n v="74"/>
    <n v="149850"/>
    <n v="86"/>
    <s v="Backordered"/>
  </r>
  <r>
    <s v="07-679-1199"/>
    <s v="Onion"/>
    <x v="2"/>
    <s v="75-406-6250"/>
    <s v="Wikizz"/>
    <n v="20"/>
    <n v="65"/>
    <n v="61"/>
    <s v="Require"/>
    <n v="65"/>
    <s v="High Priority"/>
    <s v=" 2.00  "/>
    <n v="40"/>
    <d v="2024-04-07T00:00:00"/>
    <d v="2024-10-07T00:00:00"/>
    <d v="2024-10-15T00:00:00"/>
    <n v="690"/>
    <n v="507"/>
    <n v="499"/>
    <s v="Expiring Soon"/>
    <s v="1991 Kropf Way"/>
    <n v="51"/>
    <n v="2040"/>
    <n v="78"/>
    <s v="Active"/>
  </r>
  <r>
    <s v="47-221-3391"/>
    <s v="Black Coffee"/>
    <x v="1"/>
    <s v="21-450-5520"/>
    <s v="Digitube"/>
    <n v="78"/>
    <n v="38"/>
    <n v="27"/>
    <s v="Sufficient"/>
    <n v="0"/>
    <s v="Normal"/>
    <s v=" 15.00  "/>
    <n v="1170"/>
    <d v="2024-06-04T00:00:00"/>
    <d v="2024-09-07T00:00:00"/>
    <d v="2024-09-12T00:00:00"/>
    <n v="632"/>
    <n v="537"/>
    <n v="532"/>
    <s v="Expiring Soon"/>
    <s v="0023 Upham Road"/>
    <n v="54"/>
    <n v="63180"/>
    <n v="42"/>
    <s v="Active"/>
  </r>
  <r>
    <s v="80-698-0324"/>
    <s v="Butter Biscuit"/>
    <x v="5"/>
    <s v="98-587-7923"/>
    <s v="Bluejam"/>
    <n v="84"/>
    <n v="58"/>
    <n v="28"/>
    <s v="Sufficient"/>
    <n v="0"/>
    <s v="Normal"/>
    <s v=" 6.00  "/>
    <n v="504"/>
    <d v="2024-04-17T00:00:00"/>
    <d v="2025-04-02T00:00:00"/>
    <d v="2024-05-25T00:00:00"/>
    <n v="680"/>
    <n v="330"/>
    <n v="642"/>
    <s v="Safe"/>
    <s v="7 Duke Parkway"/>
    <n v="51"/>
    <n v="25704"/>
    <n v="12"/>
    <s v="Active"/>
  </r>
  <r>
    <s v="36-383-3677"/>
    <s v="Corn Oil"/>
    <x v="3"/>
    <s v="88-020-6814"/>
    <s v="Centizu"/>
    <n v="32"/>
    <n v="38"/>
    <n v="23"/>
    <s v="Require"/>
    <n v="38"/>
    <s v="Normal"/>
    <s v=" 2.50  "/>
    <n v="80"/>
    <d v="2024-06-16T00:00:00"/>
    <d v="2024-05-29T00:00:00"/>
    <d v="2025-02-02T00:00:00"/>
    <n v="620"/>
    <n v="638"/>
    <n v="389"/>
    <s v="Expiring Soon"/>
    <s v="7 Anzinger Lane"/>
    <n v="52"/>
    <n v="4160"/>
    <n v="11"/>
    <s v="Discontinued"/>
  </r>
  <r>
    <s v="42-907-6946"/>
    <s v="Coconut Oil"/>
    <x v="3"/>
    <s v="32-386-9832"/>
    <s v="Bluejam"/>
    <n v="90"/>
    <n v="75"/>
    <n v="6"/>
    <s v="Sufficient"/>
    <n v="0"/>
    <s v="Normal"/>
    <s v=" 5.00  "/>
    <n v="450"/>
    <d v="2024-06-07T00:00:00"/>
    <d v="2025-01-01T00:00:00"/>
    <d v="2024-08-31T00:00:00"/>
    <n v="629"/>
    <n v="421"/>
    <n v="544"/>
    <s v="Expiring Soon"/>
    <s v="093 Anhalt Crossing"/>
    <n v="55"/>
    <n v="24750"/>
    <n v="64"/>
    <s v="Active"/>
  </r>
  <r>
    <s v="96-209-1739"/>
    <s v="Evaporated Milk"/>
    <x v="4"/>
    <s v="82-930-7733"/>
    <s v="Miboo"/>
    <n v="70"/>
    <n v="81"/>
    <n v="75"/>
    <s v="Require"/>
    <n v="81"/>
    <s v="High Priority"/>
    <s v=" 2.00  "/>
    <n v="140"/>
    <d v="2024-08-09T00:00:00"/>
    <d v="2024-02-27T00:00:00"/>
    <d v="2024-02-29T00:00:00"/>
    <n v="566"/>
    <n v="730"/>
    <n v="728"/>
    <s v="Safe"/>
    <s v="779 Ridgeway Street"/>
    <n v="24"/>
    <n v="3360"/>
    <n v="54"/>
    <s v="Backordered"/>
  </r>
  <r>
    <s v="36-679-4670"/>
    <s v="Bell Pepper"/>
    <x v="2"/>
    <s v="60-508-7567"/>
    <s v="Fatz"/>
    <n v="90"/>
    <n v="22"/>
    <n v="20"/>
    <s v="Sufficient"/>
    <n v="0"/>
    <s v="Normal"/>
    <s v=" 4.50  "/>
    <n v="405"/>
    <d v="2024-06-30T00:00:00"/>
    <d v="2025-02-22T00:00:00"/>
    <d v="2025-01-13T00:00:00"/>
    <n v="606"/>
    <n v="369"/>
    <n v="409"/>
    <s v="Expiring Soon"/>
    <s v="5 Warner Court"/>
    <n v="81"/>
    <n v="32805"/>
    <n v="88"/>
    <s v="Backordered"/>
  </r>
  <r>
    <s v="08-637-9335"/>
    <s v="Lettuce"/>
    <x v="2"/>
    <s v="99-178-0951"/>
    <s v="Meemm"/>
    <n v="100"/>
    <n v="7"/>
    <n v="14"/>
    <s v="Sufficient"/>
    <n v="0"/>
    <s v="Normal"/>
    <s v=" 2.00  "/>
    <n v="200"/>
    <d v="2024-12-16T00:00:00"/>
    <d v="2024-06-03T00:00:00"/>
    <d v="2024-07-25T00:00:00"/>
    <n v="437"/>
    <n v="633"/>
    <n v="581"/>
    <s v="Safe"/>
    <s v="9 Cardinal Alley"/>
    <n v="26"/>
    <n v="5200"/>
    <n v="33"/>
    <s v="Backordered"/>
  </r>
  <r>
    <s v="56-875-3717"/>
    <s v="Brown Rice"/>
    <x v="0"/>
    <s v="39-257-6162"/>
    <s v="Youtags"/>
    <n v="89"/>
    <n v="54"/>
    <n v="15"/>
    <s v="Sufficient"/>
    <n v="0"/>
    <s v="Normal"/>
    <s v=" 2.50  "/>
    <n v="222.5"/>
    <d v="2024-09-10T00:00:00"/>
    <d v="2024-01-08T00:00:00"/>
    <d v="2024-05-03T00:00:00"/>
    <n v="534"/>
    <n v="780"/>
    <n v="664"/>
    <s v="Safe"/>
    <s v="32 Cottonwood Pass"/>
    <n v="64"/>
    <n v="14240"/>
    <n v="63"/>
    <s v="Active"/>
  </r>
  <r>
    <s v="86-978-6666"/>
    <s v="Whole Wheat Flour"/>
    <x v="0"/>
    <s v="43-979-2253"/>
    <s v="Dabjam"/>
    <n v="38"/>
    <n v="43"/>
    <n v="28"/>
    <s v="Require"/>
    <n v="43"/>
    <s v="Normal"/>
    <s v=" 2.70  "/>
    <n v="102.60000000000001"/>
    <d v="2024-01-10T00:00:00"/>
    <d v="2024-07-26T00:00:00"/>
    <d v="2024-09-15T00:00:00"/>
    <n v="778"/>
    <n v="580"/>
    <n v="529"/>
    <s v="Expiring Soon"/>
    <s v="21343 Brentwood Circle"/>
    <n v="34"/>
    <n v="3488.4"/>
    <n v="54"/>
    <s v="Backordered"/>
  </r>
  <r>
    <s v="41-475-5305"/>
    <s v="Rye Bread"/>
    <x v="5"/>
    <s v="93-900-1170"/>
    <s v="Kwideo"/>
    <n v="61"/>
    <n v="20"/>
    <n v="29"/>
    <s v="Sufficient"/>
    <n v="0"/>
    <s v="Normal"/>
    <s v=" 3.00  "/>
    <n v="183"/>
    <d v="2024-04-19T00:00:00"/>
    <d v="2024-03-13T00:00:00"/>
    <d v="2024-09-12T00:00:00"/>
    <n v="678"/>
    <n v="715"/>
    <n v="532"/>
    <s v="Expiring Soon"/>
    <s v="88 Hooker Parkway"/>
    <n v="71"/>
    <n v="12993"/>
    <n v="97"/>
    <s v="Backordered"/>
  </r>
  <r>
    <s v="25-911-7736"/>
    <s v="Orange"/>
    <x v="2"/>
    <s v="40-180-0752"/>
    <s v="Oba"/>
    <n v="75"/>
    <n v="48"/>
    <n v="25"/>
    <s v="Sufficient"/>
    <n v="0"/>
    <s v="Normal"/>
    <s v=" 3.00  "/>
    <n v="225"/>
    <d v="2024-11-12T00:00:00"/>
    <d v="2024-08-17T00:00:00"/>
    <d v="2024-08-29T00:00:00"/>
    <n v="471"/>
    <n v="558"/>
    <n v="546"/>
    <s v="Expiring Soon"/>
    <s v="72090 Northfield Place"/>
    <n v="96"/>
    <n v="21600"/>
    <n v="65"/>
    <s v="Backordered"/>
  </r>
  <r>
    <s v="28-433-8533"/>
    <s v="Multigrain Bread"/>
    <x v="5"/>
    <s v="81-694-0300"/>
    <s v="Topicware"/>
    <n v="87"/>
    <n v="70"/>
    <n v="77"/>
    <s v="Sufficient"/>
    <n v="0"/>
    <s v="Normal"/>
    <s v=" 3.20  "/>
    <n v="278.40000000000003"/>
    <d v="2024-08-05T00:00:00"/>
    <d v="2024-02-27T00:00:00"/>
    <d v="2025-02-02T00:00:00"/>
    <n v="570"/>
    <n v="730"/>
    <n v="389"/>
    <s v="Expiring Soon"/>
    <s v="8 Mayer Trail"/>
    <n v="73"/>
    <n v="20323.2"/>
    <n v="44"/>
    <s v="Active"/>
  </r>
  <r>
    <s v="84-624-0201"/>
    <s v="Bread Flour"/>
    <x v="0"/>
    <s v="25-769-3792"/>
    <s v="Skaboo"/>
    <n v="71"/>
    <n v="77"/>
    <n v="30"/>
    <s v="Require"/>
    <n v="77"/>
    <s v="High Priority"/>
    <s v=" 1.50  "/>
    <n v="106.5"/>
    <d v="2024-07-17T00:00:00"/>
    <d v="2024-09-11T00:00:00"/>
    <d v="2025-01-20T00:00:00"/>
    <n v="589"/>
    <n v="533"/>
    <n v="402"/>
    <s v="Expiring Soon"/>
    <s v="9 Eastlawn Crossing"/>
    <n v="34"/>
    <n v="3621"/>
    <n v="57"/>
    <s v="Backordered"/>
  </r>
  <r>
    <s v="45-634-0679"/>
    <s v="Haddock"/>
    <x v="6"/>
    <s v="29-542-9338"/>
    <s v="Rhybox"/>
    <n v="98"/>
    <n v="100"/>
    <n v="34"/>
    <s v="Require"/>
    <n v="100"/>
    <s v="High Priority"/>
    <s v=" 9.00  "/>
    <n v="882"/>
    <d v="2024-10-13T00:00:00"/>
    <d v="2024-02-28T00:00:00"/>
    <d v="2024-08-27T00:00:00"/>
    <n v="501"/>
    <n v="729"/>
    <n v="548"/>
    <s v="Expiring Soon"/>
    <s v="9 Anhalt Trail"/>
    <n v="53"/>
    <n v="46746"/>
    <n v="20"/>
    <s v="Active"/>
  </r>
  <r>
    <s v="93-014-4256"/>
    <s v="Green Beans"/>
    <x v="2"/>
    <s v="37-599-8579"/>
    <s v="BlogXS"/>
    <n v="19"/>
    <n v="92"/>
    <n v="41"/>
    <s v="Require"/>
    <n v="92"/>
    <s v="High Priority"/>
    <s v=" 2.00  "/>
    <n v="38"/>
    <d v="2025-05-01T00:00:00"/>
    <d v="2025-11-01T00:00:00"/>
    <d v="2024-10-13T00:00:00"/>
    <n v="301"/>
    <n v="117"/>
    <n v="501"/>
    <s v="Expiring Soon"/>
    <s v="6 Bay Road"/>
    <n v="51"/>
    <n v="1938"/>
    <n v="79"/>
    <s v="Active"/>
  </r>
  <r>
    <s v="24-989-3302"/>
    <s v="Coconut"/>
    <x v="2"/>
    <s v="89-159-0852"/>
    <s v="Eazzy"/>
    <n v="85"/>
    <n v="90"/>
    <n v="16"/>
    <s v="Require"/>
    <n v="90"/>
    <s v="High Priority"/>
    <s v=" 5.00  "/>
    <n v="425"/>
    <d v="2024-05-25T00:00:00"/>
    <d v="2024-03-06T00:00:00"/>
    <d v="2024-07-30T00:00:00"/>
    <n v="642"/>
    <n v="722"/>
    <n v="576"/>
    <s v="Safe"/>
    <s v="736 Redwing Parkway"/>
    <n v="61"/>
    <n v="25925"/>
    <n v="80"/>
    <s v="Backordered"/>
  </r>
  <r>
    <s v="46-415-8633"/>
    <s v="Apple"/>
    <x v="2"/>
    <s v="32-497-0478"/>
    <s v="Omba"/>
    <n v="71"/>
    <n v="36"/>
    <n v="45"/>
    <s v="Sufficient"/>
    <n v="0"/>
    <s v="Normal"/>
    <s v=" 3.50  "/>
    <n v="248.5"/>
    <d v="2025-01-29T00:00:00"/>
    <d v="2024-11-17T00:00:00"/>
    <d v="2025-01-02T00:00:00"/>
    <n v="393"/>
    <n v="466"/>
    <n v="420"/>
    <s v="Expiring Soon"/>
    <s v="5 Eggendart Parkway"/>
    <n v="87"/>
    <n v="21619.5"/>
    <n v="2"/>
    <s v="Backordered"/>
  </r>
  <r>
    <s v="73-117-6105"/>
    <s v="Brown Rice"/>
    <x v="0"/>
    <s v="74-729-7466"/>
    <s v="Skipfire"/>
    <n v="44"/>
    <n v="48"/>
    <n v="77"/>
    <s v="Require"/>
    <n v="48"/>
    <s v="Normal"/>
    <s v=" 2.50  "/>
    <n v="110"/>
    <d v="2024-08-23T00:00:00"/>
    <d v="2024-09-17T00:00:00"/>
    <d v="2025-01-23T00:00:00"/>
    <n v="552"/>
    <n v="527"/>
    <n v="399"/>
    <s v="Expiring Soon"/>
    <s v="955 4th Road"/>
    <n v="67"/>
    <n v="7370"/>
    <n v="79"/>
    <s v="Discontinued"/>
  </r>
  <r>
    <s v="53-710-7630"/>
    <s v="Rice Flour"/>
    <x v="0"/>
    <s v="46-171-9624"/>
    <s v="Livetube"/>
    <n v="25"/>
    <n v="95"/>
    <n v="71"/>
    <s v="Require"/>
    <n v="95"/>
    <s v="High Priority"/>
    <s v=" 2.00  "/>
    <n v="50"/>
    <d v="2024-06-25T00:00:00"/>
    <d v="2024-09-07T00:00:00"/>
    <d v="2025-01-14T00:00:00"/>
    <n v="611"/>
    <n v="537"/>
    <n v="408"/>
    <s v="Expiring Soon"/>
    <s v="996 Thierer Center"/>
    <n v="24"/>
    <n v="1200"/>
    <n v="76"/>
    <s v="Backordered"/>
  </r>
  <r>
    <s v="10-617-7581"/>
    <s v="Peanut Oil"/>
    <x v="3"/>
    <s v="86-995-7254"/>
    <s v="Devpulse"/>
    <n v="24"/>
    <n v="14"/>
    <n v="5"/>
    <s v="Sufficient"/>
    <n v="0"/>
    <s v="Normal"/>
    <s v=" 4.00  "/>
    <n v="96"/>
    <d v="2024-06-20T00:00:00"/>
    <d v="2024-03-30T00:00:00"/>
    <d v="2024-06-17T00:00:00"/>
    <n v="616"/>
    <n v="698"/>
    <n v="619"/>
    <s v="Safe"/>
    <s v="0 Lawn Parkway"/>
    <n v="98"/>
    <n v="9408"/>
    <n v="9"/>
    <s v="Active"/>
  </r>
  <r>
    <s v="66-312-5511"/>
    <s v="Anchovies"/>
    <x v="6"/>
    <s v="99-553-6838"/>
    <s v="Skipfire"/>
    <n v="44"/>
    <n v="97"/>
    <n v="76"/>
    <s v="Require"/>
    <n v="97"/>
    <s v="High Priority"/>
    <s v=" 10.00  "/>
    <n v="440"/>
    <d v="2024-05-27T00:00:00"/>
    <d v="2024-10-04T00:00:00"/>
    <d v="2024-12-15T00:00:00"/>
    <n v="640"/>
    <n v="510"/>
    <n v="438"/>
    <s v="Expiring Soon"/>
    <s v="959 Dorton Pass"/>
    <n v="80"/>
    <n v="35200"/>
    <n v="33"/>
    <s v="Discontinued"/>
  </r>
  <r>
    <s v="87-423-8486"/>
    <s v="Powdered Sugar"/>
    <x v="0"/>
    <s v="12-947-4739"/>
    <s v="Mybuzz"/>
    <n v="63"/>
    <n v="4"/>
    <n v="46"/>
    <s v="Sufficient"/>
    <n v="0"/>
    <s v="Normal"/>
    <s v=" 2.50  "/>
    <n v="157.5"/>
    <d v="2024-08-17T00:00:00"/>
    <d v="2024-03-21T00:00:00"/>
    <d v="2024-03-09T00:00:00"/>
    <n v="558"/>
    <n v="707"/>
    <n v="719"/>
    <s v="Safe"/>
    <s v="5 Homewood Street"/>
    <n v="40"/>
    <n v="6300"/>
    <n v="69"/>
    <s v="Discontinued"/>
  </r>
  <r>
    <s v="64-493-5270"/>
    <s v="Palm Oil"/>
    <x v="3"/>
    <s v="36-964-9838"/>
    <s v="Dynabox"/>
    <n v="69"/>
    <n v="59"/>
    <n v="29"/>
    <s v="Sufficient"/>
    <n v="0"/>
    <s v="Normal"/>
    <s v=" 1.80  "/>
    <n v="124.2"/>
    <d v="2024-10-30T00:00:00"/>
    <d v="2024-05-23T00:00:00"/>
    <d v="2024-05-22T00:00:00"/>
    <n v="484"/>
    <n v="644"/>
    <n v="645"/>
    <s v="Safe"/>
    <s v="4571 Fremont Way"/>
    <n v="63"/>
    <n v="7824.6"/>
    <n v="91"/>
    <s v="Active"/>
  </r>
  <r>
    <s v="31-255-9616"/>
    <s v="Tuna"/>
    <x v="6"/>
    <s v="11-031-9939"/>
    <s v="Centimia"/>
    <n v="88"/>
    <n v="71"/>
    <n v="9"/>
    <s v="Sufficient"/>
    <n v="0"/>
    <s v="Normal"/>
    <s v=" 18.00  "/>
    <n v="1584"/>
    <d v="2024-03-14T00:00:00"/>
    <d v="2024-12-28T00:00:00"/>
    <d v="2024-03-16T00:00:00"/>
    <n v="714"/>
    <n v="425"/>
    <n v="712"/>
    <s v="Safe"/>
    <s v="9440 Coleman Drive"/>
    <n v="28"/>
    <n v="44352"/>
    <n v="14"/>
    <s v="Backordered"/>
  </r>
  <r>
    <s v="26-799-3714"/>
    <s v="Robusta Coffee"/>
    <x v="1"/>
    <s v="50-877-0990"/>
    <s v="Mymm"/>
    <n v="74"/>
    <n v="2"/>
    <n v="45"/>
    <s v="Sufficient"/>
    <n v="0"/>
    <s v="Normal"/>
    <s v=" 10.00  "/>
    <n v="740"/>
    <d v="2024-02-29T00:00:00"/>
    <d v="2025-03-02T00:00:00"/>
    <d v="2024-04-06T00:00:00"/>
    <n v="728"/>
    <n v="361"/>
    <n v="691"/>
    <s v="Safe"/>
    <s v="49225 Homewood Place"/>
    <n v="37"/>
    <n v="27380"/>
    <n v="99"/>
    <s v="Active"/>
  </r>
  <r>
    <s v="64-119-7804"/>
    <s v="Bell Pepper"/>
    <x v="2"/>
    <s v="53-497-9614"/>
    <s v="Jaxbean"/>
    <n v="98"/>
    <n v="43"/>
    <n v="9"/>
    <s v="Sufficient"/>
    <n v="0"/>
    <s v="Normal"/>
    <s v=" 4.50  "/>
    <n v="441"/>
    <d v="2024-06-25T00:00:00"/>
    <d v="2024-06-03T00:00:00"/>
    <d v="2024-12-29T00:00:00"/>
    <n v="611"/>
    <n v="633"/>
    <n v="424"/>
    <s v="Expiring Soon"/>
    <s v="06584 Mendota Avenue"/>
    <n v="86"/>
    <n v="37926"/>
    <n v="62"/>
    <s v="Backordered"/>
  </r>
  <r>
    <s v="74-181-4135"/>
    <s v="Egg (Chicken)"/>
    <x v="4"/>
    <s v="00-487-2428"/>
    <s v="Meembee"/>
    <n v="22"/>
    <n v="19"/>
    <n v="4"/>
    <s v="Sufficient"/>
    <n v="0"/>
    <s v="Normal"/>
    <s v=" 0.20  "/>
    <n v="4.4000000000000004"/>
    <d v="2024-04-18T00:00:00"/>
    <d v="2024-03-17T00:00:00"/>
    <d v="2024-09-17T00:00:00"/>
    <n v="679"/>
    <n v="711"/>
    <n v="527"/>
    <s v="Expiring Soon"/>
    <s v="79878 Katie Trail"/>
    <n v="88"/>
    <n v="387.20000000000005"/>
    <n v="24"/>
    <s v="Discontinued"/>
  </r>
  <r>
    <s v="34-369-7712"/>
    <s v="Apricot"/>
    <x v="2"/>
    <s v="95-241-9348"/>
    <s v="Fivebridge"/>
    <n v="55"/>
    <n v="96"/>
    <n v="40"/>
    <s v="Require"/>
    <n v="96"/>
    <s v="High Priority"/>
    <s v=" 5.00  "/>
    <n v="275"/>
    <d v="2024-05-16T00:00:00"/>
    <d v="2024-11-05T00:00:00"/>
    <d v="2024-06-06T00:00:00"/>
    <n v="651"/>
    <n v="478"/>
    <n v="630"/>
    <s v="Safe"/>
    <s v="0 Lerdahl Parkway"/>
    <n v="23"/>
    <n v="6325"/>
    <n v="47"/>
    <s v="Discontinued"/>
  </r>
  <r>
    <s v="31-157-1822"/>
    <s v="Ricotta Cheese"/>
    <x v="4"/>
    <s v="53-998-1422"/>
    <s v="Kwideo"/>
    <n v="96"/>
    <n v="80"/>
    <n v="20"/>
    <s v="Sufficient"/>
    <n v="0"/>
    <s v="Normal"/>
    <s v=" 6.10  "/>
    <n v="585.59999999999991"/>
    <d v="2024-12-19T00:00:00"/>
    <d v="2024-07-30T00:00:00"/>
    <d v="2025-01-28T00:00:00"/>
    <n v="434"/>
    <n v="576"/>
    <n v="394"/>
    <s v="Expiring Soon"/>
    <s v="803 Cottonwood Crossing"/>
    <n v="94"/>
    <n v="55046.399999999994"/>
    <n v="49"/>
    <s v="Discontinued"/>
  </r>
  <r>
    <s v="27-459-0724"/>
    <s v="Feta Cheese"/>
    <x v="4"/>
    <s v="45-331-8563"/>
    <s v="Quaxo"/>
    <n v="91"/>
    <n v="7"/>
    <n v="64"/>
    <s v="Sufficient"/>
    <n v="0"/>
    <s v="Normal"/>
    <s v=" 7.00  "/>
    <n v="637"/>
    <d v="2024-09-11T00:00:00"/>
    <d v="2024-12-08T00:00:00"/>
    <d v="2025-02-24T00:00:00"/>
    <n v="533"/>
    <n v="445"/>
    <n v="367"/>
    <s v="Expiring Soon"/>
    <s v="4 Duke Way"/>
    <n v="32"/>
    <n v="20384"/>
    <n v="65"/>
    <s v="Discontinued"/>
  </r>
  <r>
    <s v="47-441-7682"/>
    <s v="Digestive Biscuit"/>
    <x v="5"/>
    <s v="90-998-1236"/>
    <s v="Vimbo"/>
    <n v="40"/>
    <n v="91"/>
    <n v="24"/>
    <s v="Require"/>
    <n v="91"/>
    <s v="High Priority"/>
    <s v=" 4.00  "/>
    <n v="160"/>
    <d v="2024-07-29T00:00:00"/>
    <d v="2024-12-12T00:00:00"/>
    <d v="2024-11-30T00:00:00"/>
    <n v="577"/>
    <n v="441"/>
    <n v="453"/>
    <s v="Expiring Soon"/>
    <s v="4247 David Crossing"/>
    <n v="28"/>
    <n v="4480"/>
    <n v="47"/>
    <s v="Discontinued"/>
  </r>
  <r>
    <s v="32-676-1026"/>
    <s v="Salmon"/>
    <x v="6"/>
    <s v="98-155-9583"/>
    <s v="Buzzshare"/>
    <n v="52"/>
    <n v="46"/>
    <n v="12"/>
    <s v="Sufficient"/>
    <n v="0"/>
    <s v="Normal"/>
    <s v=" 15.00  "/>
    <n v="780"/>
    <d v="2024-12-18T00:00:00"/>
    <d v="2024-04-06T00:00:00"/>
    <d v="2024-04-16T00:00:00"/>
    <n v="435"/>
    <n v="691"/>
    <n v="681"/>
    <s v="Safe"/>
    <s v="9433 Jenna Lane"/>
    <n v="43"/>
    <n v="33540"/>
    <n v="34"/>
    <s v="Backordered"/>
  </r>
  <r>
    <s v="77-959-1018"/>
    <s v="Lettuce"/>
    <x v="2"/>
    <s v="00-912-3545"/>
    <s v="Gigabox"/>
    <n v="22"/>
    <n v="22"/>
    <n v="65"/>
    <s v="Require"/>
    <n v="22"/>
    <s v="Normal"/>
    <s v=" 2.00  "/>
    <n v="44"/>
    <d v="2025-01-15T00:00:00"/>
    <d v="2024-04-30T00:00:00"/>
    <d v="2024-06-12T00:00:00"/>
    <n v="407"/>
    <n v="667"/>
    <n v="624"/>
    <s v="Safe"/>
    <s v="03 Ryan Circle"/>
    <n v="62"/>
    <n v="2728"/>
    <n v="78"/>
    <s v="Backordered"/>
  </r>
  <r>
    <s v="60-911-3745"/>
    <s v="Black Rice"/>
    <x v="0"/>
    <s v="87-570-0273"/>
    <s v="Blognation"/>
    <n v="98"/>
    <n v="41"/>
    <n v="98"/>
    <s v="Sufficient"/>
    <n v="0"/>
    <s v="Normal"/>
    <s v=" 6.35  "/>
    <n v="622.29999999999995"/>
    <d v="2025-05-01T00:00:00"/>
    <d v="2024-08-31T00:00:00"/>
    <d v="2025-01-18T00:00:00"/>
    <n v="301"/>
    <n v="544"/>
    <n v="404"/>
    <s v="Expiring Soon"/>
    <s v="75054 Ramsey Parkway"/>
    <n v="70"/>
    <n v="43561"/>
    <n v="75"/>
    <s v="Backordered"/>
  </r>
  <r>
    <s v="57-101-0060"/>
    <s v="Whole Wheat Flour"/>
    <x v="0"/>
    <s v="40-070-5881"/>
    <s v="Topicstorm"/>
    <n v="59"/>
    <n v="73"/>
    <n v="86"/>
    <s v="Require"/>
    <n v="73"/>
    <s v="High Priority"/>
    <s v=" 2.75  "/>
    <n v="162.25"/>
    <d v="2025-02-13T00:00:00"/>
    <d v="2025-01-01T00:00:00"/>
    <d v="2024-09-11T00:00:00"/>
    <n v="378"/>
    <n v="421"/>
    <n v="533"/>
    <s v="Expiring Soon"/>
    <s v="78919 East Crossing"/>
    <n v="32"/>
    <n v="5192"/>
    <n v="56"/>
    <s v="Backordered"/>
  </r>
  <r>
    <s v="54-758-4622"/>
    <s v="Chocolate Biscuit"/>
    <x v="5"/>
    <s v="94-903-2643"/>
    <s v="Devcast"/>
    <n v="99"/>
    <n v="3"/>
    <n v="79"/>
    <s v="Sufficient"/>
    <n v="0"/>
    <s v="Normal"/>
    <s v=" 5.00  "/>
    <n v="495"/>
    <d v="2024-05-06T00:00:00"/>
    <d v="2025-01-16T00:00:00"/>
    <d v="2024-11-21T00:00:00"/>
    <n v="661"/>
    <n v="406"/>
    <n v="462"/>
    <s v="Expiring Soon"/>
    <s v="865 Eagle Crest Park"/>
    <n v="65"/>
    <n v="32175"/>
    <n v="16"/>
    <s v="Backordered"/>
  </r>
  <r>
    <s v="92-152-5820"/>
    <s v="Black Tea"/>
    <x v="1"/>
    <s v="50-747-2259"/>
    <s v="Jaloo"/>
    <n v="18"/>
    <n v="36"/>
    <n v="53"/>
    <s v="Require"/>
    <n v="36"/>
    <s v="Normal"/>
    <s v=" 5.30  "/>
    <n v="95.399999999999991"/>
    <d v="2024-12-05T00:00:00"/>
    <d v="2024-01-05T00:00:00"/>
    <d v="2024-06-24T00:00:00"/>
    <n v="448"/>
    <n v="783"/>
    <n v="612"/>
    <s v="Safe"/>
    <s v="0920 Monica Pass"/>
    <n v="65"/>
    <n v="6200.9999999999991"/>
    <n v="100"/>
    <s v="Active"/>
  </r>
  <r>
    <s v="44-637-5512"/>
    <s v="Watermelon"/>
    <x v="2"/>
    <s v="27-541-2645"/>
    <s v="Jaxspan"/>
    <n v="58"/>
    <n v="12"/>
    <n v="99"/>
    <s v="Sufficient"/>
    <n v="0"/>
    <s v="Normal"/>
    <s v=" 3.00  "/>
    <n v="174"/>
    <d v="2025-01-22T00:00:00"/>
    <d v="2025-12-01T00:00:00"/>
    <d v="2024-05-26T00:00:00"/>
    <n v="400"/>
    <n v="87"/>
    <n v="641"/>
    <s v="Safe"/>
    <s v="00064 Mosinee Circle"/>
    <n v="71"/>
    <n v="12354"/>
    <n v="30"/>
    <s v="Active"/>
  </r>
  <r>
    <s v="65-854-9364"/>
    <s v="Black Rice"/>
    <x v="0"/>
    <s v="64-800-4141"/>
    <s v="BlogXS"/>
    <n v="30"/>
    <n v="34"/>
    <n v="96"/>
    <s v="Require"/>
    <n v="34"/>
    <s v="Normal"/>
    <s v=" 6.30  "/>
    <n v="189"/>
    <d v="2024-04-11T00:00:00"/>
    <d v="2024-12-19T00:00:00"/>
    <d v="2024-04-22T00:00:00"/>
    <n v="686"/>
    <n v="434"/>
    <n v="675"/>
    <s v="Safe"/>
    <s v="752 Mccormick Way"/>
    <n v="61"/>
    <n v="11529"/>
    <n v="13"/>
    <s v="Backordered"/>
  </r>
  <r>
    <s v="60-747-8704"/>
    <s v="Papaya"/>
    <x v="2"/>
    <s v="93-793-4398"/>
    <s v="Twitterwire"/>
    <n v="97"/>
    <n v="97"/>
    <n v="71"/>
    <s v="Require"/>
    <n v="97"/>
    <s v="High Priority"/>
    <s v=" 4.50  "/>
    <n v="436.5"/>
    <d v="2024-12-07T00:00:00"/>
    <d v="2024-09-29T00:00:00"/>
    <d v="2024-08-22T00:00:00"/>
    <n v="446"/>
    <n v="515"/>
    <n v="553"/>
    <s v="Safe"/>
    <s v="561 Pennsylvania Way"/>
    <n v="53"/>
    <n v="23134.5"/>
    <n v="31"/>
    <s v="Active"/>
  </r>
  <r>
    <s v="85-835-3445"/>
    <s v="Egg (Goose)"/>
    <x v="4"/>
    <s v="13-433-4930"/>
    <s v="Gigashots"/>
    <n v="50"/>
    <n v="93"/>
    <n v="37"/>
    <s v="Require"/>
    <n v="93"/>
    <s v="High Priority"/>
    <s v=" 2.45  "/>
    <n v="122.50000000000001"/>
    <d v="2025-11-01T00:00:00"/>
    <d v="2024-02-03T00:00:00"/>
    <d v="2024-05-12T00:00:00"/>
    <n v="117"/>
    <n v="754"/>
    <n v="655"/>
    <s v="Safe"/>
    <s v="288 Fair Oaks Place"/>
    <n v="78"/>
    <n v="9555.0000000000018"/>
    <n v="79"/>
    <s v="Backordered"/>
  </r>
  <r>
    <s v="66-716-8221"/>
    <s v="Cheddar Cheese"/>
    <x v="4"/>
    <s v="67-024-9832"/>
    <s v="LiveZ"/>
    <n v="70"/>
    <n v="96"/>
    <n v="35"/>
    <s v="Require"/>
    <n v="96"/>
    <s v="High Priority"/>
    <s v=" 9.00  "/>
    <n v="630"/>
    <d v="2025-08-02T00:00:00"/>
    <d v="2024-06-24T00:00:00"/>
    <d v="2025-01-17T00:00:00"/>
    <n v="208"/>
    <n v="612"/>
    <n v="405"/>
    <s v="Expiring Soon"/>
    <s v="54 Weeping Birch Lane"/>
    <n v="63"/>
    <n v="39690"/>
    <n v="84"/>
    <s v="Backordered"/>
  </r>
  <r>
    <s v="01-026-2772"/>
    <s v="Blueberries"/>
    <x v="2"/>
    <s v="20-532-0144"/>
    <s v="Buzzbean"/>
    <n v="40"/>
    <n v="61"/>
    <n v="47"/>
    <s v="Require"/>
    <n v="61"/>
    <s v="High Priority"/>
    <s v=" 10.00  "/>
    <n v="400"/>
    <d v="2024-08-28T00:00:00"/>
    <d v="2024-11-06T00:00:00"/>
    <d v="2024-05-27T00:00:00"/>
    <n v="547"/>
    <n v="477"/>
    <n v="640"/>
    <s v="Safe"/>
    <s v="3 Bunting Point"/>
    <n v="76"/>
    <n v="30400"/>
    <n v="10"/>
    <s v="Discontinued"/>
  </r>
  <r>
    <s v="21-252-1360"/>
    <s v="Corn Oil"/>
    <x v="3"/>
    <s v="28-314-1189"/>
    <s v="Shuffletag"/>
    <n v="75"/>
    <n v="23"/>
    <n v="34"/>
    <s v="Sufficient"/>
    <n v="0"/>
    <s v="Normal"/>
    <s v=" 2.50  "/>
    <n v="187.5"/>
    <d v="2024-06-22T00:00:00"/>
    <d v="2024-04-09T00:00:00"/>
    <d v="2024-07-04T00:00:00"/>
    <n v="614"/>
    <n v="688"/>
    <n v="602"/>
    <s v="Safe"/>
    <s v="32 Charing Cross Pass"/>
    <n v="100"/>
    <n v="18750"/>
    <n v="54"/>
    <s v="Backordered"/>
  </r>
  <r>
    <s v="80-039-1261"/>
    <s v="Strawberries"/>
    <x v="2"/>
    <s v="37-994-7932"/>
    <s v="Skimia"/>
    <n v="26"/>
    <n v="97"/>
    <n v="12"/>
    <s v="Require"/>
    <n v="97"/>
    <s v="High Priority"/>
    <s v=" 6.00  "/>
    <n v="156"/>
    <d v="2024-09-25T00:00:00"/>
    <d v="2024-11-28T00:00:00"/>
    <d v="2024-06-12T00:00:00"/>
    <n v="519"/>
    <n v="455"/>
    <n v="624"/>
    <s v="Safe"/>
    <s v="1 Havey Park"/>
    <n v="94"/>
    <n v="14664"/>
    <n v="58"/>
    <s v="Discontinued"/>
  </r>
  <r>
    <s v="48-427-0551"/>
    <s v="Arabica Coffee"/>
    <x v="1"/>
    <s v="01-900-4509"/>
    <s v="Jetpulse"/>
    <n v="13"/>
    <n v="55"/>
    <n v="77"/>
    <s v="Require"/>
    <n v="55"/>
    <s v="Normal"/>
    <s v=" 20.00  "/>
    <n v="260"/>
    <d v="2024-10-17T00:00:00"/>
    <d v="2024-12-16T00:00:00"/>
    <d v="2024-11-03T00:00:00"/>
    <n v="497"/>
    <n v="437"/>
    <n v="480"/>
    <s v="Expiring Soon"/>
    <s v="2 7th Center"/>
    <n v="67"/>
    <n v="17420"/>
    <n v="68"/>
    <s v="Backordered"/>
  </r>
  <r>
    <s v="02-575-1980"/>
    <s v="Plum"/>
    <x v="2"/>
    <s v="61-100-8296"/>
    <s v="Yambee"/>
    <n v="11"/>
    <n v="58"/>
    <n v="32"/>
    <s v="Require"/>
    <n v="58"/>
    <s v="Normal"/>
    <s v=" 4.00  "/>
    <n v="44"/>
    <d v="2024-02-28T00:00:00"/>
    <d v="2024-09-07T00:00:00"/>
    <d v="2024-11-24T00:00:00"/>
    <n v="729"/>
    <n v="537"/>
    <n v="459"/>
    <s v="Expiring Soon"/>
    <s v="34832 Autumn Leaf Terrace"/>
    <n v="99"/>
    <n v="4356"/>
    <n v="94"/>
    <s v="Active"/>
  </r>
  <r>
    <s v="61-293-6327"/>
    <s v="Salmon"/>
    <x v="6"/>
    <s v="00-023-7719"/>
    <s v="Kamba"/>
    <n v="98"/>
    <n v="67"/>
    <n v="49"/>
    <s v="Sufficient"/>
    <n v="0"/>
    <s v="Normal"/>
    <s v=" 15.00  "/>
    <n v="1470"/>
    <d v="2024-09-08T00:00:00"/>
    <d v="2024-12-29T00:00:00"/>
    <d v="2024-04-04T00:00:00"/>
    <n v="536"/>
    <n v="424"/>
    <n v="693"/>
    <s v="Safe"/>
    <s v="4353 Dixon Circle"/>
    <n v="21"/>
    <n v="30870"/>
    <n v="61"/>
    <s v="Active"/>
  </r>
  <r>
    <s v="08-519-5579"/>
    <s v="Broccoli"/>
    <x v="2"/>
    <s v="32-178-2765"/>
    <s v="Abatz"/>
    <n v="35"/>
    <n v="4"/>
    <n v="76"/>
    <s v="Sufficient"/>
    <n v="0"/>
    <s v="Normal"/>
    <s v=" 4.00  "/>
    <n v="140"/>
    <d v="2024-09-08T00:00:00"/>
    <d v="2024-08-22T00:00:00"/>
    <d v="2024-08-16T00:00:00"/>
    <n v="536"/>
    <n v="553"/>
    <n v="559"/>
    <s v="Safe"/>
    <s v="89 Karstens Alley"/>
    <n v="90"/>
    <n v="12600"/>
    <n v="30"/>
    <s v="Discontinued"/>
  </r>
  <r>
    <s v="33-670-6797"/>
    <s v="Mackerel"/>
    <x v="6"/>
    <s v="74-032-7560"/>
    <s v="Wikido"/>
    <n v="45"/>
    <n v="56"/>
    <n v="64"/>
    <s v="Require"/>
    <n v="56"/>
    <s v="Normal"/>
    <s v=" 7.50  "/>
    <n v="337.5"/>
    <d v="2024-07-14T00:00:00"/>
    <d v="2024-08-26T00:00:00"/>
    <d v="2024-07-05T00:00:00"/>
    <n v="592"/>
    <n v="549"/>
    <n v="601"/>
    <s v="Safe"/>
    <s v="2869 Hudson Drive"/>
    <n v="35"/>
    <n v="11812.5"/>
    <n v="82"/>
    <s v="Discontinued"/>
  </r>
  <r>
    <s v="29-741-8132"/>
    <s v="Kale"/>
    <x v="2"/>
    <s v="49-384-4540"/>
    <s v="Blogpad"/>
    <n v="47"/>
    <n v="22"/>
    <n v="69"/>
    <s v="Sufficient"/>
    <n v="0"/>
    <s v="Normal"/>
    <s v=" 4.00  "/>
    <n v="188"/>
    <d v="2024-02-03T00:00:00"/>
    <d v="2024-07-14T00:00:00"/>
    <d v="2024-06-03T00:00:00"/>
    <n v="754"/>
    <n v="592"/>
    <n v="633"/>
    <s v="Safe"/>
    <s v="85 Farwell Parkway"/>
    <n v="26"/>
    <n v="4888"/>
    <n v="59"/>
    <s v="Backordered"/>
  </r>
  <r>
    <s v="89-713-6071"/>
    <s v="Sesame Oil"/>
    <x v="3"/>
    <s v="84-123-7159"/>
    <s v="Tazz"/>
    <n v="89"/>
    <n v="66"/>
    <n v="28"/>
    <s v="Sufficient"/>
    <n v="0"/>
    <s v="Normal"/>
    <s v=" 6.50  "/>
    <n v="578.5"/>
    <d v="2025-01-13T00:00:00"/>
    <d v="2024-11-19T00:00:00"/>
    <d v="2024-11-25T00:00:00"/>
    <n v="409"/>
    <n v="464"/>
    <n v="458"/>
    <s v="Expiring Soon"/>
    <s v="60 Dottie Hill"/>
    <n v="39"/>
    <n v="22561.5"/>
    <n v="25"/>
    <s v="Active"/>
  </r>
  <r>
    <s v="00-641-8691"/>
    <s v="Black Coffee"/>
    <x v="1"/>
    <s v="34-824-0575"/>
    <s v="Brainverse"/>
    <n v="33"/>
    <n v="22"/>
    <n v="94"/>
    <s v="Sufficient"/>
    <n v="0"/>
    <s v="Normal"/>
    <s v=" 15.00  "/>
    <n v="495"/>
    <d v="2024-11-28T00:00:00"/>
    <d v="2024-09-24T00:00:00"/>
    <d v="2024-08-30T00:00:00"/>
    <n v="455"/>
    <n v="520"/>
    <n v="545"/>
    <s v="Expiring Soon"/>
    <s v="797 Mcbride Lane"/>
    <n v="96"/>
    <n v="47520"/>
    <n v="56"/>
    <s v="Discontinued"/>
  </r>
  <r>
    <s v="68-977-6854"/>
    <s v="Apricot"/>
    <x v="2"/>
    <s v="73-830-9633"/>
    <s v="Blognation"/>
    <n v="90"/>
    <n v="30"/>
    <n v="42"/>
    <s v="Sufficient"/>
    <n v="0"/>
    <s v="Normal"/>
    <s v=" 5.00  "/>
    <n v="450"/>
    <d v="2024-08-19T00:00:00"/>
    <d v="2024-07-29T00:00:00"/>
    <d v="2024-03-02T00:00:00"/>
    <n v="556"/>
    <n v="577"/>
    <n v="726"/>
    <s v="Safe"/>
    <s v="2633 Shasta Alley"/>
    <n v="76"/>
    <n v="34200"/>
    <n v="69"/>
    <s v="Backordered"/>
  </r>
  <r>
    <s v="86-257-4613"/>
    <s v="Jasmine Rice"/>
    <x v="0"/>
    <s v="70-402-4816"/>
    <s v="Kwilith"/>
    <n v="44"/>
    <n v="26"/>
    <n v="60"/>
    <s v="Sufficient"/>
    <n v="0"/>
    <s v="Normal"/>
    <s v=" 4.75  "/>
    <n v="209"/>
    <d v="2024-03-15T00:00:00"/>
    <d v="2024-08-23T00:00:00"/>
    <d v="2024-08-05T00:00:00"/>
    <n v="713"/>
    <n v="552"/>
    <n v="570"/>
    <s v="Safe"/>
    <s v="5 Prentice Pass"/>
    <n v="63"/>
    <n v="13167"/>
    <n v="59"/>
    <s v="Discontinued"/>
  </r>
  <r>
    <s v="06-340-6856"/>
    <s v="Wild Rice"/>
    <x v="0"/>
    <s v="11-005-7835"/>
    <s v="Podcat"/>
    <n v="41"/>
    <n v="56"/>
    <n v="12"/>
    <s v="Require"/>
    <n v="56"/>
    <s v="Normal"/>
    <s v=" 9.75  "/>
    <n v="399.75"/>
    <d v="2024-06-05T00:00:00"/>
    <d v="2024-11-25T00:00:00"/>
    <d v="2024-02-29T00:00:00"/>
    <n v="631"/>
    <n v="458"/>
    <n v="728"/>
    <s v="Safe"/>
    <s v="84 Rusk Terrace"/>
    <n v="93"/>
    <n v="37176.75"/>
    <n v="88"/>
    <s v="Active"/>
  </r>
  <r>
    <s v="11-338-4598"/>
    <s v="Potato"/>
    <x v="2"/>
    <s v="72-360-6358"/>
    <s v="Centimia"/>
    <n v="72"/>
    <n v="58"/>
    <n v="69"/>
    <s v="Sufficient"/>
    <n v="0"/>
    <s v="Normal"/>
    <s v=" 1.20  "/>
    <n v="86.399999999999991"/>
    <d v="2024-10-16T00:00:00"/>
    <d v="2025-03-02T00:00:00"/>
    <d v="2025-02-23T00:00:00"/>
    <n v="498"/>
    <n v="361"/>
    <n v="368"/>
    <s v="Expiring Soon"/>
    <s v="9067 Valley Edge Park"/>
    <n v="96"/>
    <n v="8294.4"/>
    <n v="23"/>
    <s v="Backordered"/>
  </r>
  <r>
    <s v="82-711-0772"/>
    <s v="Egg (Goose)"/>
    <x v="4"/>
    <s v="78-877-1866"/>
    <s v="Skyble"/>
    <n v="72"/>
    <n v="58"/>
    <n v="52"/>
    <s v="Sufficient"/>
    <n v="0"/>
    <s v="Normal"/>
    <s v=" 2.40  "/>
    <n v="172.79999999999998"/>
    <d v="2025-02-15T00:00:00"/>
    <d v="2024-05-16T00:00:00"/>
    <d v="2024-10-23T00:00:00"/>
    <n v="376"/>
    <n v="651"/>
    <n v="491"/>
    <s v="Expiring Soon"/>
    <s v="463 Oxford Crossing"/>
    <n v="36"/>
    <n v="6220.7999999999993"/>
    <n v="14"/>
    <s v="Active"/>
  </r>
  <r>
    <s v="05-184-4175"/>
    <s v="Black Coffee"/>
    <x v="1"/>
    <s v="31-676-5646"/>
    <s v="Skyndu"/>
    <n v="40"/>
    <n v="30"/>
    <n v="60"/>
    <s v="Sufficient"/>
    <n v="0"/>
    <s v="Normal"/>
    <s v=" 15.00  "/>
    <n v="600"/>
    <d v="2024-05-09T00:00:00"/>
    <d v="2024-10-23T00:00:00"/>
    <d v="2024-05-03T00:00:00"/>
    <n v="658"/>
    <n v="491"/>
    <n v="664"/>
    <s v="Safe"/>
    <s v="57 Di Loreto Circle"/>
    <n v="33"/>
    <n v="19800"/>
    <n v="84"/>
    <s v="Active"/>
  </r>
  <r>
    <s v="17-274-6898"/>
    <s v="Whole Wheat Bread"/>
    <x v="5"/>
    <s v="34-738-1209"/>
    <s v="Photobug"/>
    <n v="36"/>
    <n v="53"/>
    <n v="92"/>
    <s v="Require"/>
    <n v="53"/>
    <s v="Normal"/>
    <s v=" 3.50  "/>
    <n v="126"/>
    <d v="2024-07-07T00:00:00"/>
    <d v="2024-01-06T00:00:00"/>
    <d v="2024-03-22T00:00:00"/>
    <n v="599"/>
    <n v="782"/>
    <n v="706"/>
    <s v="Safe"/>
    <s v="657 Texas Street"/>
    <n v="67"/>
    <n v="8442"/>
    <n v="43"/>
    <s v="Backordered"/>
  </r>
  <r>
    <s v="79-569-8856"/>
    <s v="Vegetable Oil"/>
    <x v="3"/>
    <s v="04-854-7165"/>
    <s v="Digitube"/>
    <n v="51"/>
    <n v="87"/>
    <n v="86"/>
    <s v="Require"/>
    <n v="87"/>
    <s v="High Priority"/>
    <s v=" 2.00  "/>
    <n v="102"/>
    <d v="2024-01-04T00:00:00"/>
    <d v="2024-05-19T00:00:00"/>
    <d v="2024-06-11T00:00:00"/>
    <n v="784"/>
    <n v="648"/>
    <n v="625"/>
    <s v="Safe"/>
    <s v="03643 Oakridge Lane"/>
    <n v="24"/>
    <n v="2448"/>
    <n v="83"/>
    <s v="Backordered"/>
  </r>
  <r>
    <s v="00-534-9775"/>
    <s v="Black Coffee"/>
    <x v="1"/>
    <s v="79-955-6260"/>
    <s v="Tagpad"/>
    <n v="87"/>
    <n v="91"/>
    <n v="23"/>
    <s v="Require"/>
    <n v="91"/>
    <s v="High Priority"/>
    <s v=" 14.90  "/>
    <n v="1296.3"/>
    <d v="2024-12-29T00:00:00"/>
    <d v="2024-05-23T00:00:00"/>
    <d v="2024-08-17T00:00:00"/>
    <n v="424"/>
    <n v="644"/>
    <n v="558"/>
    <s v="Safe"/>
    <s v="68 Dakota Center"/>
    <n v="90"/>
    <n v="116667"/>
    <n v="75"/>
    <s v="Backordered"/>
  </r>
  <r>
    <s v="94-071-2261"/>
    <s v="Pear"/>
    <x v="2"/>
    <s v="25-706-2146"/>
    <s v="Roodel"/>
    <n v="79"/>
    <n v="37"/>
    <n v="98"/>
    <s v="Sufficient"/>
    <n v="0"/>
    <s v="Normal"/>
    <s v=" 4.50  "/>
    <n v="355.5"/>
    <d v="2024-01-09T00:00:00"/>
    <d v="2024-02-03T00:00:00"/>
    <d v="2024-03-30T00:00:00"/>
    <n v="779"/>
    <n v="754"/>
    <n v="698"/>
    <s v="Safe"/>
    <s v="2004 Cody Plaza"/>
    <n v="33"/>
    <n v="11731.5"/>
    <n v="20"/>
    <s v="Discontinued"/>
  </r>
  <r>
    <s v="94-355-3070"/>
    <s v="Tilapia"/>
    <x v="6"/>
    <s v="73-393-9432"/>
    <s v="Jabbercube"/>
    <n v="14"/>
    <n v="52"/>
    <n v="80"/>
    <s v="Require"/>
    <n v="52"/>
    <s v="Normal"/>
    <s v=" 6.80  "/>
    <n v="95.2"/>
    <d v="2024-07-26T00:00:00"/>
    <d v="2024-07-13T00:00:00"/>
    <d v="2024-07-23T00:00:00"/>
    <n v="580"/>
    <n v="593"/>
    <n v="583"/>
    <s v="Safe"/>
    <s v="116 Spaight Park"/>
    <n v="64"/>
    <n v="6092.8"/>
    <n v="17"/>
    <s v="Discontinued"/>
  </r>
  <r>
    <s v="17-265-1899"/>
    <s v="Orange"/>
    <x v="2"/>
    <s v="61-793-0279"/>
    <s v="Demimbu"/>
    <n v="81"/>
    <n v="35"/>
    <n v="82"/>
    <s v="Sufficient"/>
    <n v="0"/>
    <s v="Normal"/>
    <s v=" 3.00  "/>
    <n v="243"/>
    <d v="2024-12-30T00:00:00"/>
    <d v="2024-03-25T00:00:00"/>
    <d v="2025-02-10T00:00:00"/>
    <n v="423"/>
    <n v="703"/>
    <n v="381"/>
    <s v="Expiring Soon"/>
    <s v="4826 Drewry Center"/>
    <n v="86"/>
    <n v="20898"/>
    <n v="71"/>
    <s v="Backordered"/>
  </r>
  <r>
    <s v="13-888-0149"/>
    <s v="Lime"/>
    <x v="2"/>
    <s v="09-902-6272"/>
    <s v="Shufflebeat"/>
    <n v="75"/>
    <n v="18"/>
    <n v="65"/>
    <s v="Sufficient"/>
    <n v="0"/>
    <s v="Normal"/>
    <s v=" 2.00  "/>
    <n v="150"/>
    <d v="2025-02-17T00:00:00"/>
    <d v="2024-12-30T00:00:00"/>
    <d v="2024-03-15T00:00:00"/>
    <n v="374"/>
    <n v="423"/>
    <n v="713"/>
    <s v="Safe"/>
    <s v="1 Logan Road"/>
    <n v="32"/>
    <n v="4800"/>
    <n v="92"/>
    <s v="Active"/>
  </r>
  <r>
    <s v="21-890-2826"/>
    <s v="Gouda Cheese"/>
    <x v="4"/>
    <s v="32-371-1686"/>
    <s v="Avaveo"/>
    <n v="48"/>
    <n v="12"/>
    <n v="62"/>
    <s v="Sufficient"/>
    <n v="0"/>
    <s v="Normal"/>
    <s v=" 7.00  "/>
    <n v="336"/>
    <d v="2024-06-15T00:00:00"/>
    <d v="2024-04-05T00:00:00"/>
    <d v="2024-09-19T00:00:00"/>
    <n v="621"/>
    <n v="692"/>
    <n v="525"/>
    <s v="Expiring Soon"/>
    <s v="84 Hoffman Way"/>
    <n v="59"/>
    <n v="19824"/>
    <n v="23"/>
    <s v="Active"/>
  </r>
  <r>
    <s v="05-425-0746"/>
    <s v="Onion"/>
    <x v="2"/>
    <s v="23-450-0301"/>
    <s v="Gabspot"/>
    <n v="50"/>
    <n v="68"/>
    <n v="90"/>
    <s v="Require"/>
    <n v="68"/>
    <s v="High Priority"/>
    <s v=" 2.00  "/>
    <n v="100"/>
    <d v="2024-12-12T00:00:00"/>
    <d v="2024-09-05T00:00:00"/>
    <d v="2024-06-05T00:00:00"/>
    <n v="441"/>
    <n v="539"/>
    <n v="631"/>
    <s v="Safe"/>
    <s v="49884 Brickson Park Plaza"/>
    <n v="40"/>
    <n v="4000"/>
    <n v="13"/>
    <s v="Discontinued"/>
  </r>
  <r>
    <s v="88-807-8431"/>
    <s v="Haddock"/>
    <x v="6"/>
    <s v="66-563-9462"/>
    <s v="Eire"/>
    <n v="11"/>
    <n v="87"/>
    <n v="43"/>
    <s v="Require"/>
    <n v="87"/>
    <s v="High Priority"/>
    <s v=" 9.00  "/>
    <n v="99"/>
    <d v="2025-02-01T00:00:00"/>
    <d v="2024-06-06T00:00:00"/>
    <d v="2025-02-09T00:00:00"/>
    <n v="390"/>
    <n v="630"/>
    <n v="382"/>
    <s v="Expiring Soon"/>
    <s v="2 Russell Alley"/>
    <n v="86"/>
    <n v="8514"/>
    <n v="91"/>
    <s v="Active"/>
  </r>
  <r>
    <s v="77-377-1659"/>
    <s v="Almond Flour"/>
    <x v="0"/>
    <s v="64-674-3902"/>
    <s v="Thoughtblab"/>
    <n v="74"/>
    <n v="22"/>
    <n v="91"/>
    <s v="Sufficient"/>
    <n v="0"/>
    <s v="Normal"/>
    <s v=" 9.50  "/>
    <n v="703"/>
    <d v="2024-08-25T00:00:00"/>
    <d v="2025-01-22T00:00:00"/>
    <d v="2024-06-19T00:00:00"/>
    <n v="550"/>
    <n v="400"/>
    <n v="617"/>
    <s v="Safe"/>
    <s v="6 Acker Street"/>
    <n v="24"/>
    <n v="16872"/>
    <n v="12"/>
    <s v="Active"/>
  </r>
  <r>
    <s v="92-362-3567"/>
    <s v="Tomato"/>
    <x v="2"/>
    <s v="40-056-7748"/>
    <s v="Fivebridge"/>
    <n v="11"/>
    <n v="10"/>
    <n v="60"/>
    <s v="Sufficient"/>
    <n v="0"/>
    <s v="Normal"/>
    <s v=" 2.50  "/>
    <n v="27.5"/>
    <d v="2024-10-10T00:00:00"/>
    <d v="2024-06-05T00:00:00"/>
    <d v="2024-12-25T00:00:00"/>
    <n v="504"/>
    <n v="631"/>
    <n v="428"/>
    <s v="Expiring Soon"/>
    <s v="826 Melvin Pass"/>
    <n v="93"/>
    <n v="2557.5"/>
    <n v="53"/>
    <s v="Discontinued"/>
  </r>
  <r>
    <s v="99-961-0767"/>
    <s v="Heavy Cream"/>
    <x v="4"/>
    <s v="78-954-5649"/>
    <s v="Tambee"/>
    <n v="85"/>
    <n v="15"/>
    <n v="30"/>
    <s v="Sufficient"/>
    <n v="0"/>
    <s v="Normal"/>
    <s v=" 4.00  "/>
    <n v="340"/>
    <d v="2024-04-16T00:00:00"/>
    <d v="2024-10-25T00:00:00"/>
    <d v="2024-12-06T00:00:00"/>
    <n v="681"/>
    <n v="489"/>
    <n v="447"/>
    <s v="Expiring Soon"/>
    <s v="40113 Blaine Place"/>
    <n v="95"/>
    <n v="32300"/>
    <n v="63"/>
    <s v="Active"/>
  </r>
  <r>
    <s v="94-092-3355"/>
    <s v="Cauliflower"/>
    <x v="2"/>
    <s v="76-641-2070"/>
    <s v="Flashspan"/>
    <n v="57"/>
    <n v="43"/>
    <n v="46"/>
    <s v="Sufficient"/>
    <n v="0"/>
    <s v="Normal"/>
    <s v=" 2.50  "/>
    <n v="142.5"/>
    <d v="2024-06-13T00:00:00"/>
    <d v="2024-01-12T00:00:00"/>
    <d v="2024-08-04T00:00:00"/>
    <n v="623"/>
    <n v="776"/>
    <n v="571"/>
    <s v="Safe"/>
    <s v="929 Thierer Lane"/>
    <n v="87"/>
    <n v="12397.5"/>
    <n v="88"/>
    <s v="Discontinued"/>
  </r>
  <r>
    <s v="29-344-3658"/>
    <s v="Lime"/>
    <x v="2"/>
    <s v="33-546-5056"/>
    <s v="Yata"/>
    <n v="75"/>
    <n v="56"/>
    <n v="57"/>
    <s v="Sufficient"/>
    <n v="0"/>
    <s v="Normal"/>
    <s v=" 1.90  "/>
    <n v="142.5"/>
    <d v="2024-10-27T00:00:00"/>
    <d v="2024-10-25T00:00:00"/>
    <d v="2024-09-19T00:00:00"/>
    <n v="487"/>
    <n v="489"/>
    <n v="525"/>
    <s v="Expiring Soon"/>
    <s v="7 Talmadge Street"/>
    <n v="63"/>
    <n v="8977.5"/>
    <n v="64"/>
    <s v="Discontinued"/>
  </r>
  <r>
    <s v="60-327-4114"/>
    <s v="Egg (Turkey)"/>
    <x v="4"/>
    <s v="59-968-8346"/>
    <s v="Katz"/>
    <n v="63"/>
    <n v="7"/>
    <n v="23"/>
    <s v="Sufficient"/>
    <n v="0"/>
    <s v="Normal"/>
    <s v=" 2.35  "/>
    <n v="148.05000000000001"/>
    <d v="2024-07-09T00:00:00"/>
    <d v="2024-11-22T00:00:00"/>
    <d v="2024-10-17T00:00:00"/>
    <n v="597"/>
    <n v="461"/>
    <n v="497"/>
    <s v="Expiring Soon"/>
    <s v="3 Bellgrove Way"/>
    <n v="78"/>
    <n v="11547.900000000001"/>
    <n v="100"/>
    <s v="Active"/>
  </r>
  <r>
    <s v="13-409-9040"/>
    <s v="White Tea"/>
    <x v="1"/>
    <s v="34-303-5097"/>
    <s v="Jazzy"/>
    <n v="35"/>
    <n v="20"/>
    <n v="42"/>
    <s v="Sufficient"/>
    <n v="0"/>
    <s v="Normal"/>
    <s v=" 25.25  "/>
    <n v="883.75"/>
    <d v="2024-06-30T00:00:00"/>
    <d v="2024-05-08T00:00:00"/>
    <d v="2025-01-08T00:00:00"/>
    <n v="606"/>
    <n v="659"/>
    <n v="414"/>
    <s v="Expiring Soon"/>
    <s v="9623 Cottonwood Park"/>
    <n v="53"/>
    <n v="46838.75"/>
    <n v="56"/>
    <s v="Discontinued"/>
  </r>
  <r>
    <s v="75-927-9108"/>
    <s v="Cabbage"/>
    <x v="2"/>
    <s v="27-406-7972"/>
    <s v="Topdrive"/>
    <n v="24"/>
    <n v="32"/>
    <n v="17"/>
    <s v="Require"/>
    <n v="32"/>
    <s v="Normal"/>
    <s v=" 1.00  "/>
    <n v="24"/>
    <d v="2024-09-29T00:00:00"/>
    <d v="2024-06-17T00:00:00"/>
    <d v="2024-07-02T00:00:00"/>
    <n v="515"/>
    <n v="619"/>
    <n v="604"/>
    <s v="Safe"/>
    <s v="43 Washington Street"/>
    <n v="55"/>
    <n v="1320"/>
    <n v="72"/>
    <s v="Discontinued"/>
  </r>
  <r>
    <s v="30-806-3823"/>
    <s v="Jasmine Rice"/>
    <x v="0"/>
    <s v="36-451-3173"/>
    <s v="Topicware"/>
    <n v="53"/>
    <n v="26"/>
    <n v="3"/>
    <s v="Sufficient"/>
    <n v="0"/>
    <s v="Normal"/>
    <s v=" 4.75  "/>
    <n v="251.75"/>
    <d v="2024-02-03T00:00:00"/>
    <d v="2024-04-07T00:00:00"/>
    <d v="2024-03-06T00:00:00"/>
    <n v="754"/>
    <n v="690"/>
    <n v="722"/>
    <s v="Safe"/>
    <s v="07 Pankratz Point"/>
    <n v="100"/>
    <n v="25175"/>
    <n v="94"/>
    <s v="Active"/>
  </r>
  <r>
    <s v="65-780-5622"/>
    <s v="Butter Biscuit"/>
    <x v="5"/>
    <s v="69-460-9770"/>
    <s v="InnoZ"/>
    <n v="74"/>
    <n v="81"/>
    <n v="41"/>
    <s v="Require"/>
    <n v="81"/>
    <s v="High Priority"/>
    <s v=" 6.00  "/>
    <n v="444"/>
    <d v="2025-05-02T00:00:00"/>
    <d v="2024-02-05T00:00:00"/>
    <d v="2024-05-27T00:00:00"/>
    <n v="300"/>
    <n v="752"/>
    <n v="640"/>
    <s v="Safe"/>
    <s v="65 Forster Way"/>
    <n v="51"/>
    <n v="22644"/>
    <n v="67"/>
    <s v="Active"/>
  </r>
  <r>
    <s v="94-598-3383"/>
    <s v="Brown Rice"/>
    <x v="0"/>
    <s v="39-488-0039"/>
    <s v="Viva"/>
    <n v="79"/>
    <n v="38"/>
    <n v="67"/>
    <s v="Sufficient"/>
    <n v="0"/>
    <s v="Normal"/>
    <s v=" 2.50  "/>
    <n v="197.5"/>
    <d v="2024-05-07T00:00:00"/>
    <d v="2024-08-10T00:00:00"/>
    <d v="2024-09-01T00:00:00"/>
    <n v="660"/>
    <n v="565"/>
    <n v="543"/>
    <s v="Expiring Soon"/>
    <s v="7403 Fuller Hill"/>
    <n v="43"/>
    <n v="8492.5"/>
    <n v="93"/>
    <s v="Discontinued"/>
  </r>
  <r>
    <s v="45-250-4679"/>
    <s v="Bread Flour"/>
    <x v="0"/>
    <s v="80-328-4990"/>
    <s v="Dazzlesphere"/>
    <n v="54"/>
    <n v="78"/>
    <n v="81"/>
    <s v="Require"/>
    <n v="78"/>
    <s v="High Priority"/>
    <s v=" 1.50  "/>
    <n v="81"/>
    <d v="2024-02-05T00:00:00"/>
    <d v="2024-11-23T00:00:00"/>
    <d v="2024-07-05T00:00:00"/>
    <n v="752"/>
    <n v="460"/>
    <n v="601"/>
    <s v="Safe"/>
    <s v="49148 Meadow Ridge Way"/>
    <n v="41"/>
    <n v="3321"/>
    <n v="63"/>
    <s v="Backordered"/>
  </r>
  <r>
    <s v="45-317-9731"/>
    <s v="Palm Oil"/>
    <x v="3"/>
    <s v="05-779-0378"/>
    <s v="Wordware"/>
    <n v="44"/>
    <n v="83"/>
    <n v="78"/>
    <s v="Require"/>
    <n v="83"/>
    <s v="High Priority"/>
    <s v=" 1.80  "/>
    <n v="79.2"/>
    <d v="2024-08-07T00:00:00"/>
    <d v="2025-07-01T00:00:00"/>
    <d v="2024-08-20T00:00:00"/>
    <n v="568"/>
    <n v="240"/>
    <n v="555"/>
    <s v="Safe"/>
    <s v="70156 7th Junction"/>
    <n v="46"/>
    <n v="3643.2000000000003"/>
    <n v="4"/>
    <s v="Discontinued"/>
  </r>
  <r>
    <s v="41-131-3841"/>
    <s v="Almond Flour"/>
    <x v="0"/>
    <s v="55-269-1746"/>
    <s v="Camido"/>
    <n v="77"/>
    <n v="19"/>
    <n v="31"/>
    <s v="Sufficient"/>
    <n v="0"/>
    <s v="Normal"/>
    <s v=" 9.50  "/>
    <n v="731.5"/>
    <d v="2024-10-29T00:00:00"/>
    <d v="2025-01-23T00:00:00"/>
    <d v="2024-03-20T00:00:00"/>
    <n v="485"/>
    <n v="399"/>
    <n v="708"/>
    <s v="Safe"/>
    <s v="16 Fair Oaks Pass"/>
    <n v="27"/>
    <n v="19750.5"/>
    <n v="25"/>
    <s v="Backordered"/>
  </r>
  <r>
    <s v="15-905-7750"/>
    <s v="Apricot"/>
    <x v="2"/>
    <s v="48-176-1622"/>
    <s v="Skinix"/>
    <n v="42"/>
    <n v="61"/>
    <n v="52"/>
    <s v="Require"/>
    <n v="61"/>
    <s v="High Priority"/>
    <s v=" 5.00  "/>
    <n v="210"/>
    <d v="2024-02-12T00:00:00"/>
    <d v="2025-01-31T00:00:00"/>
    <d v="2024-09-29T00:00:00"/>
    <n v="745"/>
    <n v="391"/>
    <n v="515"/>
    <s v="Expiring Soon"/>
    <s v="36687 Maple Avenue"/>
    <n v="86"/>
    <n v="18060"/>
    <n v="99"/>
    <s v="Backordered"/>
  </r>
  <r>
    <s v="68-973-8812"/>
    <s v="Sweet Potato"/>
    <x v="2"/>
    <s v="31-955-7362"/>
    <s v="Yodo"/>
    <n v="44"/>
    <n v="77"/>
    <n v="45"/>
    <s v="Require"/>
    <n v="77"/>
    <s v="High Priority"/>
    <s v=" 2.00  "/>
    <n v="88"/>
    <d v="2024-07-27T00:00:00"/>
    <d v="2024-06-22T00:00:00"/>
    <d v="2024-05-24T00:00:00"/>
    <n v="579"/>
    <n v="614"/>
    <n v="643"/>
    <s v="Safe"/>
    <s v="55 Cherokee Circle"/>
    <n v="89"/>
    <n v="7832"/>
    <n v="64"/>
    <s v="Discontinued"/>
  </r>
  <r>
    <s v="49-570-8214"/>
    <s v="Sour Cream"/>
    <x v="4"/>
    <s v="17-345-5800"/>
    <s v="Realblab"/>
    <n v="81"/>
    <n v="76"/>
    <n v="10"/>
    <s v="Sufficient"/>
    <n v="0"/>
    <s v="Normal"/>
    <s v=" 4.00  "/>
    <n v="324"/>
    <d v="2024-05-13T00:00:00"/>
    <d v="2024-05-27T00:00:00"/>
    <d v="2024-12-18T00:00:00"/>
    <n v="654"/>
    <n v="640"/>
    <n v="435"/>
    <s v="Expiring Soon"/>
    <s v="1823 Elgar Park"/>
    <n v="68"/>
    <n v="22032"/>
    <n v="100"/>
    <s v="Backordered"/>
  </r>
  <r>
    <s v="57-779-4955"/>
    <s v="Black Rice"/>
    <x v="0"/>
    <s v="84-869-9980"/>
    <s v="Zazio"/>
    <n v="92"/>
    <n v="48"/>
    <n v="22"/>
    <s v="Sufficient"/>
    <n v="0"/>
    <s v="Normal"/>
    <s v=" 6.25  "/>
    <n v="575"/>
    <d v="2024-11-29T00:00:00"/>
    <d v="2024-01-12T00:00:00"/>
    <d v="2025-01-20T00:00:00"/>
    <n v="454"/>
    <n v="776"/>
    <n v="402"/>
    <s v="Expiring Soon"/>
    <s v="38436 Anthes Way"/>
    <n v="38"/>
    <n v="21850"/>
    <n v="61"/>
    <s v="Backordered"/>
  </r>
  <r>
    <s v="85-781-5386"/>
    <s v="Salmon"/>
    <x v="6"/>
    <s v="89-439-6947"/>
    <s v="Avavee"/>
    <n v="78"/>
    <n v="68"/>
    <n v="86"/>
    <s v="Sufficient"/>
    <n v="0"/>
    <s v="Normal"/>
    <s v=" 15.00  "/>
    <n v="1170"/>
    <d v="2024-03-25T00:00:00"/>
    <d v="2024-03-20T00:00:00"/>
    <d v="2024-12-28T00:00:00"/>
    <n v="703"/>
    <n v="708"/>
    <n v="425"/>
    <s v="Expiring Soon"/>
    <s v="10577 Thierer Plaza"/>
    <n v="47"/>
    <n v="54990"/>
    <n v="95"/>
    <s v="Discontinued"/>
  </r>
  <r>
    <s v="72-341-1154"/>
    <s v="Heavy Cream"/>
    <x v="4"/>
    <s v="84-090-6472"/>
    <s v="Yodo"/>
    <n v="85"/>
    <n v="66"/>
    <n v="85"/>
    <s v="Sufficient"/>
    <n v="0"/>
    <s v="Normal"/>
    <s v=" 4.20  "/>
    <n v="357"/>
    <d v="2025-06-01T00:00:00"/>
    <d v="2024-10-31T00:00:00"/>
    <d v="2024-09-09T00:00:00"/>
    <n v="270"/>
    <n v="483"/>
    <n v="535"/>
    <s v="Expiring Soon"/>
    <s v="8682 Golf Course Junction"/>
    <n v="65"/>
    <n v="23205"/>
    <n v="58"/>
    <s v="Discontinued"/>
  </r>
  <r>
    <s v="28-986-8001"/>
    <s v="Pomegranate"/>
    <x v="2"/>
    <s v="37-281-2537"/>
    <s v="Kwideo"/>
    <n v="65"/>
    <n v="69"/>
    <n v="4"/>
    <s v="Require"/>
    <n v="69"/>
    <s v="High Priority"/>
    <s v=" 6.00  "/>
    <n v="390"/>
    <d v="2024-08-14T00:00:00"/>
    <d v="2024-06-15T00:00:00"/>
    <d v="2024-10-13T00:00:00"/>
    <n v="561"/>
    <n v="621"/>
    <n v="501"/>
    <s v="Expiring Soon"/>
    <s v="4 Old Shore Avenue"/>
    <n v="80"/>
    <n v="31200"/>
    <n v="26"/>
    <s v="Active"/>
  </r>
  <r>
    <s v="82-811-7988"/>
    <s v="Olive Oil"/>
    <x v="3"/>
    <s v="41-772-9238"/>
    <s v="Realmix"/>
    <n v="36"/>
    <n v="3"/>
    <n v="54"/>
    <s v="Sufficient"/>
    <n v="0"/>
    <s v="Normal"/>
    <s v=" 6.00  "/>
    <n v="216"/>
    <d v="2024-03-03T00:00:00"/>
    <d v="2024-06-13T00:00:00"/>
    <d v="2024-12-13T00:00:00"/>
    <n v="725"/>
    <n v="623"/>
    <n v="440"/>
    <s v="Expiring Soon"/>
    <s v="65 Chinook Circle"/>
    <n v="74"/>
    <n v="15984"/>
    <n v="8"/>
    <s v="Discontinued"/>
  </r>
  <r>
    <s v="27-495-1912"/>
    <s v="Potato"/>
    <x v="2"/>
    <s v="34-667-8907"/>
    <s v="Thoughtbridge"/>
    <n v="26"/>
    <n v="63"/>
    <n v="88"/>
    <s v="Require"/>
    <n v="63"/>
    <s v="High Priority"/>
    <s v=" 1.20  "/>
    <n v="31.2"/>
    <d v="2024-09-05T00:00:00"/>
    <d v="2024-02-29T00:00:00"/>
    <d v="2024-05-24T00:00:00"/>
    <n v="539"/>
    <n v="728"/>
    <n v="643"/>
    <s v="Safe"/>
    <s v="12710 Gulseth Circle"/>
    <n v="84"/>
    <n v="2620.7999999999997"/>
    <n v="70"/>
    <s v="Active"/>
  </r>
  <r>
    <s v="44-480-9446"/>
    <s v="Sunflower Oil"/>
    <x v="3"/>
    <s v="35-000-6015"/>
    <s v="Aibox"/>
    <n v="39"/>
    <n v="13"/>
    <n v="13"/>
    <s v="Sufficient"/>
    <n v="0"/>
    <s v="Normal"/>
    <s v=" 2.50  "/>
    <n v="97.5"/>
    <d v="2024-09-13T00:00:00"/>
    <d v="2025-02-19T00:00:00"/>
    <d v="2024-03-14T00:00:00"/>
    <n v="531"/>
    <n v="372"/>
    <n v="714"/>
    <s v="Safe"/>
    <s v="43591 East Road"/>
    <n v="84"/>
    <n v="8190"/>
    <n v="93"/>
    <s v="Active"/>
  </r>
  <r>
    <s v="77-937-1108"/>
    <s v="White Sugar"/>
    <x v="0"/>
    <s v="41-007-0132"/>
    <s v="Twimm"/>
    <n v="39"/>
    <n v="83"/>
    <n v="21"/>
    <s v="Require"/>
    <n v="83"/>
    <s v="High Priority"/>
    <s v=" 2.00  "/>
    <n v="78"/>
    <d v="2024-12-31T00:00:00"/>
    <d v="2024-04-23T00:00:00"/>
    <d v="2024-04-12T00:00:00"/>
    <n v="422"/>
    <n v="674"/>
    <n v="685"/>
    <s v="Safe"/>
    <s v="01 Hansons Crossing"/>
    <n v="73"/>
    <n v="5694"/>
    <n v="88"/>
    <s v="Active"/>
  </r>
  <r>
    <s v="82-538-4809"/>
    <s v="Cabbage"/>
    <x v="2"/>
    <s v="74-357-2990"/>
    <s v="Twitternation"/>
    <n v="83"/>
    <n v="61"/>
    <n v="4"/>
    <s v="Sufficient"/>
    <n v="0"/>
    <s v="Normal"/>
    <s v=" 1.00  "/>
    <n v="83"/>
    <d v="2024-09-16T00:00:00"/>
    <d v="2024-05-11T00:00:00"/>
    <d v="2024-10-24T00:00:00"/>
    <n v="528"/>
    <n v="656"/>
    <n v="490"/>
    <s v="Expiring Soon"/>
    <s v="700 Northland Crossing"/>
    <n v="35"/>
    <n v="2905"/>
    <n v="7"/>
    <s v="Backordered"/>
  </r>
  <r>
    <s v="69-895-3397"/>
    <s v="Cucumber"/>
    <x v="2"/>
    <s v="02-575-2074"/>
    <s v="Yabox"/>
    <n v="28"/>
    <n v="5"/>
    <n v="9"/>
    <s v="Sufficient"/>
    <n v="0"/>
    <s v="Normal"/>
    <s v=" 1.80  "/>
    <n v="50.4"/>
    <d v="2025-01-16T00:00:00"/>
    <d v="2025-01-16T00:00:00"/>
    <d v="2024-03-04T00:00:00"/>
    <n v="406"/>
    <n v="406"/>
    <n v="724"/>
    <s v="Safe"/>
    <s v="98 Melody Street"/>
    <n v="33"/>
    <n v="1663.2"/>
    <n v="9"/>
    <s v="Discontinued"/>
  </r>
  <r>
    <s v="44-112-3331"/>
    <s v="Tuna"/>
    <x v="6"/>
    <s v="90-453-4096"/>
    <s v="Realmix"/>
    <n v="85"/>
    <n v="17"/>
    <n v="96"/>
    <s v="Sufficient"/>
    <n v="0"/>
    <s v="Normal"/>
    <s v=" 18.00  "/>
    <n v="1530"/>
    <d v="2024-05-11T00:00:00"/>
    <d v="2024-02-07T00:00:00"/>
    <d v="2024-04-08T00:00:00"/>
    <n v="656"/>
    <n v="750"/>
    <n v="689"/>
    <s v="Safe"/>
    <s v="63787 Arkansas Street"/>
    <n v="92"/>
    <n v="140760"/>
    <n v="34"/>
    <s v="Discontinued"/>
  </r>
  <r>
    <s v="93-682-2069"/>
    <s v="Lime"/>
    <x v="2"/>
    <s v="60-038-7810"/>
    <s v="Roomm"/>
    <n v="76"/>
    <n v="39"/>
    <n v="15"/>
    <s v="Sufficient"/>
    <n v="0"/>
    <s v="Normal"/>
    <s v=" 2.00  "/>
    <n v="152"/>
    <d v="2024-06-12T00:00:00"/>
    <d v="2024-06-23T00:00:00"/>
    <d v="2024-08-16T00:00:00"/>
    <n v="624"/>
    <n v="613"/>
    <n v="559"/>
    <s v="Safe"/>
    <s v="2718 Londonderry Plaza"/>
    <n v="77"/>
    <n v="11704"/>
    <n v="70"/>
    <s v="Backordered"/>
  </r>
  <r>
    <s v="49-199-6836"/>
    <s v="Tomato"/>
    <x v="2"/>
    <s v="81-999-7392"/>
    <s v="Thoughtbeat"/>
    <n v="100"/>
    <n v="64"/>
    <n v="62"/>
    <s v="Sufficient"/>
    <n v="0"/>
    <s v="Normal"/>
    <s v=" 2.50  "/>
    <n v="250"/>
    <d v="2024-12-15T00:00:00"/>
    <d v="2024-12-30T00:00:00"/>
    <d v="2024-08-24T00:00:00"/>
    <n v="438"/>
    <n v="423"/>
    <n v="551"/>
    <s v="Safe"/>
    <s v="77 Brown Circle"/>
    <n v="84"/>
    <n v="21000"/>
    <n v="44"/>
    <s v="Discontinued"/>
  </r>
  <r>
    <s v="47-221-2470"/>
    <s v="Pomegranate"/>
    <x v="2"/>
    <s v="30-780-7583"/>
    <s v="Teklist"/>
    <n v="17"/>
    <n v="45"/>
    <n v="44"/>
    <s v="Require"/>
    <n v="45"/>
    <s v="Normal"/>
    <s v=" 6.00  "/>
    <n v="102"/>
    <d v="2024-07-25T00:00:00"/>
    <d v="2024-03-04T00:00:00"/>
    <d v="2024-10-10T00:00:00"/>
    <n v="581"/>
    <n v="724"/>
    <n v="504"/>
    <s v="Expiring Soon"/>
    <s v="60 Messerschmidt Pass"/>
    <n v="37"/>
    <n v="3774"/>
    <n v="16"/>
    <s v="Active"/>
  </r>
  <r>
    <s v="71-067-3278"/>
    <s v="Anchovies"/>
    <x v="6"/>
    <s v="76-797-9430"/>
    <s v="Twitterbridge"/>
    <n v="51"/>
    <n v="35"/>
    <n v="95"/>
    <s v="Sufficient"/>
    <n v="0"/>
    <s v="Normal"/>
    <s v=" 10.00  "/>
    <n v="510"/>
    <d v="2024-10-22T00:00:00"/>
    <d v="2024-08-05T00:00:00"/>
    <d v="2024-08-16T00:00:00"/>
    <n v="492"/>
    <n v="570"/>
    <n v="559"/>
    <s v="Safe"/>
    <s v="5521 Wayridge Center"/>
    <n v="80"/>
    <n v="40800"/>
    <n v="89"/>
    <s v="Backordered"/>
  </r>
  <r>
    <s v="89-388-3239"/>
    <s v="Grapes"/>
    <x v="2"/>
    <s v="28-521-7083"/>
    <s v="Centizu"/>
    <n v="54"/>
    <n v="88"/>
    <n v="43"/>
    <s v="Require"/>
    <n v="88"/>
    <s v="High Priority"/>
    <s v=" 5.50  "/>
    <n v="297"/>
    <d v="2025-12-02T00:00:00"/>
    <d v="2024-05-24T00:00:00"/>
    <d v="2024-04-19T00:00:00"/>
    <n v="86"/>
    <n v="643"/>
    <n v="678"/>
    <s v="Safe"/>
    <s v="4346 Columbus Way"/>
    <n v="81"/>
    <n v="24057"/>
    <n v="77"/>
    <s v="Backordered"/>
  </r>
  <r>
    <s v="10-555-5971"/>
    <s v="Sourdough Bread"/>
    <x v="5"/>
    <s v="30-410-3509"/>
    <s v="Gigashots"/>
    <n v="94"/>
    <n v="56"/>
    <n v="80"/>
    <s v="Sufficient"/>
    <n v="0"/>
    <s v="Normal"/>
    <s v=" 4.00  "/>
    <n v="376"/>
    <d v="2025-04-01T00:00:00"/>
    <d v="2024-02-12T00:00:00"/>
    <d v="2024-09-27T00:00:00"/>
    <n v="331"/>
    <n v="745"/>
    <n v="517"/>
    <s v="Expiring Soon"/>
    <s v="8425 New Castle Parkway"/>
    <n v="47"/>
    <n v="17672"/>
    <n v="96"/>
    <s v="Backordered"/>
  </r>
  <r>
    <s v="82-931-7126"/>
    <s v="Asparagus"/>
    <x v="2"/>
    <s v="67-596-1997"/>
    <s v="Vitz"/>
    <n v="34"/>
    <n v="95"/>
    <n v="18"/>
    <s v="Require"/>
    <n v="95"/>
    <s v="High Priority"/>
    <s v=" 5.00  "/>
    <n v="170"/>
    <d v="2024-10-14T00:00:00"/>
    <d v="2024-10-17T00:00:00"/>
    <d v="2024-05-12T00:00:00"/>
    <n v="500"/>
    <n v="497"/>
    <n v="655"/>
    <s v="Safe"/>
    <s v="856 School Plaza"/>
    <n v="41"/>
    <n v="6970"/>
    <n v="26"/>
    <s v="Discontinued"/>
  </r>
  <r>
    <s v="24-228-6840"/>
    <s v="Herbal Tea"/>
    <x v="1"/>
    <s v="26-280-5472"/>
    <s v="Myworks"/>
    <n v="27"/>
    <n v="1"/>
    <n v="3"/>
    <s v="Sufficient"/>
    <n v="0"/>
    <s v="Normal"/>
    <s v=" 30.00  "/>
    <n v="810"/>
    <d v="2024-04-16T00:00:00"/>
    <d v="2024-09-08T00:00:00"/>
    <d v="2024-11-28T00:00:00"/>
    <n v="681"/>
    <n v="536"/>
    <n v="455"/>
    <s v="Expiring Soon"/>
    <s v="68241 Hanson Circle"/>
    <n v="34"/>
    <n v="27540"/>
    <n v="63"/>
    <s v="Backordered"/>
  </r>
  <r>
    <s v="52-392-5312"/>
    <s v="All-Purpose Flour"/>
    <x v="0"/>
    <s v="78-092-4768"/>
    <s v="Pixonyx"/>
    <n v="50"/>
    <n v="42"/>
    <n v="20"/>
    <s v="Sufficient"/>
    <n v="0"/>
    <s v="Normal"/>
    <s v=" 1.75  "/>
    <n v="87.5"/>
    <d v="2024-06-11T00:00:00"/>
    <d v="2025-02-19T00:00:00"/>
    <d v="2024-07-24T00:00:00"/>
    <n v="625"/>
    <n v="372"/>
    <n v="582"/>
    <s v="Safe"/>
    <s v="336 Old Shore Lane"/>
    <n v="87"/>
    <n v="7612.5"/>
    <n v="59"/>
    <s v="Active"/>
  </r>
  <r>
    <s v="36-531-4087"/>
    <s v="Almond Flour"/>
    <x v="0"/>
    <s v="83-172-5527"/>
    <s v="Skaboo"/>
    <n v="85"/>
    <n v="12"/>
    <n v="94"/>
    <s v="Sufficient"/>
    <n v="0"/>
    <s v="Normal"/>
    <s v=" 9.50  "/>
    <n v="807.5"/>
    <d v="2024-03-24T00:00:00"/>
    <d v="2024-10-25T00:00:00"/>
    <d v="2024-03-14T00:00:00"/>
    <n v="704"/>
    <n v="489"/>
    <n v="714"/>
    <s v="Safe"/>
    <s v="2 Columbus Drive"/>
    <n v="26"/>
    <n v="20995"/>
    <n v="32"/>
    <s v="Discontinued"/>
  </r>
  <r>
    <s v="39-810-2042"/>
    <s v="Rice Flour"/>
    <x v="0"/>
    <s v="65-620-9866"/>
    <s v="Quatz"/>
    <n v="24"/>
    <n v="2"/>
    <n v="49"/>
    <s v="Sufficient"/>
    <n v="0"/>
    <s v="Normal"/>
    <s v=" 2.00  "/>
    <n v="48"/>
    <d v="2024-02-06T00:00:00"/>
    <d v="2025-01-25T00:00:00"/>
    <d v="2024-09-05T00:00:00"/>
    <n v="751"/>
    <n v="397"/>
    <n v="539"/>
    <s v="Expiring Soon"/>
    <s v="47817 Oneill Park"/>
    <n v="98"/>
    <n v="4704"/>
    <n v="82"/>
    <s v="Active"/>
  </r>
  <r>
    <s v="55-164-7723"/>
    <s v="Halibut"/>
    <x v="6"/>
    <s v="85-454-9252"/>
    <s v="Gevee"/>
    <n v="82"/>
    <n v="31"/>
    <n v="86"/>
    <s v="Sufficient"/>
    <n v="0"/>
    <s v="Normal"/>
    <s v=" 20.00  "/>
    <n v="1640"/>
    <d v="2024-10-04T00:00:00"/>
    <d v="2024-05-17T00:00:00"/>
    <d v="2025-01-08T00:00:00"/>
    <n v="510"/>
    <n v="650"/>
    <n v="414"/>
    <s v="Expiring Soon"/>
    <s v="6410 Northwestern Pass"/>
    <n v="66"/>
    <n v="108240"/>
    <n v="74"/>
    <s v="Active"/>
  </r>
  <r>
    <s v="61-680-9496"/>
    <s v="Apple"/>
    <x v="2"/>
    <s v="75-448-1356"/>
    <s v="Wikido"/>
    <n v="17"/>
    <n v="14"/>
    <n v="17"/>
    <s v="Sufficient"/>
    <n v="0"/>
    <s v="Normal"/>
    <s v=" 3.50  "/>
    <n v="59.5"/>
    <d v="2024-03-24T00:00:00"/>
    <d v="2024-05-10T00:00:00"/>
    <d v="2024-04-14T00:00:00"/>
    <n v="704"/>
    <n v="657"/>
    <n v="683"/>
    <s v="Safe"/>
    <s v="2 Northridge Street"/>
    <n v="36"/>
    <n v="2142"/>
    <n v="64"/>
    <s v="Discontinued"/>
  </r>
  <r>
    <s v="24-143-4957"/>
    <s v="Canola Oil"/>
    <x v="3"/>
    <s v="29-968-4976"/>
    <s v="Katz"/>
    <n v="25"/>
    <n v="97"/>
    <n v="63"/>
    <s v="Require"/>
    <n v="97"/>
    <s v="High Priority"/>
    <s v=" 2.30  "/>
    <n v="57.499999999999993"/>
    <d v="2024-10-22T00:00:00"/>
    <d v="2024-06-22T00:00:00"/>
    <d v="2024-08-15T00:00:00"/>
    <n v="492"/>
    <n v="614"/>
    <n v="560"/>
    <s v="Safe"/>
    <s v="685 Independence Junction"/>
    <n v="72"/>
    <n v="4139.9999999999991"/>
    <n v="23"/>
    <s v="Discontinued"/>
  </r>
  <r>
    <s v="26-456-1992"/>
    <s v="Tilapia"/>
    <x v="6"/>
    <s v="60-159-3514"/>
    <s v="Geba"/>
    <n v="56"/>
    <n v="59"/>
    <n v="87"/>
    <s v="Require"/>
    <n v="59"/>
    <s v="Normal"/>
    <s v=" 7.00  "/>
    <n v="392"/>
    <d v="2025-01-26T00:00:00"/>
    <d v="2024-12-23T00:00:00"/>
    <d v="2024-07-29T00:00:00"/>
    <n v="396"/>
    <n v="430"/>
    <n v="577"/>
    <s v="Safe"/>
    <s v="1792 Crownhardt Street"/>
    <n v="65"/>
    <n v="25480"/>
    <n v="45"/>
    <s v="Active"/>
  </r>
  <r>
    <s v="62-998-7250"/>
    <s v="Evaporated Milk"/>
    <x v="4"/>
    <s v="72-002-3904"/>
    <s v="Photobug"/>
    <n v="72"/>
    <n v="3"/>
    <n v="10"/>
    <s v="Sufficient"/>
    <n v="0"/>
    <s v="Normal"/>
    <s v=" 2.00  "/>
    <n v="144"/>
    <d v="2025-01-18T00:00:00"/>
    <d v="2024-07-31T00:00:00"/>
    <d v="2024-10-05T00:00:00"/>
    <n v="404"/>
    <n v="575"/>
    <n v="509"/>
    <s v="Expiring Soon"/>
    <s v="9171 Redwing Street"/>
    <n v="52"/>
    <n v="7488"/>
    <n v="14"/>
    <s v="Backordered"/>
  </r>
  <r>
    <s v="38-617-7226"/>
    <s v="Mushrooms"/>
    <x v="2"/>
    <s v="91-215-9838"/>
    <s v="Bluezoom"/>
    <n v="65"/>
    <n v="42"/>
    <n v="62"/>
    <s v="Sufficient"/>
    <n v="0"/>
    <s v="Normal"/>
    <s v=" 6.30  "/>
    <n v="409.5"/>
    <d v="2024-10-24T00:00:00"/>
    <d v="2024-06-19T00:00:00"/>
    <d v="2024-07-13T00:00:00"/>
    <n v="490"/>
    <n v="617"/>
    <n v="593"/>
    <s v="Safe"/>
    <s v="33145 Butterfield Avenue"/>
    <n v="54"/>
    <n v="22113"/>
    <n v="2"/>
    <s v="Active"/>
  </r>
  <r>
    <s v="00-366-9496"/>
    <s v="Grapes"/>
    <x v="2"/>
    <s v="40-515-1141"/>
    <s v="Kimia"/>
    <n v="30"/>
    <n v="66"/>
    <n v="28"/>
    <s v="Require"/>
    <n v="66"/>
    <s v="High Priority"/>
    <s v=" 5.50  "/>
    <n v="165"/>
    <d v="2024-09-08T00:00:00"/>
    <d v="2025-08-02T00:00:00"/>
    <d v="2024-12-28T00:00:00"/>
    <n v="536"/>
    <n v="208"/>
    <n v="425"/>
    <s v="Expiring Soon"/>
    <s v="898 Rowland Trail"/>
    <n v="63"/>
    <n v="10395"/>
    <n v="98"/>
    <s v="Active"/>
  </r>
  <r>
    <s v="76-027-4850"/>
    <s v="Onion"/>
    <x v="2"/>
    <s v="75-256-5638"/>
    <s v="Tavu"/>
    <n v="39"/>
    <n v="37"/>
    <n v="48"/>
    <s v="Sufficient"/>
    <n v="0"/>
    <s v="Normal"/>
    <s v=" 2.00  "/>
    <n v="78"/>
    <d v="2024-11-27T00:00:00"/>
    <d v="2024-08-26T00:00:00"/>
    <d v="2024-06-24T00:00:00"/>
    <n v="456"/>
    <n v="549"/>
    <n v="612"/>
    <s v="Safe"/>
    <s v="425 Shasta Terrace"/>
    <n v="25"/>
    <n v="1950"/>
    <n v="19"/>
    <s v="Active"/>
  </r>
  <r>
    <s v="27-269-5260"/>
    <s v="Pineapple"/>
    <x v="2"/>
    <s v="54-724-8610"/>
    <s v="Rhyloo"/>
    <n v="14"/>
    <n v="81"/>
    <n v="65"/>
    <s v="Require"/>
    <n v="81"/>
    <s v="High Priority"/>
    <s v=" 3.50  "/>
    <n v="49"/>
    <d v="2024-11-17T00:00:00"/>
    <d v="2024-03-15T00:00:00"/>
    <d v="2024-10-22T00:00:00"/>
    <n v="466"/>
    <n v="713"/>
    <n v="492"/>
    <s v="Expiring Soon"/>
    <s v="1661 Springview Terrace"/>
    <n v="74"/>
    <n v="3626"/>
    <n v="84"/>
    <s v="Active"/>
  </r>
  <r>
    <s v="40-126-0515"/>
    <s v="Carrot"/>
    <x v="2"/>
    <s v="78-379-0369"/>
    <s v="Gigashots"/>
    <n v="74"/>
    <n v="37"/>
    <n v="57"/>
    <s v="Sufficient"/>
    <n v="0"/>
    <s v="Normal"/>
    <s v=" 1.50  "/>
    <n v="111"/>
    <d v="2025-02-14T00:00:00"/>
    <d v="2024-04-03T00:00:00"/>
    <d v="2024-12-18T00:00:00"/>
    <n v="377"/>
    <n v="694"/>
    <n v="435"/>
    <s v="Expiring Soon"/>
    <s v="28351 Cascade Plaza"/>
    <n v="91"/>
    <n v="10101"/>
    <n v="18"/>
    <s v="Active"/>
  </r>
  <r>
    <s v="31-387-5020"/>
    <s v="Parmesan Cheese"/>
    <x v="4"/>
    <s v="02-811-7933"/>
    <s v="Buzzbean"/>
    <n v="63"/>
    <n v="41"/>
    <n v="98"/>
    <s v="Sufficient"/>
    <n v="0"/>
    <s v="Normal"/>
    <s v=" 11.90  "/>
    <n v="749.7"/>
    <d v="2024-10-22T00:00:00"/>
    <d v="2024-12-17T00:00:00"/>
    <d v="2024-08-14T00:00:00"/>
    <n v="492"/>
    <n v="436"/>
    <n v="561"/>
    <s v="Safe"/>
    <s v="854 Kipling Point"/>
    <n v="37"/>
    <n v="27738.9"/>
    <n v="7"/>
    <s v="Active"/>
  </r>
  <r>
    <s v="13-673-7016"/>
    <s v="Peach"/>
    <x v="2"/>
    <s v="78-726-6352"/>
    <s v="Youfeed"/>
    <n v="47"/>
    <n v="67"/>
    <n v="57"/>
    <s v="Require"/>
    <n v="67"/>
    <s v="High Priority"/>
    <s v=" 4.00  "/>
    <n v="188"/>
    <d v="2024-04-12T00:00:00"/>
    <d v="2024-07-22T00:00:00"/>
    <d v="2025-02-23T00:00:00"/>
    <n v="685"/>
    <n v="584"/>
    <n v="368"/>
    <s v="Expiring Soon"/>
    <s v="04 Hagan Crossing"/>
    <n v="36"/>
    <n v="6768"/>
    <n v="48"/>
    <s v="Backordered"/>
  </r>
  <r>
    <s v="85-212-2729"/>
    <s v="Egg (Turkey)"/>
    <x v="4"/>
    <s v="58-226-6435"/>
    <s v="Browsecat"/>
    <n v="42"/>
    <n v="94"/>
    <n v="79"/>
    <s v="Require"/>
    <n v="94"/>
    <s v="High Priority"/>
    <s v=" 2.50  "/>
    <n v="105"/>
    <d v="2024-12-17T00:00:00"/>
    <d v="2024-12-21T00:00:00"/>
    <d v="2024-05-16T00:00:00"/>
    <n v="436"/>
    <n v="432"/>
    <n v="651"/>
    <s v="Safe"/>
    <s v="93 Longview Junction"/>
    <n v="61"/>
    <n v="6405"/>
    <n v="92"/>
    <s v="Backordered"/>
  </r>
  <r>
    <s v="99-048-8310"/>
    <s v="Tomato"/>
    <x v="2"/>
    <s v="70-453-8646"/>
    <s v="Demimbu"/>
    <n v="32"/>
    <n v="49"/>
    <n v="73"/>
    <s v="Require"/>
    <n v="49"/>
    <s v="Normal"/>
    <s v=" 2.50  "/>
    <n v="80"/>
    <d v="2024-06-07T00:00:00"/>
    <d v="2024-04-22T00:00:00"/>
    <d v="2024-05-27T00:00:00"/>
    <n v="629"/>
    <n v="675"/>
    <n v="640"/>
    <s v="Safe"/>
    <s v="43 Lakewood Junction"/>
    <n v="80"/>
    <n v="6400"/>
    <n v="36"/>
    <s v="Discontinued"/>
  </r>
  <r>
    <s v="19-112-1616"/>
    <s v="Lettuce"/>
    <x v="2"/>
    <s v="55-251-3001"/>
    <s v="Quamba"/>
    <n v="88"/>
    <n v="56"/>
    <n v="72"/>
    <s v="Sufficient"/>
    <n v="0"/>
    <s v="Normal"/>
    <s v=" 2.00  "/>
    <n v="176"/>
    <d v="2025-12-01T00:00:00"/>
    <d v="2024-12-04T00:00:00"/>
    <d v="2024-06-28T00:00:00"/>
    <n v="87"/>
    <n v="449"/>
    <n v="608"/>
    <s v="Safe"/>
    <s v="7698 Logan Drive"/>
    <n v="25"/>
    <n v="4400"/>
    <n v="36"/>
    <s v="Active"/>
  </r>
  <r>
    <s v="98-546-7398"/>
    <s v="Yogurt"/>
    <x v="4"/>
    <s v="37-921-2953"/>
    <s v="Thoughtworks"/>
    <n v="80"/>
    <n v="69"/>
    <n v="71"/>
    <s v="Sufficient"/>
    <n v="0"/>
    <s v="Normal"/>
    <s v=" 1.75  "/>
    <n v="140"/>
    <d v="2024-08-27T00:00:00"/>
    <d v="2024-03-05T00:00:00"/>
    <d v="2024-04-17T00:00:00"/>
    <n v="548"/>
    <n v="723"/>
    <n v="680"/>
    <s v="Safe"/>
    <s v="15658 Talisman Lane"/>
    <n v="41"/>
    <n v="5740"/>
    <n v="43"/>
    <s v="Backordered"/>
  </r>
  <r>
    <s v="63-874-9747"/>
    <s v="Orange"/>
    <x v="2"/>
    <s v="22-506-4911"/>
    <s v="Oloo"/>
    <n v="36"/>
    <n v="59"/>
    <n v="90"/>
    <s v="Require"/>
    <n v="59"/>
    <s v="Normal"/>
    <s v=" 3.00  "/>
    <n v="108"/>
    <d v="2024-08-07T00:00:00"/>
    <d v="2024-09-12T00:00:00"/>
    <d v="2024-11-11T00:00:00"/>
    <n v="568"/>
    <n v="532"/>
    <n v="472"/>
    <s v="Expiring Soon"/>
    <s v="183 Buell Park"/>
    <n v="25"/>
    <n v="2700"/>
    <n v="60"/>
    <s v="Discontinued"/>
  </r>
  <r>
    <s v="58-946-5152"/>
    <s v="Bread Flour"/>
    <x v="0"/>
    <s v="42-201-4328"/>
    <s v="Avaveo"/>
    <n v="11"/>
    <n v="77"/>
    <n v="7"/>
    <s v="Require"/>
    <n v="77"/>
    <s v="High Priority"/>
    <s v=" 1.50  "/>
    <n v="16.5"/>
    <d v="2024-10-26T00:00:00"/>
    <d v="2024-05-11T00:00:00"/>
    <d v="2024-07-10T00:00:00"/>
    <n v="488"/>
    <n v="656"/>
    <n v="596"/>
    <s v="Safe"/>
    <s v="06 Lake View Trail"/>
    <n v="77"/>
    <n v="1270.5"/>
    <n v="46"/>
    <s v="Backordered"/>
  </r>
  <r>
    <s v="65-867-4029"/>
    <s v="Peach"/>
    <x v="2"/>
    <s v="70-591-9841"/>
    <s v="Livepath"/>
    <n v="40"/>
    <n v="83"/>
    <n v="50"/>
    <s v="Require"/>
    <n v="83"/>
    <s v="High Priority"/>
    <s v=" 4.00  "/>
    <n v="160"/>
    <d v="2024-05-06T00:00:00"/>
    <d v="2024-03-09T00:00:00"/>
    <d v="2024-06-16T00:00:00"/>
    <n v="661"/>
    <n v="719"/>
    <n v="620"/>
    <s v="Safe"/>
    <s v="36124 Carberry Junction"/>
    <n v="92"/>
    <n v="14720"/>
    <n v="50"/>
    <s v="Active"/>
  </r>
  <r>
    <s v="89-328-9019"/>
    <s v="Bread Flour"/>
    <x v="0"/>
    <s v="63-057-0462"/>
    <s v="Jazzy"/>
    <n v="63"/>
    <n v="43"/>
    <n v="8"/>
    <s v="Sufficient"/>
    <n v="0"/>
    <s v="Normal"/>
    <s v=" 1.50  "/>
    <n v="94.5"/>
    <d v="2024-08-20T00:00:00"/>
    <d v="2024-04-20T00:00:00"/>
    <d v="2024-12-08T00:00:00"/>
    <n v="555"/>
    <n v="677"/>
    <n v="445"/>
    <s v="Expiring Soon"/>
    <s v="33774 Carberry Circle"/>
    <n v="55"/>
    <n v="5197.5"/>
    <n v="72"/>
    <s v="Active"/>
  </r>
  <r>
    <s v="02-170-5225"/>
    <s v="Raw Sugar"/>
    <x v="0"/>
    <s v="90-940-9550"/>
    <s v="Eabox"/>
    <n v="90"/>
    <n v="75"/>
    <n v="43"/>
    <s v="Sufficient"/>
    <n v="0"/>
    <s v="Normal"/>
    <s v=" 1.50  "/>
    <n v="135"/>
    <d v="2024-05-28T00:00:00"/>
    <d v="2024-09-18T00:00:00"/>
    <d v="2025-02-23T00:00:00"/>
    <n v="639"/>
    <n v="526"/>
    <n v="368"/>
    <s v="Expiring Soon"/>
    <s v="36 Bobwhite Parkway"/>
    <n v="80"/>
    <n v="10800"/>
    <n v="57"/>
    <s v="Discontinued"/>
  </r>
  <r>
    <s v="24-478-8277"/>
    <s v="Multigrain Bread"/>
    <x v="5"/>
    <s v="64-070-7611"/>
    <s v="Bubblebox"/>
    <n v="47"/>
    <n v="26"/>
    <n v="40"/>
    <s v="Sufficient"/>
    <n v="0"/>
    <s v="Normal"/>
    <s v=" 3.25  "/>
    <n v="152.75"/>
    <d v="2024-12-13T00:00:00"/>
    <d v="2025-12-01T00:00:00"/>
    <d v="2024-11-26T00:00:00"/>
    <n v="440"/>
    <n v="87"/>
    <n v="457"/>
    <s v="Expiring Soon"/>
    <s v="55276 Golf Hill"/>
    <n v="30"/>
    <n v="4582.5"/>
    <n v="72"/>
    <s v="Active"/>
  </r>
  <r>
    <s v="91-290-9062"/>
    <s v="Digestive Biscuit"/>
    <x v="5"/>
    <s v="95-609-1485"/>
    <s v="Zoonder"/>
    <n v="29"/>
    <n v="2"/>
    <n v="84"/>
    <s v="Sufficient"/>
    <n v="0"/>
    <s v="Normal"/>
    <s v=" 4.00  "/>
    <n v="116"/>
    <d v="2024-03-21T00:00:00"/>
    <d v="2024-04-19T00:00:00"/>
    <d v="2024-09-25T00:00:00"/>
    <n v="707"/>
    <n v="678"/>
    <n v="519"/>
    <s v="Expiring Soon"/>
    <s v="9821 Novick Hill"/>
    <n v="80"/>
    <n v="9280"/>
    <n v="85"/>
    <s v="Backordered"/>
  </r>
  <r>
    <s v="44-546-5713"/>
    <s v="Peach"/>
    <x v="2"/>
    <s v="61-382-5182"/>
    <s v="Blogpad"/>
    <n v="94"/>
    <n v="69"/>
    <n v="68"/>
    <s v="Sufficient"/>
    <n v="0"/>
    <s v="Normal"/>
    <s v=" 4.00  "/>
    <n v="376"/>
    <d v="2024-08-07T00:00:00"/>
    <d v="2025-01-16T00:00:00"/>
    <d v="2025-02-13T00:00:00"/>
    <n v="568"/>
    <n v="406"/>
    <n v="378"/>
    <s v="Expiring Soon"/>
    <s v="832 Goodland Alley"/>
    <n v="24"/>
    <n v="9024"/>
    <n v="20"/>
    <s v="Discontinued"/>
  </r>
  <r>
    <s v="20-031-0532"/>
    <s v="Mango"/>
    <x v="2"/>
    <s v="35-835-8848"/>
    <s v="Oyoloo"/>
    <n v="32"/>
    <n v="63"/>
    <n v="92"/>
    <s v="Require"/>
    <n v="63"/>
    <s v="High Priority"/>
    <s v=" 4.90  "/>
    <n v="156.80000000000001"/>
    <d v="2024-11-17T00:00:00"/>
    <d v="2024-07-25T00:00:00"/>
    <d v="2024-11-09T00:00:00"/>
    <n v="466"/>
    <n v="581"/>
    <n v="474"/>
    <s v="Expiring Soon"/>
    <s v="8239 Laurel Way"/>
    <n v="84"/>
    <n v="13171.2"/>
    <n v="34"/>
    <s v="Discontinued"/>
  </r>
  <r>
    <s v="48-242-8445"/>
    <s v="Plum"/>
    <x v="2"/>
    <s v="84-941-3034"/>
    <s v="Mybuzz"/>
    <n v="40"/>
    <n v="3"/>
    <n v="5"/>
    <s v="Sufficient"/>
    <n v="0"/>
    <s v="Normal"/>
    <s v=" 4.00  "/>
    <n v="160"/>
    <d v="2024-04-03T00:00:00"/>
    <d v="2024-06-15T00:00:00"/>
    <d v="2024-06-24T00:00:00"/>
    <n v="694"/>
    <n v="621"/>
    <n v="612"/>
    <s v="Safe"/>
    <s v="29 Vera Drive"/>
    <n v="45"/>
    <n v="7200"/>
    <n v="69"/>
    <s v="Discontinued"/>
  </r>
  <r>
    <s v="33-378-1365"/>
    <s v="Egg (Goose)"/>
    <x v="4"/>
    <s v="31-483-9201"/>
    <s v="Tagchat"/>
    <n v="50"/>
    <n v="66"/>
    <n v="1"/>
    <s v="Require"/>
    <n v="66"/>
    <s v="High Priority"/>
    <s v=" 2.50  "/>
    <n v="125"/>
    <d v="2024-10-22T00:00:00"/>
    <d v="2024-07-12T00:00:00"/>
    <d v="2025-02-04T00:00:00"/>
    <n v="492"/>
    <n v="594"/>
    <n v="387"/>
    <s v="Expiring Soon"/>
    <s v="23560 Talmadge Center"/>
    <n v="76"/>
    <n v="9500"/>
    <n v="73"/>
    <s v="Active"/>
  </r>
  <r>
    <s v="57-763-5501"/>
    <s v="Cod"/>
    <x v="6"/>
    <s v="25-790-1641"/>
    <s v="Kwimbee"/>
    <n v="72"/>
    <n v="29"/>
    <n v="10"/>
    <s v="Sufficient"/>
    <n v="0"/>
    <s v="Normal"/>
    <s v=" 8.00  "/>
    <n v="576"/>
    <d v="2024-06-03T00:00:00"/>
    <d v="2024-07-04T00:00:00"/>
    <d v="2024-03-24T00:00:00"/>
    <n v="633"/>
    <n v="602"/>
    <n v="704"/>
    <s v="Safe"/>
    <s v="46 Colorado Place"/>
    <n v="54"/>
    <n v="31104"/>
    <n v="38"/>
    <s v="Discontinued"/>
  </r>
  <r>
    <s v="71-015-9181"/>
    <s v="Pomegranate"/>
    <x v="2"/>
    <s v="56-196-9896"/>
    <s v="Tagopia"/>
    <n v="22"/>
    <n v="35"/>
    <n v="55"/>
    <s v="Require"/>
    <n v="35"/>
    <s v="Normal"/>
    <s v=" 6.00  "/>
    <n v="132"/>
    <d v="2024-08-30T00:00:00"/>
    <d v="2024-08-27T00:00:00"/>
    <d v="2024-10-26T00:00:00"/>
    <n v="545"/>
    <n v="548"/>
    <n v="488"/>
    <s v="Expiring Soon"/>
    <s v="62238 Mallory Place"/>
    <n v="41"/>
    <n v="5412"/>
    <n v="27"/>
    <s v="Active"/>
  </r>
  <r>
    <s v="14-115-8371"/>
    <s v="Chocolate Biscuit"/>
    <x v="5"/>
    <s v="80-833-3051"/>
    <s v="Yakitri"/>
    <n v="23"/>
    <n v="76"/>
    <n v="70"/>
    <s v="Require"/>
    <n v="76"/>
    <s v="High Priority"/>
    <s v=" 5.00  "/>
    <n v="115"/>
    <d v="2025-07-01T00:00:00"/>
    <d v="2024-09-19T00:00:00"/>
    <d v="2024-09-01T00:00:00"/>
    <n v="240"/>
    <n v="525"/>
    <n v="543"/>
    <s v="Expiring Soon"/>
    <s v="40 Cody Pass"/>
    <n v="97"/>
    <n v="11155"/>
    <n v="38"/>
    <s v="Backordered"/>
  </r>
  <r>
    <s v="83-568-3475"/>
    <s v="Halibut"/>
    <x v="6"/>
    <s v="10-950-0546"/>
    <s v="Camimbo"/>
    <n v="35"/>
    <n v="72"/>
    <n v="70"/>
    <s v="Require"/>
    <n v="72"/>
    <s v="High Priority"/>
    <s v=" 20.00  "/>
    <n v="700"/>
    <d v="2024-04-17T00:00:00"/>
    <d v="2024-04-04T00:00:00"/>
    <d v="2025-02-10T00:00:00"/>
    <n v="680"/>
    <n v="693"/>
    <n v="381"/>
    <s v="Expiring Soon"/>
    <s v="29150 Farmco Crossing"/>
    <n v="74"/>
    <n v="51800"/>
    <n v="15"/>
    <s v="Backordered"/>
  </r>
  <r>
    <s v="79-884-8810"/>
    <s v="Cucumber"/>
    <x v="2"/>
    <s v="14-108-0409"/>
    <s v="Dabtype"/>
    <n v="12"/>
    <n v="93"/>
    <n v="29"/>
    <s v="Require"/>
    <n v="93"/>
    <s v="High Priority"/>
    <s v=" 1.75  "/>
    <n v="21"/>
    <d v="2025-02-20T00:00:00"/>
    <d v="2024-06-12T00:00:00"/>
    <d v="2024-08-15T00:00:00"/>
    <n v="371"/>
    <n v="624"/>
    <n v="560"/>
    <s v="Safe"/>
    <s v="546 Declaration Place"/>
    <n v="45"/>
    <n v="945"/>
    <n v="12"/>
    <s v="Backordered"/>
  </r>
  <r>
    <s v="50-772-2613"/>
    <s v="Cheddar Cheese"/>
    <x v="4"/>
    <s v="74-619-4608"/>
    <s v="Roomm"/>
    <n v="86"/>
    <n v="23"/>
    <n v="1"/>
    <s v="Sufficient"/>
    <n v="0"/>
    <s v="Normal"/>
    <s v=" 9.00  "/>
    <n v="774"/>
    <d v="2024-06-20T00:00:00"/>
    <d v="2024-05-19T00:00:00"/>
    <d v="2024-03-23T00:00:00"/>
    <n v="616"/>
    <n v="648"/>
    <n v="705"/>
    <s v="Safe"/>
    <s v="7 Lunder Hill"/>
    <n v="100"/>
    <n v="77400"/>
    <n v="86"/>
    <s v="Backordered"/>
  </r>
  <r>
    <s v="19-377-5021"/>
    <s v="Mackerel"/>
    <x v="6"/>
    <s v="34-014-5873"/>
    <s v="Skynoodle"/>
    <n v="91"/>
    <n v="96"/>
    <n v="90"/>
    <s v="Require"/>
    <n v="96"/>
    <s v="High Priority"/>
    <s v=" 7.50  "/>
    <n v="682.5"/>
    <d v="2025-02-14T00:00:00"/>
    <d v="2024-11-08T00:00:00"/>
    <d v="2024-12-24T00:00:00"/>
    <n v="377"/>
    <n v="475"/>
    <n v="429"/>
    <s v="Expiring Soon"/>
    <s v="884 Sloan Drive"/>
    <n v="90"/>
    <n v="61425"/>
    <n v="75"/>
    <s v="Backordered"/>
  </r>
  <r>
    <s v="39-913-2999"/>
    <s v="Evaporated Milk"/>
    <x v="4"/>
    <s v="74-119-8973"/>
    <s v="Centimia"/>
    <n v="23"/>
    <n v="99"/>
    <n v="97"/>
    <s v="Require"/>
    <n v="99"/>
    <s v="High Priority"/>
    <s v=" 2.00  "/>
    <n v="46"/>
    <d v="2024-09-06T00:00:00"/>
    <d v="2024-06-04T00:00:00"/>
    <d v="2024-04-10T00:00:00"/>
    <n v="538"/>
    <n v="632"/>
    <n v="687"/>
    <s v="Safe"/>
    <s v="15 Oriole Park"/>
    <n v="68"/>
    <n v="3128"/>
    <n v="76"/>
    <s v="Discontinued"/>
  </r>
  <r>
    <s v="46-911-1159"/>
    <s v="Onion"/>
    <x v="2"/>
    <s v="30-820-2883"/>
    <s v="Voolia"/>
    <n v="98"/>
    <n v="40"/>
    <n v="100"/>
    <s v="Sufficient"/>
    <n v="0"/>
    <s v="Normal"/>
    <s v=" 2.00  "/>
    <n v="196"/>
    <d v="2025-03-02T00:00:00"/>
    <d v="2024-10-30T00:00:00"/>
    <d v="2024-12-19T00:00:00"/>
    <n v="361"/>
    <n v="484"/>
    <n v="434"/>
    <s v="Expiring Soon"/>
    <s v="9171 Norway Maple Trail"/>
    <n v="46"/>
    <n v="9016"/>
    <n v="9"/>
    <s v="Active"/>
  </r>
  <r>
    <s v="40-630-1431"/>
    <s v="Cherry"/>
    <x v="2"/>
    <s v="61-040-9004"/>
    <s v="Voomm"/>
    <n v="29"/>
    <n v="66"/>
    <n v="21"/>
    <s v="Require"/>
    <n v="66"/>
    <s v="High Priority"/>
    <s v=" 8.00  "/>
    <n v="232"/>
    <d v="2024-10-29T00:00:00"/>
    <d v="2024-11-07T00:00:00"/>
    <d v="2024-11-07T00:00:00"/>
    <n v="485"/>
    <n v="476"/>
    <n v="476"/>
    <s v="Expiring Soon"/>
    <s v="8119 Homewood Drive"/>
    <n v="74"/>
    <n v="17168"/>
    <n v="93"/>
    <s v="Discontinued"/>
  </r>
  <r>
    <s v="15-797-4824"/>
    <s v="Coconut"/>
    <x v="2"/>
    <s v="46-830-4835"/>
    <s v="Mudo"/>
    <n v="32"/>
    <n v="27"/>
    <n v="26"/>
    <s v="Sufficient"/>
    <n v="0"/>
    <s v="Normal"/>
    <s v=" 5.00  "/>
    <n v="160"/>
    <d v="2024-05-30T00:00:00"/>
    <d v="2024-11-20T00:00:00"/>
    <d v="2025-01-14T00:00:00"/>
    <n v="637"/>
    <n v="463"/>
    <n v="408"/>
    <s v="Expiring Soon"/>
    <s v="25923 Loeprich Junction"/>
    <n v="38"/>
    <n v="6080"/>
    <n v="79"/>
    <s v="Backordered"/>
  </r>
  <r>
    <s v="37-248-6266"/>
    <s v="Pear"/>
    <x v="2"/>
    <s v="75-553-7424"/>
    <s v="Youspan"/>
    <n v="84"/>
    <n v="74"/>
    <n v="48"/>
    <s v="Sufficient"/>
    <n v="0"/>
    <s v="Normal"/>
    <s v=" 4.50  "/>
    <n v="378"/>
    <d v="2024-12-24T00:00:00"/>
    <d v="2024-10-17T00:00:00"/>
    <d v="2024-05-24T00:00:00"/>
    <n v="429"/>
    <n v="497"/>
    <n v="643"/>
    <s v="Safe"/>
    <s v="7051 Calypso Place"/>
    <n v="64"/>
    <n v="24192"/>
    <n v="32"/>
    <s v="Backordered"/>
  </r>
  <r>
    <s v="22-760-4605"/>
    <s v="Yogurt"/>
    <x v="4"/>
    <s v="01-495-9336"/>
    <s v="Bubblemix"/>
    <n v="86"/>
    <n v="20"/>
    <n v="67"/>
    <s v="Sufficient"/>
    <n v="0"/>
    <s v="Normal"/>
    <s v=" 1.75  "/>
    <n v="150.5"/>
    <d v="2025-12-02T00:00:00"/>
    <d v="2024-07-07T00:00:00"/>
    <d v="2024-08-03T00:00:00"/>
    <n v="86"/>
    <n v="599"/>
    <n v="572"/>
    <s v="Safe"/>
    <s v="09264 Forest Dale Drive"/>
    <n v="83"/>
    <n v="12491.5"/>
    <n v="82"/>
    <s v="Discontinued"/>
  </r>
  <r>
    <s v="80-020-8041"/>
    <s v="Black Rice"/>
    <x v="0"/>
    <s v="66-684-1941"/>
    <s v="Wordware"/>
    <n v="11"/>
    <n v="58"/>
    <n v="26"/>
    <s v="Require"/>
    <n v="58"/>
    <s v="Normal"/>
    <s v=" 6.20  "/>
    <n v="68.2"/>
    <d v="2024-06-06T00:00:00"/>
    <d v="2024-03-12T00:00:00"/>
    <d v="2024-07-08T00:00:00"/>
    <n v="630"/>
    <n v="716"/>
    <n v="598"/>
    <s v="Safe"/>
    <s v="662 Vernon Point"/>
    <n v="49"/>
    <n v="3341.8"/>
    <n v="34"/>
    <s v="Active"/>
  </r>
  <r>
    <s v="44-634-8292"/>
    <s v="Whole Wheat Flour"/>
    <x v="0"/>
    <s v="48-557-5036"/>
    <s v="Quatz"/>
    <n v="60"/>
    <n v="69"/>
    <n v="64"/>
    <s v="Require"/>
    <n v="69"/>
    <s v="High Priority"/>
    <s v=" 2.75  "/>
    <n v="165"/>
    <d v="2025-02-23T00:00:00"/>
    <d v="2024-09-03T00:00:00"/>
    <d v="2025-01-02T00:00:00"/>
    <n v="368"/>
    <n v="541"/>
    <n v="420"/>
    <s v="Expiring Soon"/>
    <s v="46 Orin Drive"/>
    <n v="51"/>
    <n v="8415"/>
    <n v="6"/>
    <s v="Active"/>
  </r>
  <r>
    <s v="19-610-2236"/>
    <s v="Whole Wheat Bread"/>
    <x v="5"/>
    <s v="53-799-3174"/>
    <s v="Mybuzz"/>
    <n v="58"/>
    <n v="48"/>
    <n v="9"/>
    <s v="Sufficient"/>
    <n v="0"/>
    <s v="Normal"/>
    <s v=" 3.50  "/>
    <n v="203"/>
    <d v="2024-07-12T00:00:00"/>
    <d v="2024-03-08T00:00:00"/>
    <d v="2024-03-19T00:00:00"/>
    <n v="594"/>
    <n v="720"/>
    <n v="709"/>
    <s v="Safe"/>
    <s v="8524 Shelley Way"/>
    <n v="98"/>
    <n v="19894"/>
    <n v="69"/>
    <s v="Active"/>
  </r>
  <r>
    <s v="49-579-4325"/>
    <s v="Ricotta Cheese"/>
    <x v="4"/>
    <s v="98-558-5813"/>
    <s v="Eadel"/>
    <n v="64"/>
    <n v="95"/>
    <n v="62"/>
    <s v="Require"/>
    <n v="95"/>
    <s v="High Priority"/>
    <s v=" 6.00  "/>
    <n v="384"/>
    <d v="2024-05-24T00:00:00"/>
    <d v="2024-08-22T00:00:00"/>
    <d v="2024-05-17T00:00:00"/>
    <n v="643"/>
    <n v="553"/>
    <n v="650"/>
    <s v="Safe"/>
    <s v="6 Anniversary Circle"/>
    <n v="55"/>
    <n v="21120"/>
    <n v="1"/>
    <s v="Discontinued"/>
  </r>
  <r>
    <s v="42-134-9798"/>
    <s v="Canola Oil"/>
    <x v="3"/>
    <s v="16-869-7328"/>
    <s v="Omba"/>
    <n v="19"/>
    <n v="80"/>
    <n v="87"/>
    <s v="Require"/>
    <n v="80"/>
    <s v="High Priority"/>
    <s v=" 2.30  "/>
    <n v="43.699999999999996"/>
    <d v="2024-11-10T00:00:00"/>
    <d v="2024-10-23T00:00:00"/>
    <d v="2024-12-30T00:00:00"/>
    <n v="473"/>
    <n v="491"/>
    <n v="423"/>
    <s v="Expiring Soon"/>
    <s v="0087 Bluejay Plaza"/>
    <n v="33"/>
    <n v="1442.1"/>
    <n v="38"/>
    <s v="Backordered"/>
  </r>
  <r>
    <s v="84-546-7624"/>
    <s v="Cherry"/>
    <x v="2"/>
    <s v="34-730-9079"/>
    <s v="Gigazoom"/>
    <n v="43"/>
    <n v="41"/>
    <n v="100"/>
    <s v="Sufficient"/>
    <n v="0"/>
    <s v="Normal"/>
    <s v=" 8.00  "/>
    <n v="344"/>
    <d v="2024-06-16T00:00:00"/>
    <d v="2024-08-04T00:00:00"/>
    <d v="2024-06-01T00:00:00"/>
    <n v="620"/>
    <n v="571"/>
    <n v="635"/>
    <s v="Safe"/>
    <s v="61057 Hallows Junction"/>
    <n v="27"/>
    <n v="9288"/>
    <n v="78"/>
    <s v="Active"/>
  </r>
  <r>
    <s v="11-891-8213"/>
    <s v="Peanut Oil"/>
    <x v="3"/>
    <s v="25-741-5987"/>
    <s v="Tagopia"/>
    <n v="38"/>
    <n v="62"/>
    <n v="47"/>
    <s v="Require"/>
    <n v="62"/>
    <s v="High Priority"/>
    <s v=" 4.00  "/>
    <n v="152"/>
    <d v="2024-02-12T00:00:00"/>
    <d v="2024-12-12T00:00:00"/>
    <d v="2024-11-13T00:00:00"/>
    <n v="745"/>
    <n v="441"/>
    <n v="470"/>
    <s v="Expiring Soon"/>
    <s v="13 Westport Hill"/>
    <n v="41"/>
    <n v="6232"/>
    <n v="34"/>
    <s v="Discontinued"/>
  </r>
  <r>
    <s v="03-597-9488"/>
    <s v="Buttermilk"/>
    <x v="4"/>
    <s v="03-983-0515"/>
    <s v="Wordpedia"/>
    <n v="70"/>
    <n v="66"/>
    <n v="74"/>
    <s v="Sufficient"/>
    <n v="0"/>
    <s v="Normal"/>
    <s v=" 2.50  "/>
    <n v="175"/>
    <d v="2024-11-11T00:00:00"/>
    <d v="2024-11-07T00:00:00"/>
    <d v="2024-03-28T00:00:00"/>
    <n v="472"/>
    <n v="476"/>
    <n v="700"/>
    <s v="Safe"/>
    <s v="53 Lawn Circle"/>
    <n v="47"/>
    <n v="8225"/>
    <n v="77"/>
    <s v="Active"/>
  </r>
  <r>
    <s v="89-624-7462"/>
    <s v="Asparagus"/>
    <x v="2"/>
    <s v="39-506-2186"/>
    <s v="Jaxspan"/>
    <n v="18"/>
    <n v="3"/>
    <n v="39"/>
    <s v="Sufficient"/>
    <n v="0"/>
    <s v="Normal"/>
    <s v=" 5.00  "/>
    <n v="90"/>
    <d v="2024-10-18T00:00:00"/>
    <d v="2025-02-16T00:00:00"/>
    <d v="2024-11-24T00:00:00"/>
    <n v="496"/>
    <n v="375"/>
    <n v="459"/>
    <s v="Expiring Soon"/>
    <s v="25 Drewry Alley"/>
    <n v="58"/>
    <n v="5220"/>
    <n v="61"/>
    <s v="Backordered"/>
  </r>
  <r>
    <s v="89-335-0155"/>
    <s v="Brown Rice"/>
    <x v="0"/>
    <s v="83-780-4531"/>
    <s v="Fivebridge"/>
    <n v="46"/>
    <n v="81"/>
    <n v="47"/>
    <s v="Require"/>
    <n v="81"/>
    <s v="High Priority"/>
    <s v=" 2.50  "/>
    <n v="115"/>
    <d v="2024-05-09T00:00:00"/>
    <d v="2024-11-09T00:00:00"/>
    <d v="2025-01-16T00:00:00"/>
    <n v="658"/>
    <n v="474"/>
    <n v="406"/>
    <s v="Expiring Soon"/>
    <s v="9 Kipling Road"/>
    <n v="48"/>
    <n v="5520"/>
    <n v="48"/>
    <s v="Active"/>
  </r>
  <r>
    <s v="59-725-4038"/>
    <s v="Arabica Coffee"/>
    <x v="1"/>
    <s v="39-055-1703"/>
    <s v="Zoozzy"/>
    <n v="78"/>
    <n v="34"/>
    <n v="39"/>
    <s v="Sufficient"/>
    <n v="0"/>
    <s v="Normal"/>
    <s v=" 20.50  "/>
    <n v="1599"/>
    <d v="2024-11-13T00:00:00"/>
    <d v="2024-08-26T00:00:00"/>
    <d v="2024-08-23T00:00:00"/>
    <n v="470"/>
    <n v="549"/>
    <n v="552"/>
    <s v="Safe"/>
    <s v="697 Hoepker Center"/>
    <n v="62"/>
    <n v="99138"/>
    <n v="2"/>
    <s v="Active"/>
  </r>
  <r>
    <s v="78-953-2073"/>
    <s v="Canola Oil"/>
    <x v="3"/>
    <s v="28-465-9141"/>
    <s v="Tagopia"/>
    <n v="53"/>
    <n v="20"/>
    <n v="75"/>
    <s v="Sufficient"/>
    <n v="0"/>
    <s v="Normal"/>
    <s v=" 2.30  "/>
    <n v="121.89999999999999"/>
    <d v="2024-12-06T00:00:00"/>
    <d v="2024-01-10T00:00:00"/>
    <d v="2025-01-04T00:00:00"/>
    <n v="447"/>
    <n v="778"/>
    <n v="418"/>
    <s v="Expiring Soon"/>
    <s v="085 Reinke Pass"/>
    <n v="83"/>
    <n v="10117.699999999999"/>
    <n v="77"/>
    <s v="Backordered"/>
  </r>
  <r>
    <s v="91-426-3204"/>
    <s v="Haddock"/>
    <x v="6"/>
    <s v="86-184-4829"/>
    <s v="Geba"/>
    <n v="67"/>
    <n v="71"/>
    <n v="4"/>
    <s v="Require"/>
    <n v="71"/>
    <s v="High Priority"/>
    <s v=" 9.00  "/>
    <n v="603"/>
    <d v="2024-12-19T00:00:00"/>
    <d v="2024-04-14T00:00:00"/>
    <d v="2024-07-08T00:00:00"/>
    <n v="434"/>
    <n v="683"/>
    <n v="598"/>
    <s v="Safe"/>
    <s v="269 Dakota Trail"/>
    <n v="76"/>
    <n v="45828"/>
    <n v="34"/>
    <s v="Backordered"/>
  </r>
  <r>
    <s v="40-913-9772"/>
    <s v="Egg (Chicken)"/>
    <x v="4"/>
    <s v="51-215-2283"/>
    <s v="Einti"/>
    <n v="36"/>
    <n v="30"/>
    <n v="44"/>
    <s v="Sufficient"/>
    <n v="0"/>
    <s v="Normal"/>
    <s v=" 0.20  "/>
    <n v="7.2"/>
    <d v="2024-11-04T00:00:00"/>
    <d v="2024-03-03T00:00:00"/>
    <d v="2024-05-26T00:00:00"/>
    <n v="479"/>
    <n v="725"/>
    <n v="641"/>
    <s v="Safe"/>
    <s v="553 Hooker Trail"/>
    <n v="68"/>
    <n v="489.6"/>
    <n v="88"/>
    <s v="Backordered"/>
  </r>
  <r>
    <s v="89-922-4773"/>
    <s v="Whole Wheat Flour"/>
    <x v="0"/>
    <s v="99-455-0707"/>
    <s v="Mudo"/>
    <n v="39"/>
    <n v="53"/>
    <n v="64"/>
    <s v="Require"/>
    <n v="53"/>
    <s v="Normal"/>
    <s v=" 2.75  "/>
    <n v="107.25"/>
    <d v="2024-06-22T00:00:00"/>
    <d v="2024-02-07T00:00:00"/>
    <d v="2024-12-27T00:00:00"/>
    <n v="614"/>
    <n v="750"/>
    <n v="426"/>
    <s v="Expiring Soon"/>
    <s v="11 Thackeray Hill"/>
    <n v="92"/>
    <n v="9867"/>
    <n v="8"/>
    <s v="Active"/>
  </r>
  <r>
    <s v="17-236-0566"/>
    <s v="Sweet Potato"/>
    <x v="2"/>
    <s v="32-402-9679"/>
    <s v="Einti"/>
    <n v="95"/>
    <n v="87"/>
    <n v="13"/>
    <s v="Sufficient"/>
    <n v="0"/>
    <s v="Normal"/>
    <s v=" 2.00  "/>
    <n v="190"/>
    <d v="2024-12-10T00:00:00"/>
    <d v="2024-02-03T00:00:00"/>
    <d v="2024-08-04T00:00:00"/>
    <n v="443"/>
    <n v="754"/>
    <n v="571"/>
    <s v="Safe"/>
    <s v="803 5th Alley"/>
    <n v="61"/>
    <n v="11590"/>
    <n v="4"/>
    <s v="Backordered"/>
  </r>
  <r>
    <s v="74-234-0628"/>
    <s v="Almond Flour"/>
    <x v="0"/>
    <s v="49-559-7092"/>
    <s v="Shuffledrive"/>
    <n v="12"/>
    <n v="56"/>
    <n v="92"/>
    <s v="Require"/>
    <n v="56"/>
    <s v="Normal"/>
    <s v=" 9.50  "/>
    <n v="114"/>
    <d v="2024-08-05T00:00:00"/>
    <d v="2024-12-15T00:00:00"/>
    <d v="2024-05-13T00:00:00"/>
    <n v="570"/>
    <n v="438"/>
    <n v="654"/>
    <s v="Safe"/>
    <s v="2 Veith Crossing"/>
    <n v="56"/>
    <n v="6384"/>
    <n v="6"/>
    <s v="Active"/>
  </r>
  <r>
    <s v="80-441-7249"/>
    <s v="Wild Rice"/>
    <x v="0"/>
    <s v="35-979-6839"/>
    <s v="Yoveo"/>
    <n v="98"/>
    <n v="30"/>
    <n v="39"/>
    <s v="Sufficient"/>
    <n v="0"/>
    <s v="Normal"/>
    <s v=" 10.00  "/>
    <n v="980"/>
    <d v="2024-11-25T00:00:00"/>
    <d v="2024-04-14T00:00:00"/>
    <d v="2024-08-10T00:00:00"/>
    <n v="458"/>
    <n v="683"/>
    <n v="565"/>
    <s v="Safe"/>
    <s v="652 High Crossing Lane"/>
    <n v="31"/>
    <n v="30380"/>
    <n v="26"/>
    <s v="Active"/>
  </r>
  <r>
    <s v="54-708-7327"/>
    <s v="Jasmine Rice"/>
    <x v="0"/>
    <s v="46-316-6919"/>
    <s v="Linktype"/>
    <n v="50"/>
    <n v="14"/>
    <n v="99"/>
    <s v="Sufficient"/>
    <n v="0"/>
    <s v="Normal"/>
    <s v=" 4.75  "/>
    <n v="237.5"/>
    <d v="2025-09-01T00:00:00"/>
    <d v="2024-03-28T00:00:00"/>
    <d v="2024-04-15T00:00:00"/>
    <n v="178"/>
    <n v="700"/>
    <n v="682"/>
    <s v="Safe"/>
    <s v="8182 Hazelcrest Place"/>
    <n v="52"/>
    <n v="12350"/>
    <n v="75"/>
    <s v="Active"/>
  </r>
  <r>
    <s v="15-846-7959"/>
    <s v="Zucchini"/>
    <x v="2"/>
    <s v="47-026-0505"/>
    <s v="Vidoo"/>
    <n v="98"/>
    <n v="14"/>
    <n v="11"/>
    <s v="Sufficient"/>
    <n v="0"/>
    <s v="Normal"/>
    <s v=" 2.50  "/>
    <n v="245"/>
    <d v="2024-04-17T00:00:00"/>
    <d v="2024-01-12T00:00:00"/>
    <d v="2024-03-20T00:00:00"/>
    <n v="680"/>
    <n v="776"/>
    <n v="708"/>
    <s v="Safe"/>
    <s v="6251 Eliot Hill"/>
    <n v="48"/>
    <n v="11760"/>
    <n v="38"/>
    <s v="Discontinued"/>
  </r>
  <r>
    <s v="44-368-7112"/>
    <s v="Corn Oil"/>
    <x v="3"/>
    <s v="85-978-7855"/>
    <s v="Devbug"/>
    <n v="28"/>
    <n v="32"/>
    <n v="71"/>
    <s v="Require"/>
    <n v="32"/>
    <s v="Normal"/>
    <s v=" 2.50  "/>
    <n v="70"/>
    <d v="2024-12-22T00:00:00"/>
    <d v="2024-02-05T00:00:00"/>
    <d v="2024-12-06T00:00:00"/>
    <n v="431"/>
    <n v="752"/>
    <n v="447"/>
    <s v="Expiring Soon"/>
    <s v="82 Hintze Court"/>
    <n v="32"/>
    <n v="2240"/>
    <n v="49"/>
    <s v="Discontinued"/>
  </r>
  <r>
    <s v="03-833-3577"/>
    <s v="Cucumber"/>
    <x v="2"/>
    <s v="87-032-6971"/>
    <s v="Kanoodle"/>
    <n v="67"/>
    <n v="14"/>
    <n v="25"/>
    <s v="Sufficient"/>
    <n v="0"/>
    <s v="Normal"/>
    <s v=" 1.80  "/>
    <n v="120.60000000000001"/>
    <d v="2024-02-05T00:00:00"/>
    <d v="2024-08-20T00:00:00"/>
    <d v="2024-10-16T00:00:00"/>
    <n v="752"/>
    <n v="555"/>
    <n v="498"/>
    <s v="Expiring Soon"/>
    <s v="38 Killdeer Point"/>
    <n v="81"/>
    <n v="9768.6"/>
    <n v="77"/>
    <s v="Active"/>
  </r>
  <r>
    <s v="47-548-6500"/>
    <s v="Onion"/>
    <x v="2"/>
    <s v="27-061-4764"/>
    <s v="Devpulse"/>
    <n v="20"/>
    <n v="93"/>
    <n v="37"/>
    <s v="Require"/>
    <n v="93"/>
    <s v="High Priority"/>
    <s v=" 2.00  "/>
    <n v="40"/>
    <d v="2024-10-20T00:00:00"/>
    <d v="2024-07-03T00:00:00"/>
    <d v="2024-12-25T00:00:00"/>
    <n v="494"/>
    <n v="603"/>
    <n v="428"/>
    <s v="Expiring Soon"/>
    <s v="06 Shopko Pass"/>
    <n v="23"/>
    <n v="920"/>
    <n v="2"/>
    <s v="Discontinued"/>
  </r>
  <r>
    <s v="12-342-4482"/>
    <s v="Trout"/>
    <x v="6"/>
    <s v="71-300-8176"/>
    <s v="Topicblab"/>
    <n v="67"/>
    <n v="83"/>
    <n v="90"/>
    <s v="Require"/>
    <n v="83"/>
    <s v="High Priority"/>
    <s v=" 11.60  "/>
    <n v="777.19999999999993"/>
    <d v="2024-10-27T00:00:00"/>
    <d v="2024-09-30T00:00:00"/>
    <d v="2024-08-29T00:00:00"/>
    <n v="487"/>
    <n v="514"/>
    <n v="546"/>
    <s v="Expiring Soon"/>
    <s v="374 Blue Bill Park Point"/>
    <n v="66"/>
    <n v="51295.199999999997"/>
    <n v="77"/>
    <s v="Active"/>
  </r>
  <r>
    <s v="07-834-3320"/>
    <s v="Egg (Quail)"/>
    <x v="4"/>
    <s v="47-831-9154"/>
    <s v="Trunyx"/>
    <n v="94"/>
    <n v="60"/>
    <n v="78"/>
    <s v="Sufficient"/>
    <n v="0"/>
    <s v="Normal"/>
    <s v=" 0.80  "/>
    <n v="75.2"/>
    <d v="2024-08-12T00:00:00"/>
    <d v="2024-07-03T00:00:00"/>
    <d v="2024-09-20T00:00:00"/>
    <n v="563"/>
    <n v="603"/>
    <n v="524"/>
    <s v="Expiring Soon"/>
    <s v="79 Monterey Avenue"/>
    <n v="100"/>
    <n v="7520"/>
    <n v="42"/>
    <s v="Active"/>
  </r>
  <r>
    <s v="16-187-5729"/>
    <s v="Black Tea"/>
    <x v="1"/>
    <s v="79-366-7207"/>
    <s v="Zoombeat"/>
    <n v="45"/>
    <n v="58"/>
    <n v="84"/>
    <s v="Require"/>
    <n v="58"/>
    <s v="Normal"/>
    <s v=" 5.00  "/>
    <n v="225"/>
    <d v="2025-06-01T00:00:00"/>
    <d v="2024-03-21T00:00:00"/>
    <d v="2024-03-30T00:00:00"/>
    <n v="270"/>
    <n v="707"/>
    <n v="698"/>
    <s v="Safe"/>
    <s v="22555 Macpherson Plaza"/>
    <n v="90"/>
    <n v="20250"/>
    <n v="67"/>
    <s v="Active"/>
  </r>
  <r>
    <s v="64-109-7362"/>
    <s v="Anchovies"/>
    <x v="6"/>
    <s v="38-603-6412"/>
    <s v="Voolia"/>
    <n v="86"/>
    <n v="55"/>
    <n v="96"/>
    <s v="Sufficient"/>
    <n v="0"/>
    <s v="Normal"/>
    <s v=" 10.00  "/>
    <n v="860"/>
    <d v="2024-12-19T00:00:00"/>
    <d v="2024-09-07T00:00:00"/>
    <d v="2024-09-29T00:00:00"/>
    <n v="434"/>
    <n v="537"/>
    <n v="515"/>
    <s v="Expiring Soon"/>
    <s v="7 Harper Drive"/>
    <n v="37"/>
    <n v="31820"/>
    <n v="53"/>
    <s v="Backordered"/>
  </r>
  <r>
    <s v="06-655-5498"/>
    <s v="Wild Rice"/>
    <x v="0"/>
    <s v="89-574-3430"/>
    <s v="Kayveo"/>
    <n v="72"/>
    <n v="82"/>
    <n v="52"/>
    <s v="Require"/>
    <n v="82"/>
    <s v="High Priority"/>
    <s v=" 9.75  "/>
    <n v="702"/>
    <d v="2024-03-08T00:00:00"/>
    <d v="2024-09-07T00:00:00"/>
    <d v="2024-09-28T00:00:00"/>
    <n v="720"/>
    <n v="537"/>
    <n v="516"/>
    <s v="Expiring Soon"/>
    <s v="8569 Bashford Court"/>
    <n v="51"/>
    <n v="35802"/>
    <n v="95"/>
    <s v="Backordered"/>
  </r>
  <r>
    <s v="24-975-4231"/>
    <s v="Green Beans"/>
    <x v="2"/>
    <s v="99-145-4924"/>
    <s v="Jayo"/>
    <n v="31"/>
    <n v="61"/>
    <n v="28"/>
    <s v="Require"/>
    <n v="61"/>
    <s v="High Priority"/>
    <s v=" 2.10  "/>
    <n v="65.100000000000009"/>
    <d v="2024-10-03T00:00:00"/>
    <d v="2024-09-07T00:00:00"/>
    <d v="2024-08-17T00:00:00"/>
    <n v="511"/>
    <n v="537"/>
    <n v="558"/>
    <s v="Safe"/>
    <s v="62494 Longview Drive"/>
    <n v="55"/>
    <n v="3580.5000000000005"/>
    <n v="70"/>
    <s v="Active"/>
  </r>
  <r>
    <s v="98-652-9569"/>
    <s v="Butter Biscuit"/>
    <x v="5"/>
    <s v="65-160-1426"/>
    <s v="Ooba"/>
    <n v="12"/>
    <n v="7"/>
    <n v="23"/>
    <s v="Sufficient"/>
    <n v="0"/>
    <s v="Normal"/>
    <s v=" 6.00  "/>
    <n v="72"/>
    <d v="2025-06-02T00:00:00"/>
    <d v="2025-02-17T00:00:00"/>
    <d v="2024-06-23T00:00:00"/>
    <n v="269"/>
    <n v="374"/>
    <n v="613"/>
    <s v="Safe"/>
    <s v="32 6th Lane"/>
    <n v="72"/>
    <n v="5184"/>
    <n v="16"/>
    <s v="Discontinued"/>
  </r>
  <r>
    <s v="25-522-6043"/>
    <s v="Gouda Cheese"/>
    <x v="4"/>
    <s v="29-122-7037"/>
    <s v="Kazu"/>
    <n v="71"/>
    <n v="93"/>
    <n v="75"/>
    <s v="Require"/>
    <n v="93"/>
    <s v="High Priority"/>
    <s v=" 7.00  "/>
    <n v="497"/>
    <d v="2024-09-10T00:00:00"/>
    <d v="2024-08-19T00:00:00"/>
    <d v="2025-02-03T00:00:00"/>
    <n v="534"/>
    <n v="556"/>
    <n v="388"/>
    <s v="Expiring Soon"/>
    <s v="890 Eggendart Pass"/>
    <n v="77"/>
    <n v="38269"/>
    <n v="58"/>
    <s v="Discontinued"/>
  </r>
  <r>
    <s v="28-275-5901"/>
    <s v="Anchovies"/>
    <x v="6"/>
    <s v="44-760-4337"/>
    <s v="Jatri"/>
    <n v="64"/>
    <n v="1"/>
    <n v="92"/>
    <s v="Sufficient"/>
    <n v="0"/>
    <s v="Normal"/>
    <s v=" 10.00  "/>
    <n v="640"/>
    <d v="2024-05-04T00:00:00"/>
    <d v="2024-04-23T00:00:00"/>
    <d v="2025-01-24T00:00:00"/>
    <n v="663"/>
    <n v="674"/>
    <n v="398"/>
    <s v="Expiring Soon"/>
    <s v="4 Doe Crossing Avenue"/>
    <n v="49"/>
    <n v="31360"/>
    <n v="15"/>
    <s v="Active"/>
  </r>
  <r>
    <s v="96-164-0607"/>
    <s v="Coconut Oil"/>
    <x v="3"/>
    <s v="15-655-3923"/>
    <s v="Browsezoom"/>
    <n v="89"/>
    <n v="79"/>
    <n v="66"/>
    <s v="Sufficient"/>
    <n v="0"/>
    <s v="Normal"/>
    <s v=" 5.00  "/>
    <n v="445"/>
    <d v="2024-07-31T00:00:00"/>
    <d v="2024-12-20T00:00:00"/>
    <d v="2024-10-17T00:00:00"/>
    <n v="575"/>
    <n v="433"/>
    <n v="497"/>
    <s v="Expiring Soon"/>
    <s v="1275 Lawn Center"/>
    <n v="91"/>
    <n v="40495"/>
    <n v="31"/>
    <s v="Discontinued"/>
  </r>
  <r>
    <s v="93-815-0565"/>
    <s v="Sesame Oil"/>
    <x v="3"/>
    <s v="56-422-1480"/>
    <s v="Jaxworks"/>
    <n v="50"/>
    <n v="36"/>
    <n v="96"/>
    <s v="Sufficient"/>
    <n v="0"/>
    <s v="Normal"/>
    <s v=" 6.50  "/>
    <n v="325"/>
    <d v="2024-12-12T00:00:00"/>
    <d v="2024-12-08T00:00:00"/>
    <d v="2024-07-01T00:00:00"/>
    <n v="441"/>
    <n v="445"/>
    <n v="605"/>
    <s v="Safe"/>
    <s v="8868 Armistice Place"/>
    <n v="53"/>
    <n v="17225"/>
    <n v="73"/>
    <s v="Backordered"/>
  </r>
  <r>
    <s v="63-918-8253"/>
    <s v="Mango"/>
    <x v="2"/>
    <s v="94-157-1762"/>
    <s v="Devpulse"/>
    <n v="53"/>
    <n v="98"/>
    <n v="23"/>
    <s v="Require"/>
    <n v="98"/>
    <s v="High Priority"/>
    <s v=" 5.00  "/>
    <n v="265"/>
    <d v="2025-02-24T00:00:00"/>
    <d v="2024-04-07T00:00:00"/>
    <d v="2024-09-29T00:00:00"/>
    <n v="367"/>
    <n v="690"/>
    <n v="515"/>
    <s v="Expiring Soon"/>
    <s v="917 Westerfield Terrace"/>
    <n v="41"/>
    <n v="10865"/>
    <n v="84"/>
    <s v="Backordered"/>
  </r>
  <r>
    <s v="57-167-0669"/>
    <s v="Haddock"/>
    <x v="6"/>
    <s v="30-934-3251"/>
    <s v="Rhybox"/>
    <n v="19"/>
    <n v="99"/>
    <n v="78"/>
    <s v="Require"/>
    <n v="99"/>
    <s v="High Priority"/>
    <s v=" 9.00  "/>
    <n v="171"/>
    <d v="2024-11-21T00:00:00"/>
    <d v="2025-02-17T00:00:00"/>
    <d v="2024-12-30T00:00:00"/>
    <n v="462"/>
    <n v="374"/>
    <n v="423"/>
    <s v="Expiring Soon"/>
    <s v="1005 Lyons Junction"/>
    <n v="29"/>
    <n v="4959"/>
    <n v="54"/>
    <s v="Discontinued"/>
  </r>
  <r>
    <s v="52-402-9245"/>
    <s v="Broccoli"/>
    <x v="2"/>
    <s v="37-519-7762"/>
    <s v="Plajo"/>
    <n v="89"/>
    <n v="40"/>
    <n v="64"/>
    <s v="Sufficient"/>
    <n v="0"/>
    <s v="Normal"/>
    <s v=" 4.00  "/>
    <n v="356"/>
    <d v="2024-10-16T00:00:00"/>
    <d v="2025-12-02T00:00:00"/>
    <d v="2024-09-19T00:00:00"/>
    <n v="498"/>
    <n v="86"/>
    <n v="525"/>
    <s v="Expiring Soon"/>
    <s v="185 Stone Corner Parkway"/>
    <n v="93"/>
    <n v="33108"/>
    <n v="48"/>
    <s v="Active"/>
  </r>
  <r>
    <s v="17-647-0503"/>
    <s v="Cod"/>
    <x v="6"/>
    <s v="69-416-9493"/>
    <s v="Katz"/>
    <n v="96"/>
    <n v="12"/>
    <n v="8"/>
    <s v="Sufficient"/>
    <n v="0"/>
    <s v="Normal"/>
    <s v=" 8.00  "/>
    <n v="768"/>
    <d v="2024-11-05T00:00:00"/>
    <d v="2024-05-24T00:00:00"/>
    <d v="2024-08-20T00:00:00"/>
    <n v="478"/>
    <n v="643"/>
    <n v="555"/>
    <s v="Safe"/>
    <s v="0 Village Green Street"/>
    <n v="97"/>
    <n v="74496"/>
    <n v="92"/>
    <s v="Active"/>
  </r>
  <r>
    <s v="67-984-5368"/>
    <s v="Parmesan Cheese"/>
    <x v="4"/>
    <s v="39-714-7313"/>
    <s v="Yakidoo"/>
    <n v="52"/>
    <n v="56"/>
    <n v="34"/>
    <s v="Require"/>
    <n v="56"/>
    <s v="Normal"/>
    <s v=" 12.00  "/>
    <n v="624"/>
    <d v="2024-09-27T00:00:00"/>
    <d v="2024-04-10T00:00:00"/>
    <d v="2024-07-28T00:00:00"/>
    <n v="517"/>
    <n v="687"/>
    <n v="578"/>
    <s v="Safe"/>
    <s v="0 Fordem Place"/>
    <n v="31"/>
    <n v="19344"/>
    <n v="69"/>
    <s v="Backordered"/>
  </r>
  <r>
    <s v="77-827-0820"/>
    <s v="Sesame Oil"/>
    <x v="3"/>
    <s v="46-590-7639"/>
    <s v="Youopia"/>
    <n v="97"/>
    <n v="20"/>
    <n v="8"/>
    <s v="Sufficient"/>
    <n v="0"/>
    <s v="Normal"/>
    <s v=" 6.50  "/>
    <n v="630.5"/>
    <d v="2024-06-16T00:00:00"/>
    <d v="2024-06-11T00:00:00"/>
    <d v="2024-11-09T00:00:00"/>
    <n v="620"/>
    <n v="625"/>
    <n v="474"/>
    <s v="Expiring Soon"/>
    <s v="8851 Superior Park"/>
    <n v="51"/>
    <n v="32155.5"/>
    <n v="51"/>
    <s v="Active"/>
  </r>
  <r>
    <s v="27-387-0428"/>
    <s v="Halibut"/>
    <x v="6"/>
    <s v="62-312-2748"/>
    <s v="Camido"/>
    <n v="88"/>
    <n v="42"/>
    <n v="68"/>
    <s v="Sufficient"/>
    <n v="0"/>
    <s v="Normal"/>
    <s v=" 20.00  "/>
    <n v="1760"/>
    <d v="2024-06-23T00:00:00"/>
    <d v="2024-11-29T00:00:00"/>
    <d v="2024-04-09T00:00:00"/>
    <n v="613"/>
    <n v="454"/>
    <n v="688"/>
    <s v="Safe"/>
    <s v="1715 Dottie Pass"/>
    <n v="92"/>
    <n v="161920"/>
    <n v="29"/>
    <s v="Active"/>
  </r>
  <r>
    <s v="79-350-5841"/>
    <s v="Jasmine Rice"/>
    <x v="0"/>
    <s v="81-676-3345"/>
    <s v="Gabvine"/>
    <n v="33"/>
    <n v="44"/>
    <n v="89"/>
    <s v="Require"/>
    <n v="44"/>
    <s v="Normal"/>
    <s v=" 4.75  "/>
    <n v="156.75"/>
    <d v="2024-03-15T00:00:00"/>
    <d v="2024-05-09T00:00:00"/>
    <d v="2024-04-17T00:00:00"/>
    <n v="713"/>
    <n v="658"/>
    <n v="680"/>
    <s v="Safe"/>
    <s v="75 Cascade Avenue"/>
    <n v="93"/>
    <n v="14577.75"/>
    <n v="19"/>
    <s v="Discontinued"/>
  </r>
  <r>
    <s v="44-128-2185"/>
    <s v="Jasmine Rice"/>
    <x v="0"/>
    <s v="79-091-7381"/>
    <s v="Katz"/>
    <n v="98"/>
    <n v="20"/>
    <n v="81"/>
    <s v="Sufficient"/>
    <n v="0"/>
    <s v="Normal"/>
    <s v=" 4.75  "/>
    <n v="465.5"/>
    <d v="2024-08-14T00:00:00"/>
    <d v="2024-10-07T00:00:00"/>
    <d v="2024-12-30T00:00:00"/>
    <n v="561"/>
    <n v="507"/>
    <n v="423"/>
    <s v="Expiring Soon"/>
    <s v="012 Mockingbird Court"/>
    <n v="51"/>
    <n v="23740.5"/>
    <n v="23"/>
    <s v="Backordered"/>
  </r>
  <r>
    <s v="48-789-9187"/>
    <s v="Peach"/>
    <x v="2"/>
    <s v="95-944-5323"/>
    <s v="Browsetype"/>
    <n v="45"/>
    <n v="79"/>
    <n v="95"/>
    <s v="Require"/>
    <n v="79"/>
    <s v="High Priority"/>
    <s v=" 4.00  "/>
    <n v="180"/>
    <d v="2024-06-12T00:00:00"/>
    <d v="2024-06-26T00:00:00"/>
    <d v="2024-11-15T00:00:00"/>
    <n v="624"/>
    <n v="610"/>
    <n v="468"/>
    <s v="Expiring Soon"/>
    <s v="41 Stephen Crossing"/>
    <n v="84"/>
    <n v="15120"/>
    <n v="62"/>
    <s v="Backordered"/>
  </r>
  <r>
    <s v="21-809-7115"/>
    <s v="White Rice"/>
    <x v="0"/>
    <s v="57-774-4116"/>
    <s v="Tagcat"/>
    <n v="80"/>
    <n v="86"/>
    <n v="50"/>
    <s v="Require"/>
    <n v="86"/>
    <s v="High Priority"/>
    <s v=" 1.80  "/>
    <n v="144"/>
    <d v="2024-05-05T00:00:00"/>
    <d v="2024-07-22T00:00:00"/>
    <d v="2025-02-24T00:00:00"/>
    <n v="662"/>
    <n v="584"/>
    <n v="367"/>
    <s v="Expiring Soon"/>
    <s v="3053 Sachs Center"/>
    <n v="46"/>
    <n v="6624"/>
    <n v="69"/>
    <s v="Discontinued"/>
  </r>
  <r>
    <s v="19-323-0506"/>
    <s v="Halibut"/>
    <x v="6"/>
    <s v="28-977-3789"/>
    <s v="Skidoo"/>
    <n v="68"/>
    <n v="43"/>
    <n v="96"/>
    <s v="Sufficient"/>
    <n v="0"/>
    <s v="Normal"/>
    <s v=" 20.00  "/>
    <n v="1360"/>
    <d v="2024-11-17T00:00:00"/>
    <d v="2024-04-28T00:00:00"/>
    <d v="2024-10-15T00:00:00"/>
    <n v="466"/>
    <n v="669"/>
    <n v="499"/>
    <s v="Expiring Soon"/>
    <s v="5 Ohio Lane"/>
    <n v="75"/>
    <n v="102000"/>
    <n v="35"/>
    <s v="Backordered"/>
  </r>
  <r>
    <s v="04-637-8815"/>
    <s v="Apricot"/>
    <x v="2"/>
    <s v="60-959-6355"/>
    <s v="Zoonder"/>
    <n v="90"/>
    <n v="91"/>
    <n v="62"/>
    <s v="Require"/>
    <n v="91"/>
    <s v="High Priority"/>
    <s v=" 5.00  "/>
    <n v="450"/>
    <d v="2024-11-24T00:00:00"/>
    <d v="2024-11-27T00:00:00"/>
    <d v="2024-11-24T00:00:00"/>
    <n v="459"/>
    <n v="456"/>
    <n v="459"/>
    <s v="Expiring Soon"/>
    <s v="537 Maple Alley"/>
    <n v="34"/>
    <n v="15300"/>
    <n v="72"/>
    <s v="Active"/>
  </r>
  <r>
    <s v="60-644-6596"/>
    <s v="Trout"/>
    <x v="6"/>
    <s v="32-745-8366"/>
    <s v="Rhynoodle"/>
    <n v="89"/>
    <n v="67"/>
    <n v="89"/>
    <s v="Sufficient"/>
    <n v="0"/>
    <s v="Normal"/>
    <s v=" 12.00  "/>
    <n v="1068"/>
    <d v="2025-02-14T00:00:00"/>
    <d v="2025-05-01T00:00:00"/>
    <d v="2024-11-10T00:00:00"/>
    <n v="377"/>
    <n v="301"/>
    <n v="473"/>
    <s v="Expiring Soon"/>
    <s v="22 Hudson Pass"/>
    <n v="96"/>
    <n v="102528"/>
    <n v="42"/>
    <s v="Discontinued"/>
  </r>
  <r>
    <s v="58-005-5343"/>
    <s v="Cucumber"/>
    <x v="2"/>
    <s v="83-401-2709"/>
    <s v="Youbridge"/>
    <n v="38"/>
    <n v="94"/>
    <n v="87"/>
    <s v="Require"/>
    <n v="94"/>
    <s v="High Priority"/>
    <s v=" 1.80  "/>
    <n v="68.400000000000006"/>
    <d v="2024-05-27T00:00:00"/>
    <d v="2024-03-05T00:00:00"/>
    <d v="2024-08-21T00:00:00"/>
    <n v="640"/>
    <n v="723"/>
    <n v="554"/>
    <s v="Safe"/>
    <s v="43211 Lakeland Place"/>
    <n v="89"/>
    <n v="6087.6"/>
    <n v="100"/>
    <s v="Discontinued"/>
  </r>
  <r>
    <s v="67-382-4435"/>
    <s v="Green Beans"/>
    <x v="2"/>
    <s v="49-901-0828"/>
    <s v="Fivespan"/>
    <n v="99"/>
    <n v="37"/>
    <n v="74"/>
    <s v="Sufficient"/>
    <n v="0"/>
    <s v="Normal"/>
    <s v=" 2.10  "/>
    <n v="207.9"/>
    <d v="2024-07-25T00:00:00"/>
    <d v="2024-12-21T00:00:00"/>
    <d v="2024-03-02T00:00:00"/>
    <n v="581"/>
    <n v="432"/>
    <n v="726"/>
    <s v="Safe"/>
    <s v="92 Bartelt Terrace"/>
    <n v="46"/>
    <n v="9563.4"/>
    <n v="46"/>
    <s v="Active"/>
  </r>
  <r>
    <s v="09-335-7793"/>
    <s v="Powdered Sugar"/>
    <x v="0"/>
    <s v="96-918-7047"/>
    <s v="Topicshots"/>
    <n v="66"/>
    <n v="19"/>
    <n v="20"/>
    <s v="Sufficient"/>
    <n v="0"/>
    <s v="Normal"/>
    <s v=" 2.40  "/>
    <n v="158.4"/>
    <d v="2024-09-18T00:00:00"/>
    <d v="2024-07-09T00:00:00"/>
    <d v="2024-06-01T00:00:00"/>
    <n v="526"/>
    <n v="597"/>
    <n v="635"/>
    <s v="Safe"/>
    <s v="5649 Vidon Plaza"/>
    <n v="30"/>
    <n v="4752"/>
    <n v="49"/>
    <s v="Active"/>
  </r>
  <r>
    <s v="46-496-2930"/>
    <s v="Pomegranate"/>
    <x v="2"/>
    <s v="29-295-9755"/>
    <s v="Eare"/>
    <n v="66"/>
    <n v="28"/>
    <n v="7"/>
    <s v="Sufficient"/>
    <n v="0"/>
    <s v="Normal"/>
    <s v=" 6.00  "/>
    <n v="396"/>
    <d v="2024-04-27T00:00:00"/>
    <d v="2024-10-26T00:00:00"/>
    <d v="2024-08-14T00:00:00"/>
    <n v="670"/>
    <n v="488"/>
    <n v="561"/>
    <s v="Safe"/>
    <s v="156 Golf Course Alley"/>
    <n v="85"/>
    <n v="33660"/>
    <n v="6"/>
    <s v="Backordered"/>
  </r>
  <r>
    <s v="35-353-4068"/>
    <s v="Bread Flour"/>
    <x v="0"/>
    <s v="44-199-6832"/>
    <s v="Jetpulse"/>
    <n v="64"/>
    <n v="11"/>
    <n v="97"/>
    <s v="Sufficient"/>
    <n v="0"/>
    <s v="Normal"/>
    <s v=" 1.50  "/>
    <n v="96"/>
    <d v="2024-12-26T00:00:00"/>
    <d v="2024-12-18T00:00:00"/>
    <d v="2024-07-05T00:00:00"/>
    <n v="427"/>
    <n v="435"/>
    <n v="601"/>
    <s v="Safe"/>
    <s v="8583 Northwestern Terrace"/>
    <n v="33"/>
    <n v="3168"/>
    <n v="83"/>
    <s v="Discontinued"/>
  </r>
  <r>
    <s v="45-050-4720"/>
    <s v="Black Rice"/>
    <x v="0"/>
    <s v="98-791-5014"/>
    <s v="Voonder"/>
    <n v="18"/>
    <n v="78"/>
    <n v="43"/>
    <s v="Require"/>
    <n v="78"/>
    <s v="High Priority"/>
    <s v=" 6.00  "/>
    <n v="108"/>
    <d v="2025-04-01T00:00:00"/>
    <d v="2024-05-07T00:00:00"/>
    <d v="2024-03-13T00:00:00"/>
    <n v="331"/>
    <n v="660"/>
    <n v="715"/>
    <s v="Safe"/>
    <s v="7 Ridge Oak Pass"/>
    <n v="85"/>
    <n v="9180"/>
    <n v="97"/>
    <s v="Active"/>
  </r>
  <r>
    <s v="87-104-0187"/>
    <s v="Whole Wheat Flour"/>
    <x v="0"/>
    <s v="41-881-1166"/>
    <s v="Rhyloo"/>
    <n v="86"/>
    <n v="100"/>
    <n v="78"/>
    <s v="Require"/>
    <n v="100"/>
    <s v="High Priority"/>
    <s v=" 2.75  "/>
    <n v="236.5"/>
    <d v="2024-06-04T00:00:00"/>
    <d v="2024-05-28T00:00:00"/>
    <d v="2025-02-05T00:00:00"/>
    <n v="632"/>
    <n v="639"/>
    <n v="386"/>
    <s v="Expiring Soon"/>
    <s v="0 Moose Lane"/>
    <n v="52"/>
    <n v="12298"/>
    <n v="91"/>
    <s v="Backordered"/>
  </r>
  <r>
    <s v="85-806-8672"/>
    <s v="Black Tea"/>
    <x v="1"/>
    <s v="44-646-7502"/>
    <s v="Kare"/>
    <n v="35"/>
    <n v="88"/>
    <n v="87"/>
    <s v="Require"/>
    <n v="88"/>
    <s v="High Priority"/>
    <s v=" 4.70  "/>
    <n v="164.5"/>
    <d v="2024-05-04T00:00:00"/>
    <d v="2024-12-10T00:00:00"/>
    <d v="2024-11-21T00:00:00"/>
    <n v="663"/>
    <n v="443"/>
    <n v="462"/>
    <s v="Expiring Soon"/>
    <s v="24 South Trail"/>
    <n v="39"/>
    <n v="6415.5"/>
    <n v="62"/>
    <s v="Active"/>
  </r>
  <r>
    <s v="54-281-3746"/>
    <s v="Green Beans"/>
    <x v="2"/>
    <s v="08-824-4585"/>
    <s v="Viva"/>
    <n v="26"/>
    <n v="70"/>
    <n v="52"/>
    <s v="Require"/>
    <n v="70"/>
    <s v="High Priority"/>
    <s v=" 2.00  "/>
    <n v="52"/>
    <d v="2024-07-09T00:00:00"/>
    <d v="2024-10-03T00:00:00"/>
    <d v="2024-11-03T00:00:00"/>
    <n v="597"/>
    <n v="511"/>
    <n v="480"/>
    <s v="Expiring Soon"/>
    <s v="00 Ridgeway Plaza"/>
    <n v="36"/>
    <n v="1872"/>
    <n v="10"/>
    <s v="Discontinued"/>
  </r>
  <r>
    <s v="35-257-9312"/>
    <s v="Parmesan Cheese"/>
    <x v="4"/>
    <s v="35-927-4986"/>
    <s v="Photospace"/>
    <n v="80"/>
    <n v="100"/>
    <n v="48"/>
    <s v="Require"/>
    <n v="100"/>
    <s v="High Priority"/>
    <s v=" 12.00  "/>
    <n v="960"/>
    <d v="2024-08-18T00:00:00"/>
    <d v="2024-12-10T00:00:00"/>
    <d v="2024-04-06T00:00:00"/>
    <n v="557"/>
    <n v="443"/>
    <n v="691"/>
    <s v="Safe"/>
    <s v="9463 Northland Court"/>
    <n v="100"/>
    <n v="96000"/>
    <n v="28"/>
    <s v="Backordered"/>
  </r>
  <r>
    <s v="63-897-8088"/>
    <s v="Zucchini"/>
    <x v="2"/>
    <s v="82-313-4469"/>
    <s v="Skibox"/>
    <n v="63"/>
    <n v="56"/>
    <n v="33"/>
    <s v="Sufficient"/>
    <n v="0"/>
    <s v="Normal"/>
    <s v=" 2.50  "/>
    <n v="157.5"/>
    <d v="2025-09-01T00:00:00"/>
    <d v="2024-07-06T00:00:00"/>
    <d v="2024-10-16T00:00:00"/>
    <n v="178"/>
    <n v="600"/>
    <n v="498"/>
    <s v="Expiring Soon"/>
    <s v="7944 Elgar Alley"/>
    <n v="35"/>
    <n v="5512.5"/>
    <n v="16"/>
    <s v="Backordered"/>
  </r>
  <r>
    <s v="24-986-5091"/>
    <s v="Vanilla Biscuit"/>
    <x v="5"/>
    <s v="51-076-1164"/>
    <s v="Ozu"/>
    <n v="89"/>
    <n v="22"/>
    <n v="23"/>
    <s v="Sufficient"/>
    <n v="0"/>
    <s v="Normal"/>
    <s v=" 5.50  "/>
    <n v="489.5"/>
    <d v="2024-12-05T00:00:00"/>
    <d v="2024-06-25T00:00:00"/>
    <d v="2024-08-14T00:00:00"/>
    <n v="448"/>
    <n v="611"/>
    <n v="561"/>
    <s v="Safe"/>
    <s v="88 Lighthouse Bay Crossing"/>
    <n v="83"/>
    <n v="40628.5"/>
    <n v="25"/>
    <s v="Discontinued"/>
  </r>
  <r>
    <s v="17-504-3699"/>
    <s v="Sweet Potato"/>
    <x v="2"/>
    <s v="81-276-8218"/>
    <s v="Jaxworks"/>
    <n v="80"/>
    <n v="60"/>
    <n v="71"/>
    <s v="Sufficient"/>
    <n v="0"/>
    <s v="Normal"/>
    <s v=" 2.00  "/>
    <n v="160"/>
    <d v="2024-08-10T00:00:00"/>
    <d v="2024-06-15T00:00:00"/>
    <d v="2024-08-17T00:00:00"/>
    <n v="565"/>
    <n v="621"/>
    <n v="558"/>
    <s v="Safe"/>
    <s v="18 Daystar Parkway"/>
    <n v="98"/>
    <n v="15680"/>
    <n v="13"/>
    <s v="Active"/>
  </r>
  <r>
    <s v="23-395-3157"/>
    <s v="Vegetable Oil"/>
    <x v="3"/>
    <s v="48-538-8538"/>
    <s v="Tagtune"/>
    <n v="41"/>
    <n v="66"/>
    <n v="50"/>
    <s v="Require"/>
    <n v="66"/>
    <s v="High Priority"/>
    <s v=" 2.00  "/>
    <n v="82"/>
    <d v="2025-02-18T00:00:00"/>
    <d v="2024-07-30T00:00:00"/>
    <d v="2024-03-16T00:00:00"/>
    <n v="373"/>
    <n v="576"/>
    <n v="712"/>
    <s v="Safe"/>
    <s v="74 Sugar Plaza"/>
    <n v="55"/>
    <n v="4510"/>
    <n v="74"/>
    <s v="Backordered"/>
  </r>
  <r>
    <s v="28-107-4953"/>
    <s v="Chocolate Biscuit"/>
    <x v="5"/>
    <s v="01-165-8830"/>
    <s v="Babbleblab"/>
    <n v="53"/>
    <n v="19"/>
    <n v="94"/>
    <s v="Sufficient"/>
    <n v="0"/>
    <s v="Normal"/>
    <s v=" 5.00  "/>
    <n v="265"/>
    <d v="2024-03-29T00:00:00"/>
    <d v="2024-12-11T00:00:00"/>
    <d v="2024-10-18T00:00:00"/>
    <n v="699"/>
    <n v="442"/>
    <n v="496"/>
    <s v="Expiring Soon"/>
    <s v="29755 Daystar Street"/>
    <n v="82"/>
    <n v="21730"/>
    <n v="56"/>
    <s v="Discontinued"/>
  </r>
  <r>
    <s v="46-083-7058"/>
    <s v="Haddock"/>
    <x v="6"/>
    <s v="26-730-0925"/>
    <s v="Devshare"/>
    <n v="61"/>
    <n v="91"/>
    <n v="40"/>
    <s v="Require"/>
    <n v="91"/>
    <s v="High Priority"/>
    <s v=" 9.00  "/>
    <n v="549"/>
    <d v="2025-08-01T00:00:00"/>
    <d v="2024-08-27T00:00:00"/>
    <d v="2024-06-09T00:00:00"/>
    <n v="209"/>
    <n v="548"/>
    <n v="627"/>
    <s v="Safe"/>
    <s v="21530 Prentice Place"/>
    <n v="34"/>
    <n v="18666"/>
    <n v="76"/>
    <s v="Active"/>
  </r>
  <r>
    <s v="68-436-1268"/>
    <s v="Egg (Duck)"/>
    <x v="4"/>
    <s v="10-694-6636"/>
    <s v="Aivee"/>
    <n v="70"/>
    <n v="92"/>
    <n v="74"/>
    <s v="Require"/>
    <n v="92"/>
    <s v="High Priority"/>
    <s v=" 1.00  "/>
    <n v="70"/>
    <d v="2024-11-30T00:00:00"/>
    <d v="2024-08-17T00:00:00"/>
    <d v="2024-07-11T00:00:00"/>
    <n v="453"/>
    <n v="558"/>
    <n v="595"/>
    <s v="Safe"/>
    <s v="1 Mockingbird Parkway"/>
    <n v="95"/>
    <n v="6650"/>
    <n v="26"/>
    <s v="Backordered"/>
  </r>
  <r>
    <s v="93-198-5984"/>
    <s v="Mango"/>
    <x v="2"/>
    <s v="86-441-7850"/>
    <s v="Skalith"/>
    <n v="73"/>
    <n v="69"/>
    <n v="1"/>
    <s v="Sufficient"/>
    <n v="0"/>
    <s v="Normal"/>
    <s v=" 5.00  "/>
    <n v="365"/>
    <d v="2024-05-11T00:00:00"/>
    <d v="2024-05-14T00:00:00"/>
    <d v="2024-09-17T00:00:00"/>
    <n v="656"/>
    <n v="653"/>
    <n v="527"/>
    <s v="Expiring Soon"/>
    <s v="54706 Prairieview Point"/>
    <n v="50"/>
    <n v="18250"/>
    <n v="67"/>
    <s v="Active"/>
  </r>
  <r>
    <s v="24-571-1080"/>
    <s v="Kale"/>
    <x v="2"/>
    <s v="07-520-1107"/>
    <s v="Devshare"/>
    <n v="60"/>
    <n v="15"/>
    <n v="89"/>
    <s v="Sufficient"/>
    <n v="0"/>
    <s v="Normal"/>
    <s v=" 4.00  "/>
    <n v="240"/>
    <d v="2024-07-06T00:00:00"/>
    <d v="2025-02-21T00:00:00"/>
    <d v="2024-04-11T00:00:00"/>
    <n v="600"/>
    <n v="370"/>
    <n v="686"/>
    <s v="Safe"/>
    <s v="5325 Milwaukee Lane"/>
    <n v="21"/>
    <n v="5040"/>
    <n v="29"/>
    <s v="Discontinued"/>
  </r>
  <r>
    <s v="73-874-7534"/>
    <s v="Pomegranate"/>
    <x v="2"/>
    <s v="12-566-2563"/>
    <s v="Twitterwire"/>
    <n v="88"/>
    <n v="24"/>
    <n v="44"/>
    <s v="Sufficient"/>
    <n v="0"/>
    <s v="Normal"/>
    <s v=" 6.00  "/>
    <n v="528"/>
    <d v="2024-05-11T00:00:00"/>
    <d v="2024-08-11T00:00:00"/>
    <d v="2024-12-18T00:00:00"/>
    <n v="656"/>
    <n v="564"/>
    <n v="435"/>
    <s v="Expiring Soon"/>
    <s v="901 Norway Maple Crossing"/>
    <n v="72"/>
    <n v="38016"/>
    <n v="88"/>
    <s v="Backordered"/>
  </r>
  <r>
    <s v="07-337-9889"/>
    <s v="Cauliflower"/>
    <x v="2"/>
    <s v="84-949-8378"/>
    <s v="Twitterwire"/>
    <n v="95"/>
    <n v="6"/>
    <n v="59"/>
    <s v="Sufficient"/>
    <n v="0"/>
    <s v="Normal"/>
    <s v=" 2.50  "/>
    <n v="237.5"/>
    <d v="2024-12-31T00:00:00"/>
    <d v="2024-08-15T00:00:00"/>
    <d v="2024-09-29T00:00:00"/>
    <n v="422"/>
    <n v="560"/>
    <n v="515"/>
    <s v="Expiring Soon"/>
    <s v="4 Loomis Way"/>
    <n v="49"/>
    <n v="11637.5"/>
    <n v="77"/>
    <s v="Active"/>
  </r>
  <r>
    <s v="28-197-9246"/>
    <s v="Powdered Sugar"/>
    <x v="0"/>
    <s v="31-281-2352"/>
    <s v="Riffwire"/>
    <n v="47"/>
    <n v="30"/>
    <n v="16"/>
    <s v="Sufficient"/>
    <n v="0"/>
    <s v="Normal"/>
    <s v=" 2.50  "/>
    <n v="117.5"/>
    <d v="2024-10-03T00:00:00"/>
    <d v="2024-11-07T00:00:00"/>
    <d v="2024-05-23T00:00:00"/>
    <n v="511"/>
    <n v="476"/>
    <n v="644"/>
    <s v="Safe"/>
    <s v="8499 Hanover Terrace"/>
    <n v="22"/>
    <n v="2585"/>
    <n v="81"/>
    <s v="Active"/>
  </r>
  <r>
    <s v="83-400-9746"/>
    <s v="Mozzarella Cheese"/>
    <x v="4"/>
    <s v="02-510-0629"/>
    <s v="Eidel"/>
    <n v="24"/>
    <n v="1"/>
    <n v="65"/>
    <s v="Sufficient"/>
    <n v="0"/>
    <s v="Normal"/>
    <s v=" 7.00  "/>
    <n v="168"/>
    <d v="2024-11-18T00:00:00"/>
    <d v="2024-12-07T00:00:00"/>
    <d v="2024-02-29T00:00:00"/>
    <n v="465"/>
    <n v="446"/>
    <n v="728"/>
    <s v="Safe"/>
    <s v="40 Merchant Terrace"/>
    <n v="58"/>
    <n v="9744"/>
    <n v="61"/>
    <s v="Active"/>
  </r>
  <r>
    <s v="24-579-6500"/>
    <s v="Anchovies"/>
    <x v="6"/>
    <s v="60-309-5783"/>
    <s v="Zoovu"/>
    <n v="93"/>
    <n v="51"/>
    <n v="70"/>
    <s v="Sufficient"/>
    <n v="0"/>
    <s v="Normal"/>
    <s v=" 10.00  "/>
    <n v="930"/>
    <d v="2024-04-22T00:00:00"/>
    <d v="2024-12-06T00:00:00"/>
    <d v="2024-09-04T00:00:00"/>
    <n v="675"/>
    <n v="447"/>
    <n v="540"/>
    <s v="Expiring Soon"/>
    <s v="4 Stang Place"/>
    <n v="81"/>
    <n v="75330"/>
    <n v="18"/>
    <s v="Active"/>
  </r>
  <r>
    <s v="64-418-8356"/>
    <s v="Sunflower Oil"/>
    <x v="3"/>
    <s v="91-451-2016"/>
    <s v="Ooba"/>
    <n v="80"/>
    <n v="24"/>
    <n v="60"/>
    <s v="Sufficient"/>
    <n v="0"/>
    <s v="Normal"/>
    <s v=" 2.50  "/>
    <n v="200"/>
    <d v="2025-01-21T00:00:00"/>
    <d v="2024-11-13T00:00:00"/>
    <d v="2024-04-28T00:00:00"/>
    <n v="401"/>
    <n v="470"/>
    <n v="669"/>
    <s v="Safe"/>
    <s v="1 Green Hill"/>
    <n v="98"/>
    <n v="19600"/>
    <n v="38"/>
    <s v="Active"/>
  </r>
  <r>
    <s v="15-884-7413"/>
    <s v="Apple"/>
    <x v="2"/>
    <s v="39-412-7454"/>
    <s v="Geba"/>
    <n v="77"/>
    <n v="58"/>
    <n v="13"/>
    <s v="Sufficient"/>
    <n v="0"/>
    <s v="Normal"/>
    <s v=" 3.50  "/>
    <n v="269.5"/>
    <d v="2024-06-22T00:00:00"/>
    <d v="2024-05-23T00:00:00"/>
    <d v="2024-04-16T00:00:00"/>
    <n v="614"/>
    <n v="644"/>
    <n v="681"/>
    <s v="Safe"/>
    <s v="6225 Westend Pass"/>
    <n v="63"/>
    <n v="16978.5"/>
    <n v="28"/>
    <s v="Discontinued"/>
  </r>
  <r>
    <s v="79-494-2472"/>
    <s v="Green Beans"/>
    <x v="2"/>
    <s v="04-391-8892"/>
    <s v="Kanoodle"/>
    <n v="42"/>
    <n v="48"/>
    <n v="18"/>
    <s v="Require"/>
    <n v="48"/>
    <s v="Normal"/>
    <s v=" 2.00  "/>
    <n v="84"/>
    <d v="2025-09-01T00:00:00"/>
    <d v="2024-04-19T00:00:00"/>
    <d v="2024-04-23T00:00:00"/>
    <n v="178"/>
    <n v="678"/>
    <n v="674"/>
    <s v="Safe"/>
    <s v="1615 Bellgrove Crossing"/>
    <n v="39"/>
    <n v="3276"/>
    <n v="57"/>
    <s v="Active"/>
  </r>
  <r>
    <s v="36-177-0573"/>
    <s v="Egg (Turkey)"/>
    <x v="4"/>
    <s v="62-687-0951"/>
    <s v="Oyondu"/>
    <n v="92"/>
    <n v="1"/>
    <n v="23"/>
    <s v="Sufficient"/>
    <n v="0"/>
    <s v="Normal"/>
    <s v=" 2.50  "/>
    <n v="230"/>
    <d v="2024-08-27T00:00:00"/>
    <d v="2024-02-10T00:00:00"/>
    <d v="2024-04-13T00:00:00"/>
    <n v="548"/>
    <n v="747"/>
    <n v="684"/>
    <s v="Safe"/>
    <s v="35 Portage Road"/>
    <n v="78"/>
    <n v="17940"/>
    <n v="36"/>
    <s v="Discontinued"/>
  </r>
  <r>
    <s v="79-920-2395"/>
    <s v="Mushrooms"/>
    <x v="2"/>
    <s v="70-825-7341"/>
    <s v="Chatterpoint"/>
    <n v="81"/>
    <n v="23"/>
    <n v="17"/>
    <s v="Sufficient"/>
    <n v="0"/>
    <s v="Normal"/>
    <s v=" 6.25  "/>
    <n v="506.25"/>
    <d v="2024-05-26T00:00:00"/>
    <d v="2024-08-05T00:00:00"/>
    <d v="2024-07-16T00:00:00"/>
    <n v="641"/>
    <n v="570"/>
    <n v="590"/>
    <s v="Safe"/>
    <s v="911 Merry Junction"/>
    <n v="92"/>
    <n v="46575"/>
    <n v="78"/>
    <s v="Active"/>
  </r>
  <r>
    <s v="96-961-2193"/>
    <s v="Jasmine Rice"/>
    <x v="0"/>
    <s v="71-467-4910"/>
    <s v="Babbleset"/>
    <n v="46"/>
    <n v="39"/>
    <n v="11"/>
    <s v="Sufficient"/>
    <n v="0"/>
    <s v="Normal"/>
    <s v=" 4.75  "/>
    <n v="218.5"/>
    <d v="2024-10-10T00:00:00"/>
    <d v="2024-08-16T00:00:00"/>
    <d v="2024-11-10T00:00:00"/>
    <n v="504"/>
    <n v="559"/>
    <n v="473"/>
    <s v="Expiring Soon"/>
    <s v="63578 Butternut Hill"/>
    <n v="36"/>
    <n v="7866"/>
    <n v="54"/>
    <s v="Active"/>
  </r>
  <r>
    <s v="69-578-7930"/>
    <s v="Brown Rice"/>
    <x v="0"/>
    <s v="37-728-5274"/>
    <s v="Flipbug"/>
    <n v="44"/>
    <n v="67"/>
    <n v="31"/>
    <s v="Require"/>
    <n v="67"/>
    <s v="High Priority"/>
    <s v=" 2.50  "/>
    <n v="110"/>
    <d v="2024-07-14T00:00:00"/>
    <d v="2024-03-18T00:00:00"/>
    <d v="2024-06-05T00:00:00"/>
    <n v="592"/>
    <n v="710"/>
    <n v="631"/>
    <s v="Safe"/>
    <s v="83291 Hansons Crossing"/>
    <n v="44"/>
    <n v="4840"/>
    <n v="72"/>
    <s v="Discontinued"/>
  </r>
  <r>
    <s v="40-205-8252"/>
    <s v="Multigrain Bread"/>
    <x v="5"/>
    <s v="68-493-0378"/>
    <s v="Innojam"/>
    <n v="38"/>
    <n v="37"/>
    <n v="27"/>
    <s v="Sufficient"/>
    <n v="0"/>
    <s v="Normal"/>
    <s v=" 3.50  "/>
    <n v="133"/>
    <d v="2024-06-14T00:00:00"/>
    <d v="2024-05-10T00:00:00"/>
    <d v="2024-07-14T00:00:00"/>
    <n v="622"/>
    <n v="657"/>
    <n v="592"/>
    <s v="Safe"/>
    <s v="883 Marcy Place"/>
    <n v="45"/>
    <n v="5985"/>
    <n v="88"/>
    <s v="Backordered"/>
  </r>
  <r>
    <s v="18-107-7886"/>
    <s v="Evaporated Milk"/>
    <x v="4"/>
    <s v="11-466-3182"/>
    <s v="Demivee"/>
    <n v="64"/>
    <n v="28"/>
    <n v="35"/>
    <s v="Sufficient"/>
    <n v="0"/>
    <s v="Normal"/>
    <s v=" 2.00  "/>
    <n v="128"/>
    <d v="2024-05-11T00:00:00"/>
    <d v="2024-07-11T00:00:00"/>
    <d v="2024-02-27T00:00:00"/>
    <n v="656"/>
    <n v="595"/>
    <n v="730"/>
    <s v="Safe"/>
    <s v="55309 6th Junction"/>
    <n v="74"/>
    <n v="9472"/>
    <n v="50"/>
    <s v="Active"/>
  </r>
  <r>
    <s v="35-328-8392"/>
    <s v="Long Grain Rice"/>
    <x v="0"/>
    <s v="52-340-4509"/>
    <s v="Ainyx"/>
    <n v="39"/>
    <n v="2"/>
    <n v="71"/>
    <s v="Sufficient"/>
    <n v="0"/>
    <s v="Normal"/>
    <s v=" 1.45  "/>
    <n v="56.55"/>
    <d v="2024-04-29T00:00:00"/>
    <d v="2024-03-18T00:00:00"/>
    <d v="2024-04-21T00:00:00"/>
    <n v="668"/>
    <n v="710"/>
    <n v="676"/>
    <s v="Safe"/>
    <s v="09 Londonderry Hill"/>
    <n v="20"/>
    <n v="1131"/>
    <n v="70"/>
    <s v="Backordered"/>
  </r>
  <r>
    <s v="21-650-9319"/>
    <s v="White Bread"/>
    <x v="5"/>
    <s v="73-445-3017"/>
    <s v="Jazzy"/>
    <n v="42"/>
    <n v="88"/>
    <n v="95"/>
    <s v="Require"/>
    <n v="88"/>
    <s v="High Priority"/>
    <s v=" 2.50  "/>
    <n v="105"/>
    <d v="2024-03-28T00:00:00"/>
    <d v="2025-01-28T00:00:00"/>
    <d v="2024-04-24T00:00:00"/>
    <n v="700"/>
    <n v="394"/>
    <n v="673"/>
    <s v="Safe"/>
    <s v="4 Hagan Court"/>
    <n v="67"/>
    <n v="7035"/>
    <n v="94"/>
    <s v="Backordered"/>
  </r>
  <r>
    <s v="99-894-4351"/>
    <s v="White Sugar"/>
    <x v="0"/>
    <s v="45-602-6533"/>
    <s v="Devpoint"/>
    <n v="29"/>
    <n v="54"/>
    <n v="54"/>
    <s v="Require"/>
    <n v="54"/>
    <s v="Normal"/>
    <s v=" 2.00  "/>
    <n v="58"/>
    <d v="2024-10-27T00:00:00"/>
    <d v="2025-02-24T00:00:00"/>
    <d v="2024-12-25T00:00:00"/>
    <n v="487"/>
    <n v="367"/>
    <n v="428"/>
    <s v="Expiring Soon"/>
    <s v="185 Saint Paul Road"/>
    <n v="58"/>
    <n v="3364"/>
    <n v="63"/>
    <s v="Backordered"/>
  </r>
  <r>
    <s v="63-168-6018"/>
    <s v="Cucumber"/>
    <x v="2"/>
    <s v="01-853-2191"/>
    <s v="Bubblemix"/>
    <n v="60"/>
    <n v="63"/>
    <n v="81"/>
    <s v="Require"/>
    <n v="63"/>
    <s v="High Priority"/>
    <s v=" 1.80  "/>
    <n v="108"/>
    <d v="2025-01-26T00:00:00"/>
    <d v="2024-03-10T00:00:00"/>
    <d v="2024-05-01T00:00:00"/>
    <n v="396"/>
    <n v="718"/>
    <n v="666"/>
    <s v="Safe"/>
    <s v="0847 Artisan Hill"/>
    <n v="74"/>
    <n v="7992"/>
    <n v="31"/>
    <s v="Active"/>
  </r>
  <r>
    <s v="26-000-1012"/>
    <s v="Parmesan Cheese"/>
    <x v="4"/>
    <s v="60-284-1974"/>
    <s v="Quatz"/>
    <n v="65"/>
    <n v="54"/>
    <n v="29"/>
    <s v="Sufficient"/>
    <n v="0"/>
    <s v="Normal"/>
    <s v=" 12.00  "/>
    <n v="780"/>
    <d v="2024-11-30T00:00:00"/>
    <d v="2024-11-29T00:00:00"/>
    <d v="2024-04-12T00:00:00"/>
    <n v="453"/>
    <n v="454"/>
    <n v="685"/>
    <s v="Safe"/>
    <s v="3 Bayside Point"/>
    <n v="69"/>
    <n v="53820"/>
    <n v="79"/>
    <s v="Backordered"/>
  </r>
  <r>
    <s v="13-900-9016"/>
    <s v="Bell Pepper"/>
    <x v="2"/>
    <s v="63-969-9608"/>
    <s v="Meetz"/>
    <n v="89"/>
    <n v="96"/>
    <n v="94"/>
    <s v="Require"/>
    <n v="96"/>
    <s v="High Priority"/>
    <s v=" 4.50  "/>
    <n v="400.5"/>
    <d v="2024-10-06T00:00:00"/>
    <d v="2025-06-01T00:00:00"/>
    <d v="2024-09-19T00:00:00"/>
    <n v="508"/>
    <n v="270"/>
    <n v="525"/>
    <s v="Expiring Soon"/>
    <s v="521 Burning Wood Trail"/>
    <n v="38"/>
    <n v="15219"/>
    <n v="96"/>
    <s v="Discontinued"/>
  </r>
  <r>
    <s v="88-408-0310"/>
    <s v="Corn Oil"/>
    <x v="3"/>
    <s v="91-002-3027"/>
    <s v="Flipopia"/>
    <n v="50"/>
    <n v="40"/>
    <n v="69"/>
    <s v="Sufficient"/>
    <n v="0"/>
    <s v="Normal"/>
    <s v=" 2.50  "/>
    <n v="125"/>
    <d v="2024-06-30T00:00:00"/>
    <d v="2024-03-31T00:00:00"/>
    <d v="2024-08-26T00:00:00"/>
    <n v="606"/>
    <n v="697"/>
    <n v="549"/>
    <s v="Expiring Soon"/>
    <s v="5 Mesta Center"/>
    <n v="28"/>
    <n v="3500"/>
    <n v="98"/>
    <s v="Active"/>
  </r>
  <r>
    <s v="73-997-6251"/>
    <s v="Bell Pepper"/>
    <x v="2"/>
    <s v="17-167-4304"/>
    <s v="Livetube"/>
    <n v="94"/>
    <n v="18"/>
    <n v="84"/>
    <s v="Sufficient"/>
    <n v="0"/>
    <s v="Normal"/>
    <s v=" 4.50  "/>
    <n v="423"/>
    <d v="2025-04-01T00:00:00"/>
    <d v="2024-10-15T00:00:00"/>
    <d v="2024-09-17T00:00:00"/>
    <n v="331"/>
    <n v="499"/>
    <n v="527"/>
    <s v="Expiring Soon"/>
    <s v="1666 Dayton Terrace"/>
    <n v="44"/>
    <n v="18612"/>
    <n v="49"/>
    <s v="Discontinued"/>
  </r>
  <r>
    <s v="50-679-2072"/>
    <s v="Canola Oil"/>
    <x v="3"/>
    <s v="81-588-5701"/>
    <s v="Thoughtmix"/>
    <n v="97"/>
    <n v="32"/>
    <n v="43"/>
    <s v="Sufficient"/>
    <n v="0"/>
    <s v="Normal"/>
    <s v=" 2.30  "/>
    <n v="223.1"/>
    <d v="2024-06-10T00:00:00"/>
    <d v="2024-03-05T00:00:00"/>
    <d v="2024-05-30T00:00:00"/>
    <n v="626"/>
    <n v="723"/>
    <n v="637"/>
    <s v="Safe"/>
    <s v="20 Butterfield Lane"/>
    <n v="82"/>
    <n v="18294.2"/>
    <n v="98"/>
    <s v="Active"/>
  </r>
  <r>
    <s v="89-673-1543"/>
    <s v="Digestive Biscuit"/>
    <x v="5"/>
    <s v="43-679-7350"/>
    <s v="Lajo"/>
    <n v="72"/>
    <n v="78"/>
    <n v="1"/>
    <s v="Require"/>
    <n v="78"/>
    <s v="High Priority"/>
    <s v=" 4.00  "/>
    <n v="288"/>
    <d v="2024-10-11T00:00:00"/>
    <d v="2024-03-28T00:00:00"/>
    <d v="2025-01-03T00:00:00"/>
    <n v="503"/>
    <n v="700"/>
    <n v="419"/>
    <s v="Expiring Soon"/>
    <s v="297 Petterle Way"/>
    <n v="85"/>
    <n v="24480"/>
    <n v="30"/>
    <s v="Discontinued"/>
  </r>
  <r>
    <s v="56-937-8675"/>
    <s v="Cream"/>
    <x v="4"/>
    <s v="37-996-3243"/>
    <s v="Trilith"/>
    <n v="62"/>
    <n v="91"/>
    <n v="14"/>
    <s v="Require"/>
    <n v="91"/>
    <s v="High Priority"/>
    <s v=" 2.50  "/>
    <n v="155"/>
    <d v="2024-09-21T00:00:00"/>
    <d v="2024-05-31T00:00:00"/>
    <d v="2024-12-08T00:00:00"/>
    <n v="523"/>
    <n v="636"/>
    <n v="445"/>
    <s v="Expiring Soon"/>
    <s v="668 Claremont Place"/>
    <n v="41"/>
    <n v="6355"/>
    <n v="77"/>
    <s v="Discontinued"/>
  </r>
  <r>
    <s v="14-836-2894"/>
    <s v="Apple"/>
    <x v="2"/>
    <s v="82-157-4299"/>
    <s v="Jabbersphere"/>
    <n v="44"/>
    <n v="92"/>
    <n v="92"/>
    <s v="Require"/>
    <n v="92"/>
    <s v="High Priority"/>
    <s v=" 3.50  "/>
    <n v="154"/>
    <d v="2024-08-03T00:00:00"/>
    <d v="2025-11-01T00:00:00"/>
    <d v="2024-09-25T00:00:00"/>
    <n v="572"/>
    <n v="117"/>
    <n v="519"/>
    <s v="Expiring Soon"/>
    <s v="2 Hooker Terrace"/>
    <n v="41"/>
    <n v="6314"/>
    <n v="61"/>
    <s v="Active"/>
  </r>
  <r>
    <s v="87-903-3486"/>
    <s v="Peanut Oil"/>
    <x v="3"/>
    <s v="90-378-8463"/>
    <s v="Twitterbeat"/>
    <n v="21"/>
    <n v="25"/>
    <n v="39"/>
    <s v="Require"/>
    <n v="25"/>
    <s v="Normal"/>
    <s v=" 4.00  "/>
    <n v="84"/>
    <d v="2024-07-30T00:00:00"/>
    <d v="2024-10-09T00:00:00"/>
    <d v="2024-02-29T00:00:00"/>
    <n v="576"/>
    <n v="505"/>
    <n v="728"/>
    <s v="Safe"/>
    <s v="99 Twin Pines Alley"/>
    <n v="79"/>
    <n v="6636"/>
    <n v="30"/>
    <s v="Active"/>
  </r>
  <r>
    <s v="07-617-6934"/>
    <s v="Coconut Sugar"/>
    <x v="0"/>
    <s v="48-700-8059"/>
    <s v="Feedfire"/>
    <n v="91"/>
    <n v="39"/>
    <n v="48"/>
    <s v="Sufficient"/>
    <n v="0"/>
    <s v="Normal"/>
    <s v=" 5.00  "/>
    <n v="455"/>
    <d v="2024-03-31T00:00:00"/>
    <d v="2024-12-21T00:00:00"/>
    <d v="2024-11-16T00:00:00"/>
    <n v="697"/>
    <n v="432"/>
    <n v="467"/>
    <s v="Expiring Soon"/>
    <s v="9262 Sullivan Crossing"/>
    <n v="48"/>
    <n v="21840"/>
    <n v="18"/>
    <s v="Active"/>
  </r>
  <r>
    <s v="31-403-6234"/>
    <s v="Tuna"/>
    <x v="6"/>
    <s v="00-258-2525"/>
    <s v="Thoughtbeat"/>
    <n v="87"/>
    <n v="24"/>
    <n v="66"/>
    <s v="Sufficient"/>
    <n v="0"/>
    <s v="Normal"/>
    <s v=" 18.00  "/>
    <n v="1566"/>
    <d v="2024-05-20T00:00:00"/>
    <d v="2024-11-24T00:00:00"/>
    <d v="2024-05-04T00:00:00"/>
    <n v="647"/>
    <n v="459"/>
    <n v="663"/>
    <s v="Safe"/>
    <s v="35 Waxwing Center"/>
    <n v="22"/>
    <n v="34452"/>
    <n v="34"/>
    <s v="Active"/>
  </r>
  <r>
    <s v="29-092-3453"/>
    <s v="Spinach"/>
    <x v="2"/>
    <s v="41-867-9911"/>
    <s v="Youbridge"/>
    <n v="61"/>
    <n v="17"/>
    <n v="69"/>
    <s v="Sufficient"/>
    <n v="0"/>
    <s v="Normal"/>
    <s v=" 2.52  "/>
    <n v="153.72"/>
    <d v="2024-05-22T00:00:00"/>
    <d v="2024-07-05T00:00:00"/>
    <d v="2024-06-17T00:00:00"/>
    <n v="645"/>
    <n v="601"/>
    <n v="619"/>
    <s v="Safe"/>
    <s v="676 Redwing Trail"/>
    <n v="31"/>
    <n v="4765.32"/>
    <n v="29"/>
    <s v="Active"/>
  </r>
  <r>
    <s v="34-709-9237"/>
    <s v="Carrot"/>
    <x v="2"/>
    <s v="66-680-8738"/>
    <s v="Gigaclub"/>
    <n v="61"/>
    <n v="81"/>
    <n v="99"/>
    <s v="Require"/>
    <n v="81"/>
    <s v="High Priority"/>
    <s v=" 1.50  "/>
    <n v="91.5"/>
    <d v="2024-10-27T00:00:00"/>
    <d v="2024-03-13T00:00:00"/>
    <d v="2024-04-24T00:00:00"/>
    <n v="487"/>
    <n v="715"/>
    <n v="673"/>
    <s v="Safe"/>
    <s v="1509 Hoard Circle"/>
    <n v="26"/>
    <n v="2379"/>
    <n v="76"/>
    <s v="Discontinued"/>
  </r>
  <r>
    <s v="13-962-6263"/>
    <s v="Sweet Potato"/>
    <x v="2"/>
    <s v="26-061-5253"/>
    <s v="Trupe"/>
    <n v="49"/>
    <n v="1"/>
    <n v="28"/>
    <s v="Sufficient"/>
    <n v="0"/>
    <s v="Normal"/>
    <s v=" 2.00  "/>
    <n v="98"/>
    <d v="2024-01-12T00:00:00"/>
    <d v="2024-12-23T00:00:00"/>
    <d v="2024-11-18T00:00:00"/>
    <n v="776"/>
    <n v="430"/>
    <n v="465"/>
    <s v="Expiring Soon"/>
    <s v="7015 Ramsey Lane"/>
    <n v="97"/>
    <n v="9506"/>
    <n v="95"/>
    <s v="Active"/>
  </r>
  <r>
    <s v="06-731-2162"/>
    <s v="Lemon"/>
    <x v="2"/>
    <s v="17-546-8875"/>
    <s v="Meejo"/>
    <n v="87"/>
    <n v="1"/>
    <n v="98"/>
    <s v="Sufficient"/>
    <n v="0"/>
    <s v="Normal"/>
    <s v=" 2.50  "/>
    <n v="217.5"/>
    <d v="2024-07-04T00:00:00"/>
    <d v="2024-07-10T00:00:00"/>
    <d v="2024-07-19T00:00:00"/>
    <n v="602"/>
    <n v="596"/>
    <n v="587"/>
    <s v="Safe"/>
    <s v="30968 Anzinger Court"/>
    <n v="61"/>
    <n v="13267.5"/>
    <n v="84"/>
    <s v="Discontinued"/>
  </r>
  <r>
    <s v="10-768-2443"/>
    <s v="Multigrain Bread"/>
    <x v="5"/>
    <s v="44-451-2764"/>
    <s v="Katz"/>
    <n v="93"/>
    <n v="55"/>
    <n v="95"/>
    <s v="Sufficient"/>
    <n v="0"/>
    <s v="Normal"/>
    <s v=" 3.25  "/>
    <n v="302.25"/>
    <d v="2025-11-02T00:00:00"/>
    <d v="2024-05-03T00:00:00"/>
    <d v="2024-12-19T00:00:00"/>
    <n v="116"/>
    <n v="664"/>
    <n v="434"/>
    <s v="Expiring Soon"/>
    <s v="4 Orin Lane"/>
    <n v="56"/>
    <n v="16926"/>
    <n v="72"/>
    <s v="Backordered"/>
  </r>
  <r>
    <s v="36-372-2295"/>
    <s v="Basmati Rice"/>
    <x v="0"/>
    <s v="85-823-7428"/>
    <s v="Skimia"/>
    <n v="55"/>
    <n v="13"/>
    <n v="71"/>
    <s v="Sufficient"/>
    <n v="0"/>
    <s v="Normal"/>
    <s v=" 4.45  "/>
    <n v="244.75"/>
    <d v="2024-04-26T00:00:00"/>
    <d v="2024-10-22T00:00:00"/>
    <d v="2024-04-14T00:00:00"/>
    <n v="671"/>
    <n v="492"/>
    <n v="683"/>
    <s v="Safe"/>
    <s v="98 Bartillon Trail"/>
    <n v="37"/>
    <n v="9055.75"/>
    <n v="4"/>
    <s v="Backordered"/>
  </r>
  <r>
    <s v="34-538-1180"/>
    <s v="Sour Cream"/>
    <x v="4"/>
    <s v="40-907-4937"/>
    <s v="Voonder"/>
    <n v="29"/>
    <n v="39"/>
    <n v="80"/>
    <s v="Require"/>
    <n v="39"/>
    <s v="Normal"/>
    <s v=" 4.00  "/>
    <n v="116"/>
    <d v="2024-05-29T00:00:00"/>
    <d v="2024-03-11T00:00:00"/>
    <d v="2024-04-06T00:00:00"/>
    <n v="638"/>
    <n v="717"/>
    <n v="691"/>
    <s v="Safe"/>
    <s v="19 Aberg Trail"/>
    <n v="23"/>
    <n v="2668"/>
    <n v="85"/>
    <s v="Backordered"/>
  </r>
  <r>
    <s v="98-148-0940"/>
    <s v="Egg (Chicken)"/>
    <x v="4"/>
    <s v="06-175-9657"/>
    <s v="Babblestorm"/>
    <n v="63"/>
    <n v="62"/>
    <n v="18"/>
    <s v="Sufficient"/>
    <n v="0"/>
    <s v="Normal"/>
    <s v=" 0.20  "/>
    <n v="12.600000000000001"/>
    <d v="2024-04-17T00:00:00"/>
    <d v="2024-02-04T00:00:00"/>
    <d v="2024-11-05T00:00:00"/>
    <n v="680"/>
    <n v="753"/>
    <n v="478"/>
    <s v="Expiring Soon"/>
    <s v="588 Waywood Trail"/>
    <n v="67"/>
    <n v="844.2"/>
    <n v="17"/>
    <s v="Active"/>
  </r>
  <r>
    <s v="38-390-2115"/>
    <s v="Potato"/>
    <x v="2"/>
    <s v="12-433-6490"/>
    <s v="Rhyzio"/>
    <n v="42"/>
    <n v="69"/>
    <n v="54"/>
    <s v="Require"/>
    <n v="69"/>
    <s v="High Priority"/>
    <s v=" 1.20  "/>
    <n v="50.4"/>
    <d v="2025-01-19T00:00:00"/>
    <d v="2024-06-03T00:00:00"/>
    <d v="2024-03-01T00:00:00"/>
    <n v="403"/>
    <n v="633"/>
    <n v="727"/>
    <s v="Safe"/>
    <s v="3 Del Mar Point"/>
    <n v="43"/>
    <n v="2167.1999999999998"/>
    <n v="96"/>
    <s v="Active"/>
  </r>
  <r>
    <s v="02-974-8526"/>
    <s v="Onion"/>
    <x v="2"/>
    <s v="09-387-1119"/>
    <s v="Mudo"/>
    <n v="74"/>
    <n v="4"/>
    <n v="39"/>
    <s v="Sufficient"/>
    <n v="0"/>
    <s v="Normal"/>
    <s v=" 2.00  "/>
    <n v="148"/>
    <d v="2024-12-26T00:00:00"/>
    <d v="2024-05-04T00:00:00"/>
    <d v="2024-08-07T00:00:00"/>
    <n v="427"/>
    <n v="663"/>
    <n v="568"/>
    <s v="Safe"/>
    <s v="42 Green Ridge Terrace"/>
    <n v="97"/>
    <n v="14356"/>
    <n v="24"/>
    <s v="Backordered"/>
  </r>
  <r>
    <s v="29-377-7040"/>
    <s v="Short Grain Rice"/>
    <x v="0"/>
    <s v="59-979-6740"/>
    <s v="Brightdog"/>
    <n v="22"/>
    <n v="77"/>
    <n v="15"/>
    <s v="Require"/>
    <n v="77"/>
    <s v="High Priority"/>
    <s v=" 3.00  "/>
    <n v="66"/>
    <d v="2024-11-04T00:00:00"/>
    <d v="2024-05-29T00:00:00"/>
    <d v="2024-07-29T00:00:00"/>
    <n v="479"/>
    <n v="638"/>
    <n v="577"/>
    <s v="Safe"/>
    <s v="9431 Clarendon Pass"/>
    <n v="68"/>
    <n v="4488"/>
    <n v="46"/>
    <s v="Active"/>
  </r>
  <r>
    <s v="84-327-7787"/>
    <s v="Egg (Chicken)"/>
    <x v="4"/>
    <s v="97-571-0561"/>
    <s v="Bubblemix"/>
    <n v="83"/>
    <n v="35"/>
    <n v="43"/>
    <s v="Sufficient"/>
    <n v="0"/>
    <s v="Normal"/>
    <s v=" 0.20  "/>
    <n v="16.600000000000001"/>
    <d v="2024-08-14T00:00:00"/>
    <d v="2024-08-26T00:00:00"/>
    <d v="2024-09-06T00:00:00"/>
    <n v="561"/>
    <n v="549"/>
    <n v="538"/>
    <s v="Expiring Soon"/>
    <s v="739 Rowland Way"/>
    <n v="94"/>
    <n v="1560.4"/>
    <n v="68"/>
    <s v="Discontinued"/>
  </r>
  <r>
    <s v="82-231-4245"/>
    <s v="Wild Rice"/>
    <x v="0"/>
    <s v="96-177-4040"/>
    <s v="Kayveo"/>
    <n v="32"/>
    <n v="91"/>
    <n v="80"/>
    <s v="Require"/>
    <n v="91"/>
    <s v="High Priority"/>
    <s v=" 10.00  "/>
    <n v="320"/>
    <d v="2024-10-18T00:00:00"/>
    <d v="2024-08-28T00:00:00"/>
    <d v="2025-01-16T00:00:00"/>
    <n v="496"/>
    <n v="547"/>
    <n v="406"/>
    <s v="Expiring Soon"/>
    <s v="77 Monument Court"/>
    <n v="69"/>
    <n v="22080"/>
    <n v="80"/>
    <s v="Discontinued"/>
  </r>
  <r>
    <s v="70-005-5970"/>
    <s v="Apple"/>
    <x v="2"/>
    <s v="18-490-4140"/>
    <s v="Skaboo"/>
    <n v="84"/>
    <n v="46"/>
    <n v="80"/>
    <s v="Sufficient"/>
    <n v="0"/>
    <s v="Normal"/>
    <s v=" 3.50  "/>
    <n v="294"/>
    <d v="2024-05-18T00:00:00"/>
    <d v="2024-02-10T00:00:00"/>
    <d v="2024-12-24T00:00:00"/>
    <n v="649"/>
    <n v="747"/>
    <n v="429"/>
    <s v="Expiring Soon"/>
    <s v="82955 Dayton Street"/>
    <n v="66"/>
    <n v="19404"/>
    <n v="84"/>
    <s v="Discontinued"/>
  </r>
  <r>
    <s v="63-936-0145"/>
    <s v="Plum"/>
    <x v="2"/>
    <s v="69-415-3675"/>
    <s v="Thoughtbeat"/>
    <n v="22"/>
    <n v="56"/>
    <n v="72"/>
    <s v="Require"/>
    <n v="56"/>
    <s v="Normal"/>
    <s v=" 4.00  "/>
    <n v="88"/>
    <d v="2024-09-04T00:00:00"/>
    <d v="2024-08-06T00:00:00"/>
    <d v="2024-12-03T00:00:00"/>
    <n v="540"/>
    <n v="569"/>
    <n v="450"/>
    <s v="Expiring Soon"/>
    <s v="95 Kingsford Terrace"/>
    <n v="70"/>
    <n v="6160"/>
    <n v="39"/>
    <s v="Discontinued"/>
  </r>
  <r>
    <s v="08-196-2703"/>
    <s v="Peas"/>
    <x v="2"/>
    <s v="34-315-1199"/>
    <s v="Youbridge"/>
    <n v="100"/>
    <n v="52"/>
    <n v="2"/>
    <s v="Sufficient"/>
    <n v="0"/>
    <s v="Normal"/>
    <s v=" 3.00  "/>
    <n v="300"/>
    <d v="2024-08-03T00:00:00"/>
    <d v="2024-11-29T00:00:00"/>
    <d v="2024-10-17T00:00:00"/>
    <n v="572"/>
    <n v="454"/>
    <n v="497"/>
    <s v="Expiring Soon"/>
    <s v="56 Esker Park"/>
    <n v="86"/>
    <n v="25800"/>
    <n v="70"/>
    <s v="Backordered"/>
  </r>
  <r>
    <s v="22-778-3553"/>
    <s v="Cheddar Cheese"/>
    <x v="4"/>
    <s v="49-590-1752"/>
    <s v="Quaxo"/>
    <n v="36"/>
    <n v="77"/>
    <n v="49"/>
    <s v="Require"/>
    <n v="77"/>
    <s v="High Priority"/>
    <s v=" 9.00  "/>
    <n v="324"/>
    <d v="2024-10-04T00:00:00"/>
    <d v="2024-10-24T00:00:00"/>
    <d v="2025-02-09T00:00:00"/>
    <n v="510"/>
    <n v="490"/>
    <n v="382"/>
    <s v="Expiring Soon"/>
    <s v="0782 Dapin Avenue"/>
    <n v="30"/>
    <n v="9720"/>
    <n v="84"/>
    <s v="Active"/>
  </r>
  <r>
    <s v="37-610-1999"/>
    <s v="Halibut"/>
    <x v="6"/>
    <s v="19-985-9694"/>
    <s v="Wikizz"/>
    <n v="14"/>
    <n v="67"/>
    <n v="65"/>
    <s v="Require"/>
    <n v="67"/>
    <s v="High Priority"/>
    <s v=" 20.00  "/>
    <n v="280"/>
    <d v="2024-03-14T00:00:00"/>
    <d v="2024-10-19T00:00:00"/>
    <d v="2024-10-19T00:00:00"/>
    <n v="714"/>
    <n v="495"/>
    <n v="495"/>
    <s v="Expiring Soon"/>
    <s v="3 John Wall Point"/>
    <n v="71"/>
    <n v="19880"/>
    <n v="94"/>
    <s v="Discontinued"/>
  </r>
  <r>
    <s v="09-618-2842"/>
    <s v="White Sugar"/>
    <x v="0"/>
    <s v="68-415-1025"/>
    <s v="Yambee"/>
    <n v="38"/>
    <n v="82"/>
    <n v="17"/>
    <s v="Require"/>
    <n v="82"/>
    <s v="High Priority"/>
    <s v=" 2.00  "/>
    <n v="76"/>
    <d v="2024-12-29T00:00:00"/>
    <d v="2024-03-21T00:00:00"/>
    <d v="2024-08-06T00:00:00"/>
    <n v="424"/>
    <n v="707"/>
    <n v="569"/>
    <s v="Safe"/>
    <s v="642 Arizona Point"/>
    <n v="52"/>
    <n v="3952"/>
    <n v="47"/>
    <s v="Discontinued"/>
  </r>
  <r>
    <s v="28-968-4195"/>
    <s v="Eggplant"/>
    <x v="2"/>
    <s v="17-562-1176"/>
    <s v="Blogtag"/>
    <n v="97"/>
    <n v="52"/>
    <n v="80"/>
    <s v="Sufficient"/>
    <n v="0"/>
    <s v="Normal"/>
    <s v=" 3.00  "/>
    <n v="291"/>
    <d v="2025-01-19T00:00:00"/>
    <d v="2024-07-17T00:00:00"/>
    <d v="2024-10-13T00:00:00"/>
    <n v="403"/>
    <n v="589"/>
    <n v="501"/>
    <s v="Expiring Soon"/>
    <s v="5 Loftsgordon Trail"/>
    <n v="22"/>
    <n v="6402"/>
    <n v="90"/>
    <s v="Backordered"/>
  </r>
  <r>
    <s v="55-680-0982"/>
    <s v="Green Tea"/>
    <x v="1"/>
    <s v="57-412-5368"/>
    <s v="Jetpulse"/>
    <n v="64"/>
    <n v="66"/>
    <n v="28"/>
    <s v="Require"/>
    <n v="66"/>
    <s v="High Priority"/>
    <s v=" 8.00  "/>
    <n v="512"/>
    <d v="2024-05-28T00:00:00"/>
    <d v="2025-01-14T00:00:00"/>
    <d v="2024-08-19T00:00:00"/>
    <n v="639"/>
    <n v="408"/>
    <n v="556"/>
    <s v="Safe"/>
    <s v="0 Sutteridge Trail"/>
    <n v="25"/>
    <n v="12800"/>
    <n v="52"/>
    <s v="Discontinued"/>
  </r>
  <r>
    <s v="43-851-9440"/>
    <s v="Lime"/>
    <x v="2"/>
    <s v="67-674-0287"/>
    <s v="Camido"/>
    <n v="14"/>
    <n v="75"/>
    <n v="19"/>
    <s v="Require"/>
    <n v="75"/>
    <s v="High Priority"/>
    <s v=" 1.90  "/>
    <n v="26.599999999999998"/>
    <d v="2024-12-24T00:00:00"/>
    <d v="2024-11-05T00:00:00"/>
    <d v="2024-03-04T00:00:00"/>
    <n v="429"/>
    <n v="478"/>
    <n v="724"/>
    <s v="Safe"/>
    <s v="4033 Sloan Hill"/>
    <n v="100"/>
    <n v="2660"/>
    <n v="84"/>
    <s v="Backordered"/>
  </r>
  <r>
    <s v="14-331-3739"/>
    <s v="Avocado Oil"/>
    <x v="3"/>
    <s v="87-159-6467"/>
    <s v="Voolith"/>
    <n v="24"/>
    <n v="89"/>
    <n v="27"/>
    <s v="Require"/>
    <n v="89"/>
    <s v="High Priority"/>
    <s v=" 10.00  "/>
    <n v="240"/>
    <d v="2024-10-04T00:00:00"/>
    <d v="2024-10-15T00:00:00"/>
    <d v="2024-03-28T00:00:00"/>
    <n v="510"/>
    <n v="499"/>
    <n v="700"/>
    <s v="Safe"/>
    <s v="8 Thackeray Drive"/>
    <n v="99"/>
    <n v="23760"/>
    <n v="1"/>
    <s v="Discontinued"/>
  </r>
  <r>
    <s v="54-830-6971"/>
    <s v="Tilapia"/>
    <x v="6"/>
    <s v="94-006-6480"/>
    <s v="Dynava"/>
    <n v="100"/>
    <n v="61"/>
    <n v="21"/>
    <s v="Sufficient"/>
    <n v="0"/>
    <s v="Normal"/>
    <s v=" 7.00  "/>
    <n v="700"/>
    <d v="2024-09-21T00:00:00"/>
    <d v="2024-12-25T00:00:00"/>
    <d v="2024-05-18T00:00:00"/>
    <n v="523"/>
    <n v="428"/>
    <n v="649"/>
    <s v="Safe"/>
    <s v="674 Ryan Alley"/>
    <n v="85"/>
    <n v="59500"/>
    <n v="79"/>
    <s v="Backordered"/>
  </r>
  <r>
    <s v="53-008-2419"/>
    <s v="Jasmine Rice"/>
    <x v="0"/>
    <s v="86-841-6074"/>
    <s v="Skyba"/>
    <n v="62"/>
    <n v="36"/>
    <n v="96"/>
    <s v="Sufficient"/>
    <n v="0"/>
    <s v="Normal"/>
    <s v=" 4.75  "/>
    <n v="294.5"/>
    <d v="2024-03-04T00:00:00"/>
    <d v="2024-10-04T00:00:00"/>
    <d v="2024-05-27T00:00:00"/>
    <n v="724"/>
    <n v="510"/>
    <n v="640"/>
    <s v="Safe"/>
    <s v="63 Debra Park"/>
    <n v="31"/>
    <n v="9129.5"/>
    <n v="25"/>
    <s v="Discontinued"/>
  </r>
  <r>
    <s v="39-358-3340"/>
    <s v="Basmati Rice"/>
    <x v="0"/>
    <s v="86-841-4440"/>
    <s v="Yamia"/>
    <n v="71"/>
    <n v="60"/>
    <n v="62"/>
    <s v="Sufficient"/>
    <n v="0"/>
    <s v="Normal"/>
    <s v=" 4.50  "/>
    <n v="319.5"/>
    <d v="2024-08-27T00:00:00"/>
    <d v="2024-03-25T00:00:00"/>
    <d v="2024-03-14T00:00:00"/>
    <n v="548"/>
    <n v="703"/>
    <n v="714"/>
    <s v="Safe"/>
    <s v="308 Doe Crossing Pass"/>
    <n v="60"/>
    <n v="19170"/>
    <n v="63"/>
    <s v="Discontinued"/>
  </r>
  <r>
    <s v="28-146-2641"/>
    <s v="Parmesan Cheese"/>
    <x v="4"/>
    <s v="82-995-0739"/>
    <s v="BlogXS"/>
    <n v="38"/>
    <n v="67"/>
    <n v="66"/>
    <s v="Require"/>
    <n v="67"/>
    <s v="High Priority"/>
    <s v=" 12.00  "/>
    <n v="456"/>
    <d v="2024-01-04T00:00:00"/>
    <d v="2024-12-21T00:00:00"/>
    <d v="2024-04-08T00:00:00"/>
    <n v="784"/>
    <n v="432"/>
    <n v="689"/>
    <s v="Safe"/>
    <s v="73 Graedel Street"/>
    <n v="35"/>
    <n v="15960"/>
    <n v="24"/>
    <s v="Discontinued"/>
  </r>
  <r>
    <s v="83-556-0996"/>
    <s v="Powdered Sugar"/>
    <x v="0"/>
    <s v="81-234-0741"/>
    <s v="Jabberstorm"/>
    <n v="88"/>
    <n v="34"/>
    <n v="94"/>
    <s v="Sufficient"/>
    <n v="0"/>
    <s v="Normal"/>
    <s v=" 2.40  "/>
    <n v="211.2"/>
    <d v="2024-12-27T00:00:00"/>
    <d v="2025-02-20T00:00:00"/>
    <d v="2024-10-30T00:00:00"/>
    <n v="426"/>
    <n v="371"/>
    <n v="484"/>
    <s v="Expiring Soon"/>
    <s v="53 Forest Run Plaza"/>
    <n v="95"/>
    <n v="20064"/>
    <n v="63"/>
    <s v="Active"/>
  </r>
  <r>
    <s v="53-805-9523"/>
    <s v="Sourdough Bread"/>
    <x v="5"/>
    <s v="99-864-0256"/>
    <s v="Rhyloo"/>
    <n v="40"/>
    <n v="30"/>
    <n v="65"/>
    <s v="Sufficient"/>
    <n v="0"/>
    <s v="Normal"/>
    <s v=" 4.50  "/>
    <n v="180"/>
    <d v="2024-02-07T00:00:00"/>
    <d v="2024-03-19T00:00:00"/>
    <d v="2024-05-14T00:00:00"/>
    <n v="750"/>
    <n v="709"/>
    <n v="653"/>
    <s v="Safe"/>
    <s v="94 Mallory Center"/>
    <n v="54"/>
    <n v="9720"/>
    <n v="29"/>
    <s v="Active"/>
  </r>
  <r>
    <s v="82-977-7752"/>
    <s v="Spinach"/>
    <x v="2"/>
    <s v="57-473-8672"/>
    <s v="Shuffledrive"/>
    <n v="88"/>
    <n v="78"/>
    <n v="17"/>
    <s v="Sufficient"/>
    <n v="0"/>
    <s v="Normal"/>
    <s v=" 2.50  "/>
    <n v="220"/>
    <d v="2024-06-09T00:00:00"/>
    <d v="2024-12-28T00:00:00"/>
    <d v="2024-11-04T00:00:00"/>
    <n v="627"/>
    <n v="425"/>
    <n v="479"/>
    <s v="Expiring Soon"/>
    <s v="58 Corscot Terrace"/>
    <n v="58"/>
    <n v="12760"/>
    <n v="21"/>
    <s v="Active"/>
  </r>
  <r>
    <s v="62-393-9939"/>
    <s v="Cheddar Cheese"/>
    <x v="4"/>
    <s v="93-877-9384"/>
    <s v="Gabcube"/>
    <n v="60"/>
    <n v="9"/>
    <n v="89"/>
    <s v="Sufficient"/>
    <n v="0"/>
    <s v="Normal"/>
    <s v=" 9.00  "/>
    <n v="540"/>
    <d v="2024-01-06T00:00:00"/>
    <d v="2024-02-06T00:00:00"/>
    <d v="2024-10-05T00:00:00"/>
    <n v="782"/>
    <n v="751"/>
    <n v="509"/>
    <s v="Expiring Soon"/>
    <s v="5 Oxford Pass"/>
    <n v="95"/>
    <n v="51300"/>
    <n v="63"/>
    <s v="Active"/>
  </r>
  <r>
    <s v="31-745-6850"/>
    <s v="Cabbage"/>
    <x v="2"/>
    <s v="96-215-2767"/>
    <s v="Lajo"/>
    <n v="94"/>
    <n v="90"/>
    <n v="12"/>
    <s v="Sufficient"/>
    <n v="0"/>
    <s v="Normal"/>
    <s v=" 0.90  "/>
    <n v="84.600000000000009"/>
    <d v="2024-03-10T00:00:00"/>
    <d v="2024-10-24T00:00:00"/>
    <d v="2024-11-01T00:00:00"/>
    <n v="718"/>
    <n v="490"/>
    <n v="482"/>
    <s v="Expiring Soon"/>
    <s v="081 Jana Lane"/>
    <n v="98"/>
    <n v="8290.8000000000011"/>
    <n v="71"/>
    <s v="Active"/>
  </r>
  <r>
    <s v="86-692-2312"/>
    <s v="Avocado Oil"/>
    <x v="3"/>
    <s v="77-783-4107"/>
    <s v="Dazzlesphere"/>
    <n v="30"/>
    <n v="48"/>
    <n v="52"/>
    <s v="Require"/>
    <n v="48"/>
    <s v="Normal"/>
    <s v=" 10.00  "/>
    <n v="300"/>
    <d v="2024-11-06T00:00:00"/>
    <d v="2024-07-12T00:00:00"/>
    <d v="2024-04-30T00:00:00"/>
    <n v="477"/>
    <n v="594"/>
    <n v="667"/>
    <s v="Safe"/>
    <s v="00616 Manitowish Parkway"/>
    <n v="22"/>
    <n v="6600"/>
    <n v="78"/>
    <s v="Active"/>
  </r>
  <r>
    <s v="28-044-4102"/>
    <s v="Papaya"/>
    <x v="2"/>
    <s v="93-358-1118"/>
    <s v="Yakijo"/>
    <n v="19"/>
    <n v="28"/>
    <n v="83"/>
    <s v="Require"/>
    <n v="28"/>
    <s v="Normal"/>
    <s v=" 4.50  "/>
    <n v="85.5"/>
    <d v="2024-11-26T00:00:00"/>
    <d v="2024-01-03T00:00:00"/>
    <d v="2024-08-27T00:00:00"/>
    <n v="457"/>
    <n v="785"/>
    <n v="548"/>
    <s v="Expiring Soon"/>
    <s v="309 Burning Wood Center"/>
    <n v="91"/>
    <n v="7780.5"/>
    <n v="73"/>
    <s v="Discontinu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0">
  <r>
    <x v="0"/>
    <x v="0"/>
    <x v="0"/>
    <s v="38-037-1699"/>
    <x v="0"/>
    <x v="0"/>
    <n v="72"/>
    <n v="70"/>
    <s v="Require"/>
    <n v="72"/>
    <s v="High Priority"/>
    <x v="0"/>
    <n v="99"/>
    <d v="2024-08-16T00:00:00"/>
    <d v="2024-06-29T00:00:00"/>
    <d v="2024-09-19T00:00:00"/>
    <n v="559"/>
    <n v="607"/>
    <n v="525"/>
    <s v="Expiring Soon"/>
    <s v="48 Del Sol Trail"/>
    <x v="0"/>
    <n v="3168"/>
    <n v="19"/>
    <s v="Discontinued"/>
    <n v="3069"/>
  </r>
  <r>
    <x v="1"/>
    <x v="1"/>
    <x v="1"/>
    <s v="54-470-2479"/>
    <x v="1"/>
    <x v="1"/>
    <n v="77"/>
    <n v="2"/>
    <s v="Require"/>
    <n v="77"/>
    <s v="High Priority"/>
    <x v="1"/>
    <n v="900"/>
    <d v="2024-01-11T00:00:00"/>
    <d v="2024-05-29T00:00:00"/>
    <d v="2024-05-08T00:00:00"/>
    <n v="777"/>
    <n v="638"/>
    <n v="659"/>
    <s v="Safe"/>
    <s v="36 3rd Place"/>
    <x v="1"/>
    <n v="76500"/>
    <n v="1"/>
    <s v="Discontinued"/>
    <n v="75600"/>
  </r>
  <r>
    <x v="2"/>
    <x v="2"/>
    <x v="0"/>
    <s v="54-031-2945"/>
    <x v="2"/>
    <x v="2"/>
    <n v="38"/>
    <n v="83"/>
    <s v="Require"/>
    <n v="38"/>
    <s v="Normal"/>
    <x v="2"/>
    <n v="180"/>
    <d v="2024-03-08T00:00:00"/>
    <d v="2024-10-06T00:00:00"/>
    <d v="2024-09-22T00:00:00"/>
    <n v="720"/>
    <n v="508"/>
    <n v="522"/>
    <s v="Expiring Soon"/>
    <s v="3296 Walton Court"/>
    <x v="2"/>
    <n v="5580"/>
    <n v="34"/>
    <s v="Backordered"/>
    <n v="5400"/>
  </r>
  <r>
    <x v="3"/>
    <x v="3"/>
    <x v="0"/>
    <s v="63-492-7603"/>
    <x v="3"/>
    <x v="3"/>
    <n v="59"/>
    <n v="62"/>
    <s v="Require"/>
    <n v="59"/>
    <s v="Normal"/>
    <x v="3"/>
    <n v="18"/>
    <d v="2024-08-12T00:00:00"/>
    <d v="2025-02-19T00:00:00"/>
    <d v="2024-04-17T00:00:00"/>
    <n v="563"/>
    <n v="372"/>
    <n v="680"/>
    <s v="Safe"/>
    <s v="3 Westerfield Crossing"/>
    <x v="3"/>
    <n v="1710"/>
    <n v="99"/>
    <s v="Active"/>
    <n v="1692"/>
  </r>
  <r>
    <x v="4"/>
    <x v="4"/>
    <x v="2"/>
    <s v="54-226-4308"/>
    <x v="4"/>
    <x v="4"/>
    <n v="30"/>
    <n v="74"/>
    <s v="Sufficient"/>
    <n v="0"/>
    <s v="Normal"/>
    <x v="4"/>
    <n v="148"/>
    <d v="2024-03-07T00:00:00"/>
    <d v="2024-11-10T00:00:00"/>
    <d v="2024-10-05T00:00:00"/>
    <n v="721"/>
    <n v="473"/>
    <n v="509"/>
    <s v="Expiring Soon"/>
    <s v="15068 Scoville Court"/>
    <x v="4"/>
    <n v="9176"/>
    <n v="25"/>
    <s v="Backordered"/>
    <n v="9028"/>
  </r>
  <r>
    <x v="5"/>
    <x v="5"/>
    <x v="0"/>
    <s v="86-292-4587"/>
    <x v="5"/>
    <x v="5"/>
    <n v="33"/>
    <n v="14"/>
    <s v="Sufficient"/>
    <n v="0"/>
    <s v="Normal"/>
    <x v="5"/>
    <n v="96.25"/>
    <d v="2024-03-12T00:00:00"/>
    <d v="2024-05-26T00:00:00"/>
    <d v="2024-09-05T00:00:00"/>
    <n v="716"/>
    <n v="641"/>
    <n v="539"/>
    <s v="Expiring Soon"/>
    <s v="050 Mcbride Avenue"/>
    <x v="5"/>
    <n v="3272.5"/>
    <n v="62"/>
    <s v="Discontinued"/>
    <n v="3176.25"/>
  </r>
  <r>
    <x v="6"/>
    <x v="6"/>
    <x v="3"/>
    <s v="04-391-7610"/>
    <x v="6"/>
    <x v="6"/>
    <n v="52"/>
    <n v="16"/>
    <s v="Sufficient"/>
    <n v="0"/>
    <s v="Normal"/>
    <x v="6"/>
    <n v="240"/>
    <d v="2024-03-18T00:00:00"/>
    <d v="2024-07-05T00:00:00"/>
    <d v="2024-06-20T00:00:00"/>
    <n v="710"/>
    <n v="601"/>
    <n v="616"/>
    <s v="Safe"/>
    <s v="12 Truax Court"/>
    <x v="6"/>
    <n v="16080"/>
    <n v="13"/>
    <s v="Active"/>
    <n v="15840"/>
  </r>
  <r>
    <x v="7"/>
    <x v="7"/>
    <x v="4"/>
    <s v="67-679-4930"/>
    <x v="7"/>
    <x v="7"/>
    <n v="90"/>
    <n v="17"/>
    <s v="Require"/>
    <n v="90"/>
    <s v="High Priority"/>
    <x v="6"/>
    <n v="110"/>
    <d v="2025-03-02T00:00:00"/>
    <d v="2024-09-04T00:00:00"/>
    <d v="2025-02-05T00:00:00"/>
    <n v="361"/>
    <n v="540"/>
    <n v="386"/>
    <s v="Expiring Soon"/>
    <s v="267 International Plaza"/>
    <x v="7"/>
    <n v="2310"/>
    <n v="91"/>
    <s v="Discontinued"/>
    <n v="2200"/>
  </r>
  <r>
    <x v="8"/>
    <x v="8"/>
    <x v="4"/>
    <s v="32-182-1895"/>
    <x v="8"/>
    <x v="8"/>
    <n v="84"/>
    <n v="11"/>
    <s v="Sufficient"/>
    <n v="0"/>
    <s v="Normal"/>
    <x v="7"/>
    <n v="273"/>
    <d v="2024-04-12T00:00:00"/>
    <d v="2024-02-06T00:00:00"/>
    <d v="2025-01-08T00:00:00"/>
    <n v="685"/>
    <n v="751"/>
    <n v="414"/>
    <s v="Expiring Soon"/>
    <s v="550 Clemons Plaza"/>
    <x v="8"/>
    <n v="15288"/>
    <n v="90"/>
    <s v="Active"/>
    <n v="15015"/>
  </r>
  <r>
    <x v="9"/>
    <x v="9"/>
    <x v="4"/>
    <s v="67-137-4215"/>
    <x v="9"/>
    <x v="9"/>
    <n v="10"/>
    <n v="15"/>
    <s v="Sufficient"/>
    <n v="0"/>
    <s v="Normal"/>
    <x v="8"/>
    <n v="43"/>
    <d v="2024-11-18T00:00:00"/>
    <d v="2024-11-14T00:00:00"/>
    <d v="2024-07-08T00:00:00"/>
    <n v="465"/>
    <n v="469"/>
    <n v="598"/>
    <s v="Safe"/>
    <s v="55782 Welch Hill"/>
    <x v="9"/>
    <n v="1161"/>
    <n v="69"/>
    <s v="Active"/>
    <n v="1118"/>
  </r>
  <r>
    <x v="10"/>
    <x v="3"/>
    <x v="0"/>
    <s v="62-029-0827"/>
    <x v="10"/>
    <x v="10"/>
    <n v="81"/>
    <n v="91"/>
    <s v="Require"/>
    <n v="81"/>
    <s v="High Priority"/>
    <x v="9"/>
    <n v="99.2"/>
    <d v="2024-12-18T00:00:00"/>
    <d v="2024-05-24T00:00:00"/>
    <d v="2025-01-07T00:00:00"/>
    <n v="435"/>
    <n v="643"/>
    <n v="415"/>
    <s v="Expiring Soon"/>
    <s v="04776 Saint Paul Park"/>
    <x v="10"/>
    <n v="9920"/>
    <n v="42"/>
    <s v="Discontinued"/>
    <n v="9820.7999999999993"/>
  </r>
  <r>
    <x v="11"/>
    <x v="10"/>
    <x v="0"/>
    <s v="56-092-7992"/>
    <x v="11"/>
    <x v="8"/>
    <n v="98"/>
    <n v="6"/>
    <s v="Require"/>
    <n v="98"/>
    <s v="High Priority"/>
    <x v="10"/>
    <n v="182"/>
    <d v="2024-10-19T00:00:00"/>
    <d v="2024-11-12T00:00:00"/>
    <d v="2024-10-14T00:00:00"/>
    <n v="495"/>
    <n v="471"/>
    <n v="500"/>
    <s v="Expiring Soon"/>
    <s v="61932 Cascade Crossing"/>
    <x v="10"/>
    <n v="18200"/>
    <n v="20"/>
    <s v="Backordered"/>
    <n v="18018"/>
  </r>
  <r>
    <x v="12"/>
    <x v="11"/>
    <x v="5"/>
    <s v="57-615-0729"/>
    <x v="12"/>
    <x v="11"/>
    <n v="79"/>
    <n v="31"/>
    <s v="Require"/>
    <n v="79"/>
    <s v="High Priority"/>
    <x v="7"/>
    <n v="78"/>
    <d v="2024-12-13T00:00:00"/>
    <d v="2025-09-02T00:00:00"/>
    <d v="2024-07-18T00:00:00"/>
    <n v="440"/>
    <n v="177"/>
    <n v="588"/>
    <s v="Safe"/>
    <s v="13 Forest Run Place"/>
    <x v="11"/>
    <n v="3666"/>
    <n v="41"/>
    <s v="Discontinued"/>
    <n v="3588"/>
  </r>
  <r>
    <x v="13"/>
    <x v="4"/>
    <x v="2"/>
    <s v="75-190-3627"/>
    <x v="13"/>
    <x v="12"/>
    <n v="50"/>
    <n v="76"/>
    <s v="Sufficient"/>
    <n v="0"/>
    <s v="Normal"/>
    <x v="4"/>
    <n v="380"/>
    <d v="2024-05-04T00:00:00"/>
    <d v="2024-09-21T00:00:00"/>
    <d v="2024-05-06T00:00:00"/>
    <n v="663"/>
    <n v="523"/>
    <n v="661"/>
    <s v="Safe"/>
    <s v="5104 Jana Court"/>
    <x v="12"/>
    <n v="26220"/>
    <n v="5"/>
    <s v="Active"/>
    <n v="25840"/>
  </r>
  <r>
    <x v="14"/>
    <x v="12"/>
    <x v="2"/>
    <s v="70-901-6191"/>
    <x v="14"/>
    <x v="13"/>
    <n v="26"/>
    <n v="16"/>
    <s v="Sufficient"/>
    <n v="0"/>
    <s v="Normal"/>
    <x v="2"/>
    <n v="324"/>
    <d v="2024-11-03T00:00:00"/>
    <d v="2024-06-30T00:00:00"/>
    <d v="2024-06-14T00:00:00"/>
    <n v="480"/>
    <n v="606"/>
    <n v="622"/>
    <s v="Safe"/>
    <s v="00 Drewry Court"/>
    <x v="13"/>
    <n v="20412"/>
    <n v="97"/>
    <s v="Active"/>
    <n v="20088"/>
  </r>
  <r>
    <x v="15"/>
    <x v="13"/>
    <x v="4"/>
    <s v="84-504-7617"/>
    <x v="15"/>
    <x v="14"/>
    <n v="13"/>
    <n v="15"/>
    <s v="Sufficient"/>
    <n v="0"/>
    <s v="Normal"/>
    <x v="11"/>
    <n v="658"/>
    <d v="2024-02-27T00:00:00"/>
    <d v="2024-02-04T00:00:00"/>
    <d v="2024-10-05T00:00:00"/>
    <n v="730"/>
    <n v="753"/>
    <n v="509"/>
    <s v="Expiring Soon"/>
    <s v="195 Portage Junction"/>
    <x v="14"/>
    <n v="13160"/>
    <n v="24"/>
    <s v="Backordered"/>
    <n v="12502"/>
  </r>
  <r>
    <x v="16"/>
    <x v="14"/>
    <x v="0"/>
    <s v="29-689-5014"/>
    <x v="16"/>
    <x v="15"/>
    <n v="93"/>
    <n v="88"/>
    <s v="Require"/>
    <n v="93"/>
    <s v="High Priority"/>
    <x v="3"/>
    <n v="40.5"/>
    <d v="2024-11-16T00:00:00"/>
    <d v="2024-09-03T00:00:00"/>
    <d v="2024-04-05T00:00:00"/>
    <n v="467"/>
    <n v="541"/>
    <n v="692"/>
    <s v="Safe"/>
    <s v="52691 8th Drive"/>
    <x v="15"/>
    <n v="2673"/>
    <n v="13"/>
    <s v="Active"/>
    <n v="2632.5"/>
  </r>
  <r>
    <x v="17"/>
    <x v="15"/>
    <x v="4"/>
    <s v="03-615-0558"/>
    <x v="17"/>
    <x v="16"/>
    <n v="49"/>
    <n v="26"/>
    <s v="Require"/>
    <n v="49"/>
    <s v="Normal"/>
    <x v="12"/>
    <n v="392"/>
    <d v="2024-10-09T00:00:00"/>
    <d v="2024-05-19T00:00:00"/>
    <d v="2024-07-01T00:00:00"/>
    <n v="505"/>
    <n v="648"/>
    <n v="605"/>
    <s v="Safe"/>
    <s v="285 1st Park"/>
    <x v="16"/>
    <n v="30576"/>
    <n v="61"/>
    <s v="Discontinued"/>
    <n v="30184"/>
  </r>
  <r>
    <x v="18"/>
    <x v="1"/>
    <x v="1"/>
    <s v="10-060-8515"/>
    <x v="18"/>
    <x v="5"/>
    <n v="93"/>
    <n v="84"/>
    <s v="Require"/>
    <n v="93"/>
    <s v="High Priority"/>
    <x v="1"/>
    <n v="1100"/>
    <d v="2024-05-29T00:00:00"/>
    <d v="2024-08-11T00:00:00"/>
    <d v="2024-05-05T00:00:00"/>
    <n v="638"/>
    <n v="564"/>
    <n v="662"/>
    <s v="Safe"/>
    <s v="17780 Lindbergh Junction"/>
    <x v="17"/>
    <n v="50600"/>
    <n v="84"/>
    <s v="Active"/>
    <n v="49500"/>
  </r>
  <r>
    <x v="19"/>
    <x v="10"/>
    <x v="0"/>
    <s v="38-883-3382"/>
    <x v="19"/>
    <x v="17"/>
    <n v="61"/>
    <n v="82"/>
    <s v="Sufficient"/>
    <n v="0"/>
    <s v="Normal"/>
    <x v="10"/>
    <n v="130"/>
    <d v="2024-05-31T00:00:00"/>
    <d v="2025-08-02T00:00:00"/>
    <d v="2024-12-28T00:00:00"/>
    <n v="636"/>
    <n v="208"/>
    <n v="425"/>
    <s v="Expiring Soon"/>
    <s v="7834 Cordelia Alley"/>
    <x v="18"/>
    <n v="3770"/>
    <n v="11"/>
    <s v="Backordered"/>
    <n v="3640"/>
  </r>
  <r>
    <x v="20"/>
    <x v="16"/>
    <x v="2"/>
    <s v="82-737-6019"/>
    <x v="20"/>
    <x v="18"/>
    <n v="70"/>
    <n v="99"/>
    <s v="Sufficient"/>
    <n v="0"/>
    <s v="Normal"/>
    <x v="6"/>
    <n v="180"/>
    <d v="2024-07-10T00:00:00"/>
    <d v="2024-05-28T00:00:00"/>
    <d v="2024-06-22T00:00:00"/>
    <n v="596"/>
    <n v="639"/>
    <n v="614"/>
    <s v="Safe"/>
    <s v="42 Bunker Hill Junction"/>
    <x v="19"/>
    <n v="14760"/>
    <n v="32"/>
    <s v="Discontinued"/>
    <n v="14580"/>
  </r>
  <r>
    <x v="21"/>
    <x v="17"/>
    <x v="6"/>
    <s v="87-839-6400"/>
    <x v="21"/>
    <x v="16"/>
    <n v="73"/>
    <n v="48"/>
    <s v="Require"/>
    <n v="73"/>
    <s v="High Priority"/>
    <x v="13"/>
    <n v="588"/>
    <d v="2024-08-17T00:00:00"/>
    <d v="2024-01-10T00:00:00"/>
    <d v="2024-09-03T00:00:00"/>
    <n v="558"/>
    <n v="778"/>
    <n v="541"/>
    <s v="Expiring Soon"/>
    <s v="08 Randy Junction"/>
    <x v="20"/>
    <n v="30576"/>
    <n v="62"/>
    <s v="Active"/>
    <n v="29988"/>
  </r>
  <r>
    <x v="22"/>
    <x v="18"/>
    <x v="2"/>
    <s v="51-014-4287"/>
    <x v="22"/>
    <x v="19"/>
    <n v="99"/>
    <n v="28"/>
    <s v="Require"/>
    <n v="99"/>
    <s v="High Priority"/>
    <x v="10"/>
    <n v="162"/>
    <d v="2024-09-30T00:00:00"/>
    <d v="2025-02-14T00:00:00"/>
    <d v="2024-04-25T00:00:00"/>
    <n v="514"/>
    <n v="377"/>
    <n v="672"/>
    <s v="Safe"/>
    <s v="37 Browning Trail"/>
    <x v="14"/>
    <n v="3240"/>
    <n v="85"/>
    <s v="Discontinued"/>
    <n v="3078"/>
  </r>
  <r>
    <x v="23"/>
    <x v="19"/>
    <x v="2"/>
    <s v="28-575-0716"/>
    <x v="23"/>
    <x v="20"/>
    <n v="46"/>
    <n v="55"/>
    <s v="Sufficient"/>
    <n v="0"/>
    <s v="Normal"/>
    <x v="8"/>
    <n v="88"/>
    <d v="2024-09-04T00:00:00"/>
    <d v="2024-06-03T00:00:00"/>
    <d v="2024-08-12T00:00:00"/>
    <n v="540"/>
    <n v="633"/>
    <n v="563"/>
    <s v="Safe"/>
    <s v="51890 Lindbergh Terrace"/>
    <x v="21"/>
    <n v="6424"/>
    <n v="63"/>
    <s v="Active"/>
    <n v="6336"/>
  </r>
  <r>
    <x v="24"/>
    <x v="20"/>
    <x v="4"/>
    <s v="75-465-6257"/>
    <x v="24"/>
    <x v="21"/>
    <n v="4"/>
    <n v="85"/>
    <s v="Sufficient"/>
    <n v="0"/>
    <s v="Normal"/>
    <x v="13"/>
    <n v="756"/>
    <d v="2024-12-21T00:00:00"/>
    <d v="2025-01-13T00:00:00"/>
    <d v="2024-09-30T00:00:00"/>
    <n v="432"/>
    <n v="409"/>
    <n v="514"/>
    <s v="Expiring Soon"/>
    <s v="49869 Bunker Hill Terrace"/>
    <x v="22"/>
    <n v="44604"/>
    <n v="71"/>
    <s v="Active"/>
    <n v="43848"/>
  </r>
  <r>
    <x v="25"/>
    <x v="21"/>
    <x v="0"/>
    <s v="47-183-4911"/>
    <x v="25"/>
    <x v="22"/>
    <n v="43"/>
    <n v="80"/>
    <s v="Require"/>
    <n v="43"/>
    <s v="Normal"/>
    <x v="3"/>
    <n v="46.5"/>
    <d v="2024-05-28T00:00:00"/>
    <d v="2025-02-22T00:00:00"/>
    <d v="2024-05-30T00:00:00"/>
    <n v="639"/>
    <n v="369"/>
    <n v="637"/>
    <s v="Safe"/>
    <s v="66879 Susan Place"/>
    <x v="17"/>
    <n v="2139"/>
    <n v="78"/>
    <s v="Backordered"/>
    <n v="2092.5"/>
  </r>
  <r>
    <x v="26"/>
    <x v="22"/>
    <x v="4"/>
    <s v="69-933-2582"/>
    <x v="26"/>
    <x v="23"/>
    <n v="88"/>
    <n v="81"/>
    <s v="Sufficient"/>
    <n v="0"/>
    <s v="Normal"/>
    <x v="14"/>
    <n v="77.600000000000009"/>
    <d v="2024-05-11T00:00:00"/>
    <d v="2024-07-07T00:00:00"/>
    <d v="2024-06-26T00:00:00"/>
    <n v="656"/>
    <n v="599"/>
    <n v="610"/>
    <s v="Safe"/>
    <s v="895 Northland Hill"/>
    <x v="23"/>
    <n v="7527.2000000000007"/>
    <n v="18"/>
    <s v="Discontinued"/>
    <n v="7449.6"/>
  </r>
  <r>
    <x v="27"/>
    <x v="23"/>
    <x v="2"/>
    <s v="67-771-7656"/>
    <x v="27"/>
    <x v="18"/>
    <n v="87"/>
    <n v="39"/>
    <s v="Require"/>
    <n v="87"/>
    <s v="High Priority"/>
    <x v="2"/>
    <n v="432"/>
    <d v="2024-06-24T00:00:00"/>
    <d v="2025-02-24T00:00:00"/>
    <d v="2024-03-17T00:00:00"/>
    <n v="612"/>
    <n v="367"/>
    <n v="711"/>
    <s v="Safe"/>
    <s v="91 Kinsman Terrace"/>
    <x v="24"/>
    <n v="40608"/>
    <n v="57"/>
    <s v="Active"/>
    <n v="40176"/>
  </r>
  <r>
    <x v="28"/>
    <x v="24"/>
    <x v="5"/>
    <s v="75-503-9347"/>
    <x v="22"/>
    <x v="24"/>
    <n v="9"/>
    <n v="32"/>
    <s v="Sufficient"/>
    <n v="0"/>
    <s v="Normal"/>
    <x v="15"/>
    <n v="80"/>
    <d v="2024-07-16T00:00:00"/>
    <d v="2024-08-21T00:00:00"/>
    <d v="2025-02-07T00:00:00"/>
    <n v="590"/>
    <n v="554"/>
    <n v="384"/>
    <s v="Expiring Soon"/>
    <s v="492 Shoshone Road"/>
    <x v="25"/>
    <n v="4000"/>
    <n v="98"/>
    <s v="Backordered"/>
    <n v="3920"/>
  </r>
  <r>
    <x v="29"/>
    <x v="25"/>
    <x v="2"/>
    <s v="09-090-6360"/>
    <x v="28"/>
    <x v="25"/>
    <n v="20"/>
    <n v="5"/>
    <s v="Sufficient"/>
    <n v="0"/>
    <s v="Normal"/>
    <x v="0"/>
    <n v="346.5"/>
    <d v="2024-08-18T00:00:00"/>
    <d v="2024-11-19T00:00:00"/>
    <d v="2024-12-20T00:00:00"/>
    <n v="557"/>
    <n v="464"/>
    <n v="433"/>
    <s v="Expiring Soon"/>
    <s v="3 Hooker Way"/>
    <x v="26"/>
    <n v="21136.5"/>
    <n v="62"/>
    <s v="Discontinued"/>
    <n v="20790"/>
  </r>
  <r>
    <x v="30"/>
    <x v="26"/>
    <x v="2"/>
    <s v="79-915-4185"/>
    <x v="29"/>
    <x v="26"/>
    <n v="36"/>
    <n v="72"/>
    <s v="Require"/>
    <n v="36"/>
    <s v="Normal"/>
    <x v="5"/>
    <n v="33.25"/>
    <d v="2024-03-05T00:00:00"/>
    <d v="2024-03-28T00:00:00"/>
    <d v="2024-03-06T00:00:00"/>
    <n v="723"/>
    <n v="700"/>
    <n v="722"/>
    <s v="Safe"/>
    <s v="157 David Center"/>
    <x v="2"/>
    <n v="1030.75"/>
    <n v="81"/>
    <s v="Backordered"/>
    <n v="997.5"/>
  </r>
  <r>
    <x v="31"/>
    <x v="27"/>
    <x v="2"/>
    <s v="88-663-3393"/>
    <x v="30"/>
    <x v="27"/>
    <n v="52"/>
    <n v="22"/>
    <s v="Require"/>
    <n v="52"/>
    <s v="Normal"/>
    <x v="16"/>
    <n v="63"/>
    <d v="2024-08-23T00:00:00"/>
    <d v="2024-10-13T00:00:00"/>
    <d v="2024-09-28T00:00:00"/>
    <n v="552"/>
    <n v="501"/>
    <n v="516"/>
    <s v="Expiring Soon"/>
    <s v="3645 Ridge Oak Drive"/>
    <x v="27"/>
    <n v="2646"/>
    <n v="32"/>
    <s v="Backordered"/>
    <n v="2583"/>
  </r>
  <r>
    <x v="32"/>
    <x v="28"/>
    <x v="3"/>
    <s v="65-842-6819"/>
    <x v="31"/>
    <x v="28"/>
    <n v="48"/>
    <n v="73"/>
    <s v="Require"/>
    <n v="48"/>
    <s v="Normal"/>
    <x v="2"/>
    <n v="282"/>
    <d v="2024-08-13T00:00:00"/>
    <d v="2024-06-28T00:00:00"/>
    <d v="2024-03-05T00:00:00"/>
    <n v="562"/>
    <n v="608"/>
    <n v="723"/>
    <s v="Safe"/>
    <s v="504 Green Park"/>
    <x v="27"/>
    <n v="11844"/>
    <n v="51"/>
    <s v="Discontinued"/>
    <n v="11562"/>
  </r>
  <r>
    <x v="33"/>
    <x v="29"/>
    <x v="1"/>
    <s v="07-809-0926"/>
    <x v="32"/>
    <x v="25"/>
    <n v="45"/>
    <n v="75"/>
    <s v="Sufficient"/>
    <n v="0"/>
    <s v="Normal"/>
    <x v="17"/>
    <n v="2310"/>
    <d v="2024-05-11T00:00:00"/>
    <d v="2024-08-19T00:00:00"/>
    <d v="2024-06-23T00:00:00"/>
    <n v="656"/>
    <n v="556"/>
    <n v="613"/>
    <s v="Safe"/>
    <s v="26175 Oxford Way"/>
    <x v="28"/>
    <n v="57750"/>
    <n v="37"/>
    <s v="Discontinued"/>
    <n v="55440"/>
  </r>
  <r>
    <x v="34"/>
    <x v="30"/>
    <x v="6"/>
    <s v="38-622-5251"/>
    <x v="33"/>
    <x v="29"/>
    <n v="28"/>
    <n v="73"/>
    <s v="Sufficient"/>
    <n v="0"/>
    <s v="Normal"/>
    <x v="18"/>
    <n v="414"/>
    <d v="2024-05-28T00:00:00"/>
    <d v="2024-10-28T00:00:00"/>
    <d v="2024-12-26T00:00:00"/>
    <n v="639"/>
    <n v="486"/>
    <n v="427"/>
    <s v="Expiring Soon"/>
    <s v="582 Sauthoff Crossing"/>
    <x v="29"/>
    <n v="26910"/>
    <n v="57"/>
    <s v="Discontinued"/>
    <n v="26496"/>
  </r>
  <r>
    <x v="35"/>
    <x v="31"/>
    <x v="2"/>
    <s v="68-836-0350"/>
    <x v="34"/>
    <x v="30"/>
    <n v="22"/>
    <n v="73"/>
    <s v="Sufficient"/>
    <n v="0"/>
    <s v="Normal"/>
    <x v="10"/>
    <n v="78"/>
    <d v="2024-11-06T00:00:00"/>
    <d v="2024-07-23T00:00:00"/>
    <d v="2024-10-28T00:00:00"/>
    <n v="477"/>
    <n v="583"/>
    <n v="486"/>
    <s v="Expiring Soon"/>
    <s v="13 Corscot Hill"/>
    <x v="30"/>
    <n v="4680"/>
    <n v="2"/>
    <s v="Active"/>
    <n v="4602"/>
  </r>
  <r>
    <x v="36"/>
    <x v="0"/>
    <x v="0"/>
    <s v="04-726-3363"/>
    <x v="35"/>
    <x v="31"/>
    <n v="69"/>
    <n v="100"/>
    <s v="Sufficient"/>
    <n v="0"/>
    <s v="Normal"/>
    <x v="0"/>
    <n v="337.5"/>
    <d v="2024-11-07T00:00:00"/>
    <d v="2025-01-19T00:00:00"/>
    <d v="2025-02-16T00:00:00"/>
    <n v="476"/>
    <n v="403"/>
    <n v="375"/>
    <s v="Expiring Soon"/>
    <s v="67 Little Fleur Road"/>
    <x v="31"/>
    <n v="14512.5"/>
    <n v="18"/>
    <s v="Backordered"/>
    <n v="14175"/>
  </r>
  <r>
    <x v="37"/>
    <x v="27"/>
    <x v="2"/>
    <s v="94-217-4781"/>
    <x v="36"/>
    <x v="32"/>
    <n v="48"/>
    <n v="39"/>
    <s v="Require"/>
    <n v="48"/>
    <s v="Normal"/>
    <x v="19"/>
    <n v="165.60000000000002"/>
    <d v="2024-03-17T00:00:00"/>
    <d v="2025-01-25T00:00:00"/>
    <d v="2024-10-30T00:00:00"/>
    <n v="711"/>
    <n v="397"/>
    <n v="484"/>
    <s v="Expiring Soon"/>
    <s v="4 Raven Drive"/>
    <x v="32"/>
    <n v="8445.6"/>
    <n v="50"/>
    <s v="Discontinued"/>
    <n v="8280"/>
  </r>
  <r>
    <x v="38"/>
    <x v="32"/>
    <x v="2"/>
    <s v="61-796-7912"/>
    <x v="37"/>
    <x v="33"/>
    <n v="90"/>
    <n v="26"/>
    <s v="Require"/>
    <n v="90"/>
    <s v="High Priority"/>
    <x v="6"/>
    <n v="152.5"/>
    <d v="2024-12-22T00:00:00"/>
    <d v="2024-07-09T00:00:00"/>
    <d v="2024-09-19T00:00:00"/>
    <n v="431"/>
    <n v="597"/>
    <n v="525"/>
    <s v="Expiring Soon"/>
    <s v="70001 Vahlen Lane"/>
    <x v="33"/>
    <n v="12047.5"/>
    <n v="84"/>
    <s v="Discontinued"/>
    <n v="11895"/>
  </r>
  <r>
    <x v="39"/>
    <x v="33"/>
    <x v="0"/>
    <s v="25-414-2945"/>
    <x v="38"/>
    <x v="34"/>
    <n v="90"/>
    <n v="85"/>
    <s v="Require"/>
    <n v="90"/>
    <s v="High Priority"/>
    <x v="7"/>
    <n v="180"/>
    <d v="2025-01-21T00:00:00"/>
    <d v="2024-03-20T00:00:00"/>
    <d v="2024-08-24T00:00:00"/>
    <n v="401"/>
    <n v="708"/>
    <n v="551"/>
    <s v="Safe"/>
    <s v="6 Orin Place"/>
    <x v="11"/>
    <n v="8460"/>
    <n v="9"/>
    <s v="Discontinued"/>
    <n v="8280"/>
  </r>
  <r>
    <x v="40"/>
    <x v="34"/>
    <x v="2"/>
    <s v="50-918-1373"/>
    <x v="39"/>
    <x v="35"/>
    <n v="55"/>
    <n v="51"/>
    <s v="Require"/>
    <n v="55"/>
    <s v="Normal"/>
    <x v="15"/>
    <n v="120"/>
    <d v="2024-04-26T00:00:00"/>
    <d v="2025-02-24T00:00:00"/>
    <d v="2024-11-25T00:00:00"/>
    <n v="671"/>
    <n v="367"/>
    <n v="458"/>
    <s v="Expiring Soon"/>
    <s v="108 Morning Center"/>
    <x v="34"/>
    <n v="4680"/>
    <n v="15"/>
    <s v="Discontinued"/>
    <n v="4560"/>
  </r>
  <r>
    <x v="41"/>
    <x v="35"/>
    <x v="2"/>
    <s v="34-017-9457"/>
    <x v="40"/>
    <x v="3"/>
    <n v="7"/>
    <n v="48"/>
    <s v="Sufficient"/>
    <n v="0"/>
    <s v="Normal"/>
    <x v="20"/>
    <n v="27.599999999999998"/>
    <d v="2024-06-24T00:00:00"/>
    <d v="2024-12-25T00:00:00"/>
    <d v="2024-06-05T00:00:00"/>
    <n v="612"/>
    <n v="428"/>
    <n v="631"/>
    <s v="Safe"/>
    <s v="867 Merrick Place"/>
    <x v="15"/>
    <n v="1821.6"/>
    <n v="4"/>
    <s v="Discontinued"/>
    <n v="1794"/>
  </r>
  <r>
    <x v="42"/>
    <x v="36"/>
    <x v="1"/>
    <s v="68-482-4786"/>
    <x v="26"/>
    <x v="36"/>
    <n v="13"/>
    <n v="88"/>
    <s v="Sufficient"/>
    <n v="0"/>
    <s v="Normal"/>
    <x v="21"/>
    <n v="1260"/>
    <d v="2025-01-26T00:00:00"/>
    <d v="2024-04-12T00:00:00"/>
    <d v="2024-07-22T00:00:00"/>
    <n v="396"/>
    <n v="685"/>
    <n v="584"/>
    <s v="Safe"/>
    <s v="564 Hazelcrest Crossing"/>
    <x v="28"/>
    <n v="31500"/>
    <n v="34"/>
    <s v="Backordered"/>
    <n v="30240"/>
  </r>
  <r>
    <x v="43"/>
    <x v="37"/>
    <x v="4"/>
    <s v="19-469-9841"/>
    <x v="41"/>
    <x v="37"/>
    <n v="100"/>
    <n v="70"/>
    <s v="Require"/>
    <n v="100"/>
    <s v="High Priority"/>
    <x v="7"/>
    <n v="153"/>
    <d v="2024-04-30T00:00:00"/>
    <d v="2024-10-21T00:00:00"/>
    <d v="2024-09-22T00:00:00"/>
    <n v="667"/>
    <n v="493"/>
    <n v="522"/>
    <s v="Expiring Soon"/>
    <s v="76 Toban Plaza"/>
    <x v="35"/>
    <n v="6120"/>
    <n v="21"/>
    <s v="Discontinued"/>
    <n v="5967"/>
  </r>
  <r>
    <x v="44"/>
    <x v="38"/>
    <x v="5"/>
    <s v="85-532-0172"/>
    <x v="42"/>
    <x v="17"/>
    <n v="36"/>
    <n v="37"/>
    <s v="Sufficient"/>
    <n v="0"/>
    <s v="Normal"/>
    <x v="16"/>
    <n v="227.5"/>
    <d v="2024-04-21T00:00:00"/>
    <d v="2024-12-06T00:00:00"/>
    <d v="2025-01-24T00:00:00"/>
    <n v="676"/>
    <n v="447"/>
    <n v="398"/>
    <s v="Expiring Soon"/>
    <s v="6 Lunder Parkway"/>
    <x v="0"/>
    <n v="7280"/>
    <n v="70"/>
    <s v="Backordered"/>
    <n v="7052.5"/>
  </r>
  <r>
    <x v="45"/>
    <x v="3"/>
    <x v="0"/>
    <s v="70-515-9048"/>
    <x v="43"/>
    <x v="38"/>
    <n v="88"/>
    <n v="32"/>
    <s v="Require"/>
    <n v="88"/>
    <s v="High Priority"/>
    <x v="3"/>
    <n v="100.5"/>
    <d v="2024-06-04T00:00:00"/>
    <d v="2024-01-05T00:00:00"/>
    <d v="2024-11-17T00:00:00"/>
    <n v="632"/>
    <n v="783"/>
    <n v="466"/>
    <s v="Expiring Soon"/>
    <s v="00397 Bay Terrace"/>
    <x v="15"/>
    <n v="6633"/>
    <n v="42"/>
    <s v="Discontinued"/>
    <n v="6532.5"/>
  </r>
  <r>
    <x v="46"/>
    <x v="14"/>
    <x v="0"/>
    <s v="41-772-6271"/>
    <x v="44"/>
    <x v="39"/>
    <n v="74"/>
    <n v="71"/>
    <s v="Require"/>
    <n v="74"/>
    <s v="High Priority"/>
    <x v="3"/>
    <n v="21"/>
    <d v="2024-08-18T00:00:00"/>
    <d v="2024-11-22T00:00:00"/>
    <d v="2024-05-16T00:00:00"/>
    <n v="557"/>
    <n v="461"/>
    <n v="651"/>
    <s v="Safe"/>
    <s v="8 Surrey Pass"/>
    <x v="36"/>
    <n v="777"/>
    <n v="22"/>
    <s v="Discontinued"/>
    <n v="756"/>
  </r>
  <r>
    <x v="47"/>
    <x v="39"/>
    <x v="2"/>
    <s v="46-382-2024"/>
    <x v="45"/>
    <x v="1"/>
    <n v="24"/>
    <n v="61"/>
    <s v="Sufficient"/>
    <n v="0"/>
    <s v="Normal"/>
    <x v="2"/>
    <n v="270"/>
    <d v="2025-01-21T00:00:00"/>
    <d v="2025-07-02T00:00:00"/>
    <d v="2025-02-15T00:00:00"/>
    <n v="401"/>
    <n v="239"/>
    <n v="376"/>
    <s v="Expiring Soon"/>
    <s v="80 Old Shore Plaza"/>
    <x v="37"/>
    <n v="11880"/>
    <n v="34"/>
    <s v="Backordered"/>
    <n v="11610"/>
  </r>
  <r>
    <x v="48"/>
    <x v="34"/>
    <x v="2"/>
    <s v="98-940-7545"/>
    <x v="46"/>
    <x v="40"/>
    <n v="46"/>
    <n v="13"/>
    <s v="Sufficient"/>
    <n v="0"/>
    <s v="Normal"/>
    <x v="15"/>
    <n v="460"/>
    <d v="2024-07-28T00:00:00"/>
    <d v="2024-10-18T00:00:00"/>
    <d v="2024-03-26T00:00:00"/>
    <n v="578"/>
    <n v="496"/>
    <n v="702"/>
    <s v="Safe"/>
    <s v="387 Jay Point"/>
    <x v="38"/>
    <n v="11040"/>
    <n v="75"/>
    <s v="Discontinued"/>
    <n v="10580"/>
  </r>
  <r>
    <x v="49"/>
    <x v="40"/>
    <x v="5"/>
    <s v="79-575-9351"/>
    <x v="47"/>
    <x v="41"/>
    <n v="84"/>
    <n v="90"/>
    <s v="Require"/>
    <n v="84"/>
    <s v="High Priority"/>
    <x v="4"/>
    <n v="164"/>
    <d v="2025-01-28T00:00:00"/>
    <d v="2024-11-28T00:00:00"/>
    <d v="2024-11-12T00:00:00"/>
    <n v="394"/>
    <n v="455"/>
    <n v="471"/>
    <s v="Expiring Soon"/>
    <s v="24045 Bluestem Point"/>
    <x v="27"/>
    <n v="6888"/>
    <n v="65"/>
    <s v="Active"/>
    <n v="6724"/>
  </r>
  <r>
    <x v="50"/>
    <x v="33"/>
    <x v="0"/>
    <s v="10-762-7936"/>
    <x v="48"/>
    <x v="41"/>
    <n v="36"/>
    <n v="78"/>
    <s v="Sufficient"/>
    <n v="0"/>
    <s v="Normal"/>
    <x v="0"/>
    <n v="184.5"/>
    <d v="2024-04-07T00:00:00"/>
    <d v="2024-04-10T00:00:00"/>
    <d v="2024-05-15T00:00:00"/>
    <n v="690"/>
    <n v="687"/>
    <n v="652"/>
    <s v="Safe"/>
    <s v="805 Nancy Crossing"/>
    <x v="39"/>
    <n v="7011"/>
    <n v="75"/>
    <s v="Backordered"/>
    <n v="6826.5"/>
  </r>
  <r>
    <x v="51"/>
    <x v="41"/>
    <x v="2"/>
    <s v="84-047-0017"/>
    <x v="20"/>
    <x v="42"/>
    <n v="45"/>
    <n v="71"/>
    <s v="Sufficient"/>
    <n v="0"/>
    <s v="Normal"/>
    <x v="7"/>
    <n v="255"/>
    <d v="2024-03-20T00:00:00"/>
    <d v="2024-12-28T00:00:00"/>
    <d v="2025-02-02T00:00:00"/>
    <n v="708"/>
    <n v="425"/>
    <n v="389"/>
    <s v="Expiring Soon"/>
    <s v="44022 Barnett Way"/>
    <x v="3"/>
    <n v="24225"/>
    <n v="72"/>
    <s v="Discontinued"/>
    <n v="23970"/>
  </r>
  <r>
    <x v="52"/>
    <x v="27"/>
    <x v="2"/>
    <s v="48-878-3021"/>
    <x v="49"/>
    <x v="7"/>
    <n v="80"/>
    <n v="84"/>
    <s v="Require"/>
    <n v="80"/>
    <s v="High Priority"/>
    <x v="22"/>
    <n v="149.6"/>
    <d v="2024-08-30T00:00:00"/>
    <d v="2024-10-17T00:00:00"/>
    <d v="2024-03-05T00:00:00"/>
    <n v="545"/>
    <n v="497"/>
    <n v="723"/>
    <s v="Safe"/>
    <s v="3 Ronald Regan Center"/>
    <x v="40"/>
    <n v="14361.599999999999"/>
    <n v="68"/>
    <s v="Discontinued"/>
    <n v="14211.999999999998"/>
  </r>
  <r>
    <x v="53"/>
    <x v="42"/>
    <x v="5"/>
    <s v="41-587-4864"/>
    <x v="34"/>
    <x v="40"/>
    <n v="87"/>
    <n v="84"/>
    <s v="Sufficient"/>
    <n v="0"/>
    <s v="Normal"/>
    <x v="6"/>
    <n v="230"/>
    <d v="2024-10-19T00:00:00"/>
    <d v="2024-06-14T00:00:00"/>
    <d v="2024-05-22T00:00:00"/>
    <n v="495"/>
    <n v="622"/>
    <n v="645"/>
    <s v="Safe"/>
    <s v="4 Judy Hill"/>
    <x v="26"/>
    <n v="14030"/>
    <n v="31"/>
    <s v="Backordered"/>
    <n v="13800"/>
  </r>
  <r>
    <x v="54"/>
    <x v="43"/>
    <x v="1"/>
    <s v="53-844-0478"/>
    <x v="50"/>
    <x v="10"/>
    <n v="89"/>
    <n v="18"/>
    <s v="Require"/>
    <n v="89"/>
    <s v="High Priority"/>
    <x v="13"/>
    <n v="744"/>
    <d v="2024-12-03T00:00:00"/>
    <d v="2025-12-02T00:00:00"/>
    <d v="2024-11-28T00:00:00"/>
    <n v="450"/>
    <n v="86"/>
    <n v="455"/>
    <s v="Expiring Soon"/>
    <s v="90865 Sherman Court"/>
    <x v="41"/>
    <n v="26040"/>
    <n v="36"/>
    <s v="Active"/>
    <n v="25296"/>
  </r>
  <r>
    <x v="55"/>
    <x v="32"/>
    <x v="2"/>
    <s v="31-199-3683"/>
    <x v="29"/>
    <x v="11"/>
    <n v="18"/>
    <n v="62"/>
    <s v="Sufficient"/>
    <n v="0"/>
    <s v="Normal"/>
    <x v="6"/>
    <n v="65"/>
    <d v="2024-07-28T00:00:00"/>
    <d v="2024-07-21T00:00:00"/>
    <d v="2025-02-02T00:00:00"/>
    <n v="578"/>
    <n v="585"/>
    <n v="389"/>
    <s v="Expiring Soon"/>
    <s v="9695 Alpine Trail"/>
    <x v="42"/>
    <n v="3705"/>
    <n v="86"/>
    <s v="Discontinued"/>
    <n v="3640"/>
  </r>
  <r>
    <x v="56"/>
    <x v="40"/>
    <x v="5"/>
    <s v="37-099-6976"/>
    <x v="51"/>
    <x v="43"/>
    <n v="78"/>
    <n v="6"/>
    <s v="Require"/>
    <n v="78"/>
    <s v="High Priority"/>
    <x v="0"/>
    <n v="265.5"/>
    <d v="2024-03-11T00:00:00"/>
    <d v="2024-10-06T00:00:00"/>
    <d v="2024-11-26T00:00:00"/>
    <n v="717"/>
    <n v="508"/>
    <n v="457"/>
    <s v="Expiring Soon"/>
    <s v="72083 Acker Crossing"/>
    <x v="0"/>
    <n v="8496"/>
    <n v="3"/>
    <s v="Active"/>
    <n v="8230.5"/>
  </r>
  <r>
    <x v="57"/>
    <x v="41"/>
    <x v="2"/>
    <s v="87-893-6089"/>
    <x v="52"/>
    <x v="20"/>
    <n v="37"/>
    <n v="61"/>
    <s v="Sufficient"/>
    <n v="0"/>
    <s v="Normal"/>
    <x v="23"/>
    <n v="255.2"/>
    <d v="2025-03-02T00:00:00"/>
    <d v="2024-11-13T00:00:00"/>
    <d v="2024-03-19T00:00:00"/>
    <n v="361"/>
    <n v="470"/>
    <n v="709"/>
    <s v="Safe"/>
    <s v="812 Shelley Circle"/>
    <x v="13"/>
    <n v="16077.599999999999"/>
    <n v="35"/>
    <s v="Discontinued"/>
    <n v="15822.399999999998"/>
  </r>
  <r>
    <x v="58"/>
    <x v="44"/>
    <x v="6"/>
    <s v="71-727-8611"/>
    <x v="53"/>
    <x v="8"/>
    <n v="59"/>
    <n v="49"/>
    <s v="Sufficient"/>
    <n v="0"/>
    <s v="Normal"/>
    <x v="2"/>
    <n v="546"/>
    <d v="2024-10-23T00:00:00"/>
    <d v="2024-05-04T00:00:00"/>
    <d v="2024-06-26T00:00:00"/>
    <n v="491"/>
    <n v="663"/>
    <n v="610"/>
    <s v="Safe"/>
    <s v="7193 Crownhardt Drive"/>
    <x v="43"/>
    <n v="16380"/>
    <n v="63"/>
    <s v="Active"/>
    <n v="15834"/>
  </r>
  <r>
    <x v="59"/>
    <x v="28"/>
    <x v="3"/>
    <s v="08-209-1598"/>
    <x v="54"/>
    <x v="44"/>
    <n v="17"/>
    <n v="28"/>
    <s v="Sufficient"/>
    <n v="0"/>
    <s v="Normal"/>
    <x v="2"/>
    <n v="168"/>
    <d v="2024-10-24T00:00:00"/>
    <d v="2024-08-20T00:00:00"/>
    <d v="2024-08-27T00:00:00"/>
    <n v="490"/>
    <n v="555"/>
    <n v="548"/>
    <s v="Expiring Soon"/>
    <s v="76928 Tennyson Parkway"/>
    <x v="39"/>
    <n v="6384"/>
    <n v="25"/>
    <s v="Active"/>
    <n v="6216"/>
  </r>
  <r>
    <x v="60"/>
    <x v="45"/>
    <x v="2"/>
    <s v="22-867-3079"/>
    <x v="55"/>
    <x v="37"/>
    <n v="60"/>
    <n v="98"/>
    <s v="Require"/>
    <n v="60"/>
    <s v="Normal"/>
    <x v="3"/>
    <n v="76.5"/>
    <d v="2024-01-05T00:00:00"/>
    <d v="2024-12-12T00:00:00"/>
    <d v="2024-09-26T00:00:00"/>
    <n v="783"/>
    <n v="441"/>
    <n v="518"/>
    <s v="Expiring Soon"/>
    <s v="44801 Myrtle Center"/>
    <x v="37"/>
    <n v="3366"/>
    <n v="95"/>
    <s v="Discontinued"/>
    <n v="3289.5"/>
  </r>
  <r>
    <x v="61"/>
    <x v="46"/>
    <x v="1"/>
    <s v="50-314-5433"/>
    <x v="56"/>
    <x v="29"/>
    <n v="27"/>
    <n v="76"/>
    <s v="Sufficient"/>
    <n v="0"/>
    <s v="Normal"/>
    <x v="15"/>
    <n v="230"/>
    <d v="2024-09-15T00:00:00"/>
    <d v="2024-09-23T00:00:00"/>
    <d v="2025-01-13T00:00:00"/>
    <n v="529"/>
    <n v="521"/>
    <n v="409"/>
    <s v="Expiring Soon"/>
    <s v="79 Cardinal Court"/>
    <x v="44"/>
    <n v="14720"/>
    <n v="96"/>
    <s v="Active"/>
    <n v="14490"/>
  </r>
  <r>
    <x v="62"/>
    <x v="25"/>
    <x v="2"/>
    <s v="05-593-1927"/>
    <x v="57"/>
    <x v="45"/>
    <n v="65"/>
    <n v="69"/>
    <s v="Sufficient"/>
    <n v="0"/>
    <s v="Normal"/>
    <x v="24"/>
    <n v="364.90000000000003"/>
    <d v="2024-11-04T00:00:00"/>
    <d v="2024-12-11T00:00:00"/>
    <d v="2024-08-08T00:00:00"/>
    <n v="479"/>
    <n v="442"/>
    <n v="567"/>
    <s v="Safe"/>
    <s v="622 Anthes Lane"/>
    <x v="43"/>
    <n v="10947.000000000002"/>
    <n v="78"/>
    <s v="Backordered"/>
    <n v="10582.100000000002"/>
  </r>
  <r>
    <x v="63"/>
    <x v="28"/>
    <x v="3"/>
    <s v="91-492-8216"/>
    <x v="33"/>
    <x v="46"/>
    <n v="92"/>
    <n v="26"/>
    <s v="Sufficient"/>
    <n v="0"/>
    <s v="Normal"/>
    <x v="2"/>
    <n v="600"/>
    <d v="2024-05-05T00:00:00"/>
    <d v="2025-01-23T00:00:00"/>
    <d v="2025-02-16T00:00:00"/>
    <n v="662"/>
    <n v="399"/>
    <n v="375"/>
    <s v="Expiring Soon"/>
    <s v="8626 Chinook Parkway"/>
    <x v="45"/>
    <n v="50400"/>
    <n v="9"/>
    <s v="Active"/>
    <n v="49800"/>
  </r>
  <r>
    <x v="64"/>
    <x v="47"/>
    <x v="4"/>
    <s v="74-726-0855"/>
    <x v="58"/>
    <x v="37"/>
    <n v="53"/>
    <n v="88"/>
    <s v="Require"/>
    <n v="53"/>
    <s v="Normal"/>
    <x v="2"/>
    <n v="306"/>
    <d v="2025-01-31T00:00:00"/>
    <d v="2024-06-30T00:00:00"/>
    <d v="2024-09-24T00:00:00"/>
    <n v="391"/>
    <n v="606"/>
    <n v="520"/>
    <s v="Expiring Soon"/>
    <s v="19112 Little Fleur Road"/>
    <x v="46"/>
    <n v="16524"/>
    <n v="59"/>
    <s v="Discontinued"/>
    <n v="16218"/>
  </r>
  <r>
    <x v="65"/>
    <x v="36"/>
    <x v="1"/>
    <s v="90-534-2165"/>
    <x v="36"/>
    <x v="33"/>
    <n v="43"/>
    <n v="29"/>
    <s v="Sufficient"/>
    <n v="0"/>
    <s v="Normal"/>
    <x v="21"/>
    <n v="915"/>
    <d v="2025-03-02T00:00:00"/>
    <d v="2024-10-25T00:00:00"/>
    <d v="2024-03-03T00:00:00"/>
    <n v="361"/>
    <n v="489"/>
    <n v="725"/>
    <s v="Safe"/>
    <s v="40643 Sullivan Lane"/>
    <x v="6"/>
    <n v="61305"/>
    <n v="6"/>
    <s v="Discontinued"/>
    <n v="60390"/>
  </r>
  <r>
    <x v="66"/>
    <x v="48"/>
    <x v="1"/>
    <s v="73-069-2753"/>
    <x v="59"/>
    <x v="47"/>
    <n v="87"/>
    <n v="10"/>
    <s v="Sufficient"/>
    <n v="0"/>
    <s v="Normal"/>
    <x v="25"/>
    <n v="2475"/>
    <d v="2024-08-12T00:00:00"/>
    <d v="2024-02-29T00:00:00"/>
    <d v="2024-03-17T00:00:00"/>
    <n v="563"/>
    <n v="728"/>
    <n v="711"/>
    <s v="Safe"/>
    <s v="5756 Stephen Avenue"/>
    <x v="47"/>
    <n v="230175"/>
    <n v="70"/>
    <s v="Active"/>
    <n v="227700"/>
  </r>
  <r>
    <x v="67"/>
    <x v="26"/>
    <x v="2"/>
    <s v="15-852-0491"/>
    <x v="22"/>
    <x v="48"/>
    <n v="60"/>
    <n v="100"/>
    <s v="Require"/>
    <n v="60"/>
    <s v="Normal"/>
    <x v="26"/>
    <n v="23.400000000000002"/>
    <d v="2024-07-18T00:00:00"/>
    <d v="2025-01-16T00:00:00"/>
    <d v="2024-06-24T00:00:00"/>
    <n v="588"/>
    <n v="406"/>
    <n v="612"/>
    <s v="Safe"/>
    <s v="22 Dexter Trail"/>
    <x v="37"/>
    <n v="1029.6000000000001"/>
    <n v="32"/>
    <s v="Backordered"/>
    <n v="1006.2000000000002"/>
  </r>
  <r>
    <x v="68"/>
    <x v="49"/>
    <x v="4"/>
    <s v="58-474-3510"/>
    <x v="60"/>
    <x v="1"/>
    <n v="63"/>
    <n v="75"/>
    <s v="Require"/>
    <n v="63"/>
    <s v="High Priority"/>
    <x v="11"/>
    <n v="315"/>
    <d v="2025-01-28T00:00:00"/>
    <d v="2024-11-20T00:00:00"/>
    <d v="2025-02-09T00:00:00"/>
    <n v="394"/>
    <n v="463"/>
    <n v="382"/>
    <s v="Expiring Soon"/>
    <s v="9305 Warrior Way"/>
    <x v="48"/>
    <n v="26145"/>
    <n v="5"/>
    <s v="Discontinued"/>
    <n v="25830"/>
  </r>
  <r>
    <x v="69"/>
    <x v="50"/>
    <x v="2"/>
    <s v="02-575-7332"/>
    <x v="61"/>
    <x v="49"/>
    <n v="87"/>
    <n v="46"/>
    <s v="Require"/>
    <n v="87"/>
    <s v="High Priority"/>
    <x v="4"/>
    <n v="292"/>
    <d v="2024-09-24T00:00:00"/>
    <d v="2025-01-15T00:00:00"/>
    <d v="2024-05-11T00:00:00"/>
    <n v="520"/>
    <n v="407"/>
    <n v="656"/>
    <s v="Safe"/>
    <s v="16 Elgar Point"/>
    <x v="11"/>
    <n v="13724"/>
    <n v="67"/>
    <s v="Discontinued"/>
    <n v="13432"/>
  </r>
  <r>
    <x v="70"/>
    <x v="51"/>
    <x v="2"/>
    <s v="08-828-3804"/>
    <x v="62"/>
    <x v="30"/>
    <n v="21"/>
    <n v="5"/>
    <s v="Sufficient"/>
    <n v="0"/>
    <s v="Normal"/>
    <x v="7"/>
    <n v="117"/>
    <d v="2024-11-24T00:00:00"/>
    <d v="2024-01-05T00:00:00"/>
    <d v="2025-01-08T00:00:00"/>
    <n v="459"/>
    <n v="783"/>
    <n v="414"/>
    <s v="Expiring Soon"/>
    <s v="81 Oneill Circle"/>
    <x v="32"/>
    <n v="5967"/>
    <n v="98"/>
    <s v="Backordered"/>
    <n v="5850"/>
  </r>
  <r>
    <x v="71"/>
    <x v="17"/>
    <x v="6"/>
    <s v="28-837-4164"/>
    <x v="63"/>
    <x v="50"/>
    <n v="72"/>
    <n v="96"/>
    <s v="Require"/>
    <n v="72"/>
    <s v="High Priority"/>
    <x v="13"/>
    <n v="348"/>
    <d v="2024-03-05T00:00:00"/>
    <d v="2024-11-26T00:00:00"/>
    <d v="2025-01-09T00:00:00"/>
    <n v="723"/>
    <n v="457"/>
    <n v="413"/>
    <s v="Expiring Soon"/>
    <s v="4508 Shopko Trail"/>
    <x v="1"/>
    <n v="29580"/>
    <n v="52"/>
    <s v="Active"/>
    <n v="29232"/>
  </r>
  <r>
    <x v="72"/>
    <x v="52"/>
    <x v="4"/>
    <s v="01-517-7793"/>
    <x v="64"/>
    <x v="3"/>
    <n v="60"/>
    <n v="73"/>
    <s v="Require"/>
    <n v="60"/>
    <s v="Normal"/>
    <x v="4"/>
    <n v="48"/>
    <d v="2025-03-02T00:00:00"/>
    <d v="2024-03-16T00:00:00"/>
    <d v="2024-09-01T00:00:00"/>
    <n v="361"/>
    <n v="712"/>
    <n v="543"/>
    <s v="Expiring Soon"/>
    <s v="00 Luster Alley"/>
    <x v="14"/>
    <n v="960"/>
    <n v="35"/>
    <s v="Discontinued"/>
    <n v="912"/>
  </r>
  <r>
    <x v="73"/>
    <x v="53"/>
    <x v="2"/>
    <s v="14-724-4622"/>
    <x v="65"/>
    <x v="6"/>
    <n v="33"/>
    <n v="72"/>
    <s v="Sufficient"/>
    <n v="0"/>
    <s v="Normal"/>
    <x v="24"/>
    <n v="427.20000000000005"/>
    <d v="2024-10-03T00:00:00"/>
    <d v="2024-05-16T00:00:00"/>
    <d v="2024-07-12T00:00:00"/>
    <n v="511"/>
    <n v="651"/>
    <n v="594"/>
    <s v="Safe"/>
    <s v="459 Gateway Pass"/>
    <x v="49"/>
    <n v="31612.800000000003"/>
    <n v="100"/>
    <s v="Active"/>
    <n v="31185.600000000002"/>
  </r>
  <r>
    <x v="74"/>
    <x v="31"/>
    <x v="2"/>
    <s v="06-159-1957"/>
    <x v="66"/>
    <x v="51"/>
    <n v="92"/>
    <n v="74"/>
    <s v="Require"/>
    <n v="92"/>
    <s v="High Priority"/>
    <x v="10"/>
    <n v="70"/>
    <d v="2024-11-25T00:00:00"/>
    <d v="2025-03-02T00:00:00"/>
    <d v="2024-11-14T00:00:00"/>
    <n v="458"/>
    <n v="361"/>
    <n v="469"/>
    <s v="Expiring Soon"/>
    <s v="82737 Ryan Place"/>
    <x v="50"/>
    <n v="5320"/>
    <n v="32"/>
    <s v="Active"/>
    <n v="5250"/>
  </r>
  <r>
    <x v="75"/>
    <x v="44"/>
    <x v="6"/>
    <s v="99-784-4391"/>
    <x v="67"/>
    <x v="52"/>
    <n v="34"/>
    <n v="15"/>
    <s v="Sufficient"/>
    <n v="0"/>
    <s v="Normal"/>
    <x v="2"/>
    <n v="534"/>
    <d v="2024-12-31T00:00:00"/>
    <d v="2024-08-03T00:00:00"/>
    <d v="2024-08-24T00:00:00"/>
    <n v="422"/>
    <n v="572"/>
    <n v="551"/>
    <s v="Safe"/>
    <s v="7 Mockingbird Hill"/>
    <x v="30"/>
    <n v="32040"/>
    <n v="2"/>
    <s v="Discontinued"/>
    <n v="31506"/>
  </r>
  <r>
    <x v="76"/>
    <x v="34"/>
    <x v="2"/>
    <s v="42-224-8186"/>
    <x v="68"/>
    <x v="34"/>
    <n v="36"/>
    <n v="28"/>
    <s v="Sufficient"/>
    <n v="0"/>
    <s v="Normal"/>
    <x v="0"/>
    <n v="270"/>
    <d v="2024-06-30T00:00:00"/>
    <d v="2024-09-18T00:00:00"/>
    <d v="2024-12-20T00:00:00"/>
    <n v="606"/>
    <n v="526"/>
    <n v="433"/>
    <s v="Expiring Soon"/>
    <s v="081 Bellgrove Place"/>
    <x v="51"/>
    <n v="7020"/>
    <n v="29"/>
    <s v="Active"/>
    <n v="6750"/>
  </r>
  <r>
    <x v="77"/>
    <x v="54"/>
    <x v="0"/>
    <s v="23-319-2681"/>
    <x v="1"/>
    <x v="53"/>
    <n v="34"/>
    <n v="74"/>
    <s v="Require"/>
    <n v="34"/>
    <s v="Normal"/>
    <x v="0"/>
    <n v="90"/>
    <d v="2024-09-21T00:00:00"/>
    <d v="2024-10-24T00:00:00"/>
    <d v="2025-02-15T00:00:00"/>
    <n v="523"/>
    <n v="490"/>
    <n v="376"/>
    <s v="Expiring Soon"/>
    <s v="05433 Towne Terrace"/>
    <x v="25"/>
    <n v="4500"/>
    <n v="83"/>
    <s v="Discontinued"/>
    <n v="4410"/>
  </r>
  <r>
    <x v="78"/>
    <x v="55"/>
    <x v="2"/>
    <s v="53-584-1853"/>
    <x v="65"/>
    <x v="44"/>
    <n v="40"/>
    <n v="27"/>
    <s v="Require"/>
    <n v="40"/>
    <s v="Normal"/>
    <x v="27"/>
    <n v="33.6"/>
    <d v="2024-12-14T00:00:00"/>
    <d v="2024-07-29T00:00:00"/>
    <d v="2024-10-27T00:00:00"/>
    <n v="439"/>
    <n v="577"/>
    <n v="487"/>
    <s v="Expiring Soon"/>
    <s v="924 La Follette Alley"/>
    <x v="43"/>
    <n v="1008"/>
    <n v="56"/>
    <s v="Active"/>
    <n v="974.4"/>
  </r>
  <r>
    <x v="79"/>
    <x v="6"/>
    <x v="3"/>
    <s v="34-726-5887"/>
    <x v="69"/>
    <x v="53"/>
    <n v="55"/>
    <n v="15"/>
    <s v="Require"/>
    <n v="55"/>
    <s v="Normal"/>
    <x v="6"/>
    <n v="50"/>
    <d v="2024-09-12T00:00:00"/>
    <d v="2024-12-04T00:00:00"/>
    <d v="2024-09-09T00:00:00"/>
    <n v="532"/>
    <n v="449"/>
    <n v="535"/>
    <s v="Expiring Soon"/>
    <s v="7 Gateway Center"/>
    <x v="52"/>
    <n v="4300"/>
    <n v="61"/>
    <s v="Backordered"/>
    <n v="4250"/>
  </r>
  <r>
    <x v="80"/>
    <x v="56"/>
    <x v="5"/>
    <s v="89-134-9717"/>
    <x v="70"/>
    <x v="54"/>
    <n v="93"/>
    <n v="61"/>
    <s v="Require"/>
    <n v="93"/>
    <s v="High Priority"/>
    <x v="2"/>
    <n v="228"/>
    <d v="2024-10-12T00:00:00"/>
    <d v="2024-07-15T00:00:00"/>
    <d v="2024-08-30T00:00:00"/>
    <n v="502"/>
    <n v="591"/>
    <n v="545"/>
    <s v="Expiring Soon"/>
    <s v="175 Sycamore Circle"/>
    <x v="6"/>
    <n v="15276"/>
    <n v="100"/>
    <s v="Active"/>
    <n v="15048"/>
  </r>
  <r>
    <x v="81"/>
    <x v="57"/>
    <x v="2"/>
    <s v="42-380-8881"/>
    <x v="71"/>
    <x v="47"/>
    <n v="1"/>
    <n v="4"/>
    <s v="Sufficient"/>
    <n v="0"/>
    <s v="Normal"/>
    <x v="7"/>
    <n v="297"/>
    <d v="2024-12-13T00:00:00"/>
    <d v="2025-01-27T00:00:00"/>
    <d v="2024-08-19T00:00:00"/>
    <n v="440"/>
    <n v="395"/>
    <n v="556"/>
    <s v="Safe"/>
    <s v="553 Mayfield Crossing"/>
    <x v="25"/>
    <n v="14850"/>
    <n v="53"/>
    <s v="Backordered"/>
    <n v="14553"/>
  </r>
  <r>
    <x v="82"/>
    <x v="58"/>
    <x v="4"/>
    <s v="33-818-4917"/>
    <x v="72"/>
    <x v="40"/>
    <n v="52"/>
    <n v="80"/>
    <s v="Sufficient"/>
    <n v="0"/>
    <s v="Normal"/>
    <x v="6"/>
    <n v="230"/>
    <d v="2024-03-06T00:00:00"/>
    <d v="2024-10-22T00:00:00"/>
    <d v="2024-03-21T00:00:00"/>
    <n v="722"/>
    <n v="492"/>
    <n v="707"/>
    <s v="Safe"/>
    <s v="74997 Katie Terrace"/>
    <x v="53"/>
    <n v="16560"/>
    <n v="96"/>
    <s v="Discontinued"/>
    <n v="16330"/>
  </r>
  <r>
    <x v="83"/>
    <x v="16"/>
    <x v="2"/>
    <s v="12-950-4397"/>
    <x v="73"/>
    <x v="41"/>
    <n v="29"/>
    <n v="76"/>
    <s v="Sufficient"/>
    <n v="0"/>
    <s v="Normal"/>
    <x v="28"/>
    <n v="98.399999999999991"/>
    <d v="2024-02-26T00:00:00"/>
    <d v="2024-09-13T00:00:00"/>
    <d v="2024-10-01T00:00:00"/>
    <n v="731"/>
    <n v="531"/>
    <n v="513"/>
    <s v="Expiring Soon"/>
    <s v="3616 Carey Pass"/>
    <x v="22"/>
    <n v="5805.5999999999995"/>
    <n v="4"/>
    <s v="Discontinued"/>
    <n v="5707.2"/>
  </r>
  <r>
    <x v="84"/>
    <x v="44"/>
    <x v="6"/>
    <s v="66-832-1802"/>
    <x v="74"/>
    <x v="7"/>
    <n v="67"/>
    <n v="48"/>
    <s v="Require"/>
    <n v="67"/>
    <s v="High Priority"/>
    <x v="2"/>
    <n v="264"/>
    <d v="2024-05-09T00:00:00"/>
    <d v="2024-09-21T00:00:00"/>
    <d v="2024-03-24T00:00:00"/>
    <n v="658"/>
    <n v="523"/>
    <n v="704"/>
    <s v="Safe"/>
    <s v="86207 Tennyson Parkway"/>
    <x v="54"/>
    <n v="23760"/>
    <n v="11"/>
    <s v="Active"/>
    <n v="23496"/>
  </r>
  <r>
    <x v="85"/>
    <x v="10"/>
    <x v="0"/>
    <s v="59-849-9942"/>
    <x v="75"/>
    <x v="28"/>
    <n v="7"/>
    <n v="63"/>
    <s v="Sufficient"/>
    <n v="0"/>
    <s v="Normal"/>
    <x v="10"/>
    <n v="94"/>
    <d v="2024-05-18T00:00:00"/>
    <d v="2024-09-20T00:00:00"/>
    <d v="2024-04-30T00:00:00"/>
    <n v="649"/>
    <n v="524"/>
    <n v="667"/>
    <s v="Safe"/>
    <s v="6 Nobel Junction"/>
    <x v="18"/>
    <n v="2726"/>
    <n v="20"/>
    <s v="Backordered"/>
    <n v="2632"/>
  </r>
  <r>
    <x v="86"/>
    <x v="14"/>
    <x v="0"/>
    <s v="54-188-1006"/>
    <x v="19"/>
    <x v="55"/>
    <n v="63"/>
    <n v="65"/>
    <s v="Require"/>
    <n v="63"/>
    <s v="High Priority"/>
    <x v="3"/>
    <n v="31.5"/>
    <d v="2024-08-10T00:00:00"/>
    <d v="2024-10-11T00:00:00"/>
    <d v="2025-02-22T00:00:00"/>
    <n v="565"/>
    <n v="503"/>
    <n v="369"/>
    <s v="Expiring Soon"/>
    <s v="81878 Nobel Point"/>
    <x v="39"/>
    <n v="1197"/>
    <n v="73"/>
    <s v="Discontinued"/>
    <n v="1165.5"/>
  </r>
  <r>
    <x v="87"/>
    <x v="26"/>
    <x v="2"/>
    <s v="06-708-1412"/>
    <x v="76"/>
    <x v="42"/>
    <n v="33"/>
    <n v="50"/>
    <s v="Sufficient"/>
    <n v="0"/>
    <s v="Normal"/>
    <x v="26"/>
    <n v="153"/>
    <d v="2024-06-03T00:00:00"/>
    <d v="2024-07-15T00:00:00"/>
    <d v="2025-01-21T00:00:00"/>
    <n v="633"/>
    <n v="591"/>
    <n v="401"/>
    <s v="Expiring Soon"/>
    <s v="61707 Mariners Cove Park"/>
    <x v="44"/>
    <n v="9792"/>
    <n v="38"/>
    <s v="Discontinued"/>
    <n v="9639"/>
  </r>
  <r>
    <x v="88"/>
    <x v="15"/>
    <x v="4"/>
    <s v="72-514-7323"/>
    <x v="77"/>
    <x v="50"/>
    <n v="4"/>
    <n v="17"/>
    <s v="Sufficient"/>
    <n v="0"/>
    <s v="Normal"/>
    <x v="12"/>
    <n v="232"/>
    <d v="2025-01-19T00:00:00"/>
    <d v="2024-11-13T00:00:00"/>
    <d v="2024-06-17T00:00:00"/>
    <n v="403"/>
    <n v="470"/>
    <n v="619"/>
    <s v="Safe"/>
    <s v="5 Waxwing Junction"/>
    <x v="22"/>
    <n v="13688"/>
    <n v="52"/>
    <s v="Active"/>
    <n v="13456"/>
  </r>
  <r>
    <x v="89"/>
    <x v="59"/>
    <x v="3"/>
    <s v="43-786-9229"/>
    <x v="78"/>
    <x v="56"/>
    <n v="21"/>
    <n v="13"/>
    <s v="Sufficient"/>
    <n v="0"/>
    <s v="Normal"/>
    <x v="4"/>
    <n v="256"/>
    <d v="2025-01-30T00:00:00"/>
    <d v="2024-11-10T00:00:00"/>
    <d v="2024-11-16T00:00:00"/>
    <n v="392"/>
    <n v="473"/>
    <n v="467"/>
    <s v="Expiring Soon"/>
    <s v="16 Autumn Leaf Way"/>
    <x v="32"/>
    <n v="13056"/>
    <n v="26"/>
    <s v="Backordered"/>
    <n v="12800"/>
  </r>
  <r>
    <x v="90"/>
    <x v="60"/>
    <x v="2"/>
    <s v="23-178-8962"/>
    <x v="79"/>
    <x v="57"/>
    <n v="40"/>
    <n v="96"/>
    <s v="Sufficient"/>
    <n v="0"/>
    <s v="Normal"/>
    <x v="29"/>
    <n v="660"/>
    <d v="2024-02-28T00:00:00"/>
    <d v="2024-06-22T00:00:00"/>
    <d v="2025-02-06T00:00:00"/>
    <n v="729"/>
    <n v="614"/>
    <n v="385"/>
    <s v="Expiring Soon"/>
    <s v="22782 Oriole Way"/>
    <x v="38"/>
    <n v="15840"/>
    <n v="61"/>
    <s v="Active"/>
    <n v="15180"/>
  </r>
  <r>
    <x v="91"/>
    <x v="61"/>
    <x v="5"/>
    <s v="01-801-9502"/>
    <x v="80"/>
    <x v="31"/>
    <n v="81"/>
    <n v="17"/>
    <s v="Require"/>
    <n v="81"/>
    <s v="High Priority"/>
    <x v="15"/>
    <n v="375"/>
    <d v="2024-09-07T00:00:00"/>
    <d v="2025-02-17T00:00:00"/>
    <d v="2025-02-20T00:00:00"/>
    <n v="537"/>
    <n v="374"/>
    <n v="371"/>
    <s v="Expiring Soon"/>
    <s v="43442 Homewood Street"/>
    <x v="12"/>
    <n v="25875"/>
    <n v="38"/>
    <s v="Active"/>
    <n v="25500"/>
  </r>
  <r>
    <x v="92"/>
    <x v="62"/>
    <x v="4"/>
    <s v="71-092-6845"/>
    <x v="81"/>
    <x v="58"/>
    <n v="63"/>
    <n v="2"/>
    <s v="Require"/>
    <n v="63"/>
    <s v="High Priority"/>
    <x v="18"/>
    <n v="477"/>
    <d v="2024-02-08T00:00:00"/>
    <d v="2024-12-10T00:00:00"/>
    <d v="2024-03-20T00:00:00"/>
    <n v="749"/>
    <n v="443"/>
    <n v="708"/>
    <s v="Safe"/>
    <s v="19 Shoshone Circle"/>
    <x v="8"/>
    <n v="26712"/>
    <n v="95"/>
    <s v="Active"/>
    <n v="26235"/>
  </r>
  <r>
    <x v="93"/>
    <x v="63"/>
    <x v="3"/>
    <s v="18-631-1458"/>
    <x v="11"/>
    <x v="9"/>
    <n v="63"/>
    <n v="80"/>
    <s v="Require"/>
    <n v="63"/>
    <s v="High Priority"/>
    <x v="26"/>
    <n v="77.400000000000006"/>
    <d v="2024-06-23T00:00:00"/>
    <d v="2024-07-31T00:00:00"/>
    <d v="2025-02-11T00:00:00"/>
    <n v="613"/>
    <n v="575"/>
    <n v="380"/>
    <s v="Expiring Soon"/>
    <s v="97 Sunnyside Court"/>
    <x v="55"/>
    <n v="2554.2000000000003"/>
    <n v="96"/>
    <s v="Discontinued"/>
    <n v="2476.8000000000002"/>
  </r>
  <r>
    <x v="94"/>
    <x v="51"/>
    <x v="2"/>
    <s v="24-576-3402"/>
    <x v="82"/>
    <x v="59"/>
    <n v="30"/>
    <n v="24"/>
    <s v="Sufficient"/>
    <n v="0"/>
    <s v="Normal"/>
    <x v="7"/>
    <n v="222"/>
    <d v="2024-09-08T00:00:00"/>
    <d v="2024-10-13T00:00:00"/>
    <d v="2024-07-31T00:00:00"/>
    <n v="536"/>
    <n v="501"/>
    <n v="575"/>
    <s v="Safe"/>
    <s v="357 Maple Park"/>
    <x v="19"/>
    <n v="18204"/>
    <n v="12"/>
    <s v="Active"/>
    <n v="17982"/>
  </r>
  <r>
    <x v="95"/>
    <x v="64"/>
    <x v="2"/>
    <s v="24-281-7685"/>
    <x v="48"/>
    <x v="15"/>
    <n v="22"/>
    <n v="89"/>
    <s v="Sufficient"/>
    <n v="0"/>
    <s v="Normal"/>
    <x v="11"/>
    <n v="189"/>
    <d v="2024-01-05T00:00:00"/>
    <d v="2024-07-28T00:00:00"/>
    <d v="2024-05-20T00:00:00"/>
    <n v="783"/>
    <n v="578"/>
    <n v="647"/>
    <s v="Safe"/>
    <s v="6195 Monterey Center"/>
    <x v="56"/>
    <n v="17199"/>
    <n v="77"/>
    <s v="Discontinued"/>
    <n v="17010"/>
  </r>
  <r>
    <x v="96"/>
    <x v="65"/>
    <x v="0"/>
    <s v="83-960-5274"/>
    <x v="83"/>
    <x v="8"/>
    <n v="73"/>
    <n v="77"/>
    <s v="Sufficient"/>
    <n v="0"/>
    <s v="Normal"/>
    <x v="30"/>
    <n v="432.25"/>
    <d v="2025-01-02T00:00:00"/>
    <d v="2024-08-24T00:00:00"/>
    <d v="2024-12-07T00:00:00"/>
    <n v="420"/>
    <n v="551"/>
    <n v="446"/>
    <s v="Expiring Soon"/>
    <s v="7242 Claremont Avenue"/>
    <x v="32"/>
    <n v="22044.75"/>
    <n v="49"/>
    <s v="Discontinued"/>
    <n v="21612.5"/>
  </r>
  <r>
    <x v="97"/>
    <x v="66"/>
    <x v="0"/>
    <s v="27-970-8649"/>
    <x v="16"/>
    <x v="60"/>
    <n v="81"/>
    <n v="53"/>
    <s v="Require"/>
    <n v="81"/>
    <s v="High Priority"/>
    <x v="10"/>
    <n v="104"/>
    <d v="2024-08-28T00:00:00"/>
    <d v="2024-11-27T00:00:00"/>
    <d v="2025-02-24T00:00:00"/>
    <n v="547"/>
    <n v="456"/>
    <n v="367"/>
    <s v="Expiring Soon"/>
    <s v="127 Eliot Road"/>
    <x v="3"/>
    <n v="9880"/>
    <n v="88"/>
    <s v="Backordered"/>
    <n v="9776"/>
  </r>
  <r>
    <x v="98"/>
    <x v="32"/>
    <x v="2"/>
    <s v="02-272-0535"/>
    <x v="84"/>
    <x v="9"/>
    <n v="66"/>
    <n v="85"/>
    <s v="Require"/>
    <n v="66"/>
    <s v="High Priority"/>
    <x v="6"/>
    <n v="107.5"/>
    <d v="2024-04-20T00:00:00"/>
    <d v="2024-09-14T00:00:00"/>
    <d v="2024-04-19T00:00:00"/>
    <n v="677"/>
    <n v="530"/>
    <n v="678"/>
    <s v="Safe"/>
    <s v="8 Russell Pass"/>
    <x v="15"/>
    <n v="7095"/>
    <n v="65"/>
    <s v="Discontinued"/>
    <n v="6987.5"/>
  </r>
  <r>
    <x v="99"/>
    <x v="38"/>
    <x v="5"/>
    <s v="06-303-4127"/>
    <x v="85"/>
    <x v="61"/>
    <n v="86"/>
    <n v="23"/>
    <s v="Require"/>
    <n v="86"/>
    <s v="High Priority"/>
    <x v="31"/>
    <n v="179.20000000000002"/>
    <d v="2024-04-15T00:00:00"/>
    <d v="2024-04-29T00:00:00"/>
    <d v="2024-04-09T00:00:00"/>
    <n v="682"/>
    <n v="668"/>
    <n v="688"/>
    <s v="Safe"/>
    <s v="85408 Toban Crossing"/>
    <x v="6"/>
    <n v="12006.400000000001"/>
    <n v="56"/>
    <s v="Backordered"/>
    <n v="11827.2"/>
  </r>
  <r>
    <x v="100"/>
    <x v="47"/>
    <x v="4"/>
    <s v="40-696-4237"/>
    <x v="86"/>
    <x v="57"/>
    <n v="40"/>
    <n v="8"/>
    <s v="Sufficient"/>
    <n v="0"/>
    <s v="Normal"/>
    <x v="2"/>
    <n v="396"/>
    <d v="2024-11-27T00:00:00"/>
    <d v="2025-01-18T00:00:00"/>
    <d v="2025-01-06T00:00:00"/>
    <n v="456"/>
    <n v="404"/>
    <n v="416"/>
    <s v="Expiring Soon"/>
    <s v="113 Donald Court"/>
    <x v="31"/>
    <n v="17028"/>
    <n v="49"/>
    <s v="Active"/>
    <n v="16632"/>
  </r>
  <r>
    <x v="101"/>
    <x v="14"/>
    <x v="0"/>
    <s v="00-131-9278"/>
    <x v="87"/>
    <x v="36"/>
    <n v="92"/>
    <n v="18"/>
    <s v="Require"/>
    <n v="92"/>
    <s v="High Priority"/>
    <x v="3"/>
    <n v="126"/>
    <d v="2024-10-29T00:00:00"/>
    <d v="2024-12-29T00:00:00"/>
    <d v="2024-02-25T00:00:00"/>
    <n v="485"/>
    <n v="424"/>
    <n v="732"/>
    <s v="Safe"/>
    <s v="978 Shasta Lane"/>
    <x v="57"/>
    <n v="11592"/>
    <n v="69"/>
    <s v="Active"/>
    <n v="11466"/>
  </r>
  <r>
    <x v="102"/>
    <x v="67"/>
    <x v="4"/>
    <s v="89-155-3471"/>
    <x v="33"/>
    <x v="4"/>
    <n v="5"/>
    <n v="1"/>
    <s v="Sufficient"/>
    <n v="0"/>
    <s v="Normal"/>
    <x v="15"/>
    <n v="185"/>
    <d v="2025-02-01T00:00:00"/>
    <d v="2024-02-26T00:00:00"/>
    <d v="2024-11-28T00:00:00"/>
    <n v="390"/>
    <n v="731"/>
    <n v="455"/>
    <s v="Expiring Soon"/>
    <s v="46 Hoffman Trail"/>
    <x v="58"/>
    <n v="12580"/>
    <n v="99"/>
    <s v="Active"/>
    <n v="12395"/>
  </r>
  <r>
    <x v="103"/>
    <x v="68"/>
    <x v="4"/>
    <s v="48-884-5431"/>
    <x v="88"/>
    <x v="50"/>
    <n v="36"/>
    <n v="40"/>
    <s v="Require"/>
    <n v="36"/>
    <s v="Normal"/>
    <x v="4"/>
    <n v="116"/>
    <d v="2024-08-11T00:00:00"/>
    <d v="2024-03-30T00:00:00"/>
    <d v="2024-09-07T00:00:00"/>
    <n v="564"/>
    <n v="698"/>
    <n v="537"/>
    <s v="Expiring Soon"/>
    <s v="7 Spohn Avenue"/>
    <x v="30"/>
    <n v="6960"/>
    <n v="96"/>
    <s v="Backordered"/>
    <n v="6844"/>
  </r>
  <r>
    <x v="104"/>
    <x v="69"/>
    <x v="0"/>
    <s v="16-419-1419"/>
    <x v="29"/>
    <x v="48"/>
    <n v="88"/>
    <n v="7"/>
    <s v="Require"/>
    <n v="88"/>
    <s v="High Priority"/>
    <x v="32"/>
    <n v="123.5"/>
    <d v="2024-07-28T00:00:00"/>
    <d v="2024-05-15T00:00:00"/>
    <d v="2024-07-03T00:00:00"/>
    <n v="578"/>
    <n v="652"/>
    <n v="603"/>
    <s v="Safe"/>
    <s v="1468 Meadow Vale Court"/>
    <x v="38"/>
    <n v="2964"/>
    <n v="21"/>
    <s v="Backordered"/>
    <n v="2840.5"/>
  </r>
  <r>
    <x v="105"/>
    <x v="35"/>
    <x v="2"/>
    <s v="36-780-8625"/>
    <x v="25"/>
    <x v="21"/>
    <n v="81"/>
    <n v="94"/>
    <s v="Require"/>
    <n v="81"/>
    <s v="High Priority"/>
    <x v="6"/>
    <n v="157.5"/>
    <d v="2024-04-06T00:00:00"/>
    <d v="2024-04-20T00:00:00"/>
    <d v="2024-11-19T00:00:00"/>
    <n v="691"/>
    <n v="677"/>
    <n v="464"/>
    <s v="Expiring Soon"/>
    <s v="208 Miller Court"/>
    <x v="8"/>
    <n v="8820"/>
    <n v="2"/>
    <s v="Active"/>
    <n v="8662.5"/>
  </r>
  <r>
    <x v="106"/>
    <x v="70"/>
    <x v="6"/>
    <s v="54-876-4296"/>
    <x v="45"/>
    <x v="12"/>
    <n v="63"/>
    <n v="73"/>
    <s v="Sufficient"/>
    <n v="0"/>
    <s v="Normal"/>
    <x v="11"/>
    <n v="665"/>
    <d v="2024-11-17T00:00:00"/>
    <d v="2024-05-06T00:00:00"/>
    <d v="2024-03-08T00:00:00"/>
    <n v="466"/>
    <n v="661"/>
    <n v="720"/>
    <s v="Safe"/>
    <s v="509 Carpenter Trail"/>
    <x v="26"/>
    <n v="40565"/>
    <n v="38"/>
    <s v="Backordered"/>
    <n v="39900"/>
  </r>
  <r>
    <x v="107"/>
    <x v="71"/>
    <x v="2"/>
    <s v="70-463-6597"/>
    <x v="89"/>
    <x v="62"/>
    <n v="5"/>
    <n v="1"/>
    <s v="Sufficient"/>
    <n v="0"/>
    <s v="Normal"/>
    <x v="10"/>
    <n v="116"/>
    <d v="2024-02-10T00:00:00"/>
    <d v="2024-10-14T00:00:00"/>
    <d v="2024-04-06T00:00:00"/>
    <n v="747"/>
    <n v="500"/>
    <n v="691"/>
    <s v="Safe"/>
    <s v="19069 Cordelia Drive"/>
    <x v="59"/>
    <n v="6148"/>
    <n v="80"/>
    <s v="Active"/>
    <n v="6032"/>
  </r>
  <r>
    <x v="108"/>
    <x v="59"/>
    <x v="3"/>
    <s v="10-038-3988"/>
    <x v="90"/>
    <x v="63"/>
    <n v="36"/>
    <n v="53"/>
    <s v="Sufficient"/>
    <n v="0"/>
    <s v="Normal"/>
    <x v="4"/>
    <n v="228"/>
    <d v="2024-04-06T00:00:00"/>
    <d v="2024-06-16T00:00:00"/>
    <d v="2024-03-28T00:00:00"/>
    <n v="691"/>
    <n v="620"/>
    <n v="700"/>
    <s v="Safe"/>
    <s v="203 Mariners Cove Junction"/>
    <x v="8"/>
    <n v="12768"/>
    <n v="32"/>
    <s v="Backordered"/>
    <n v="12540"/>
  </r>
  <r>
    <x v="109"/>
    <x v="44"/>
    <x v="6"/>
    <s v="13-475-1009"/>
    <x v="91"/>
    <x v="64"/>
    <n v="18"/>
    <n v="92"/>
    <s v="Sufficient"/>
    <n v="0"/>
    <s v="Normal"/>
    <x v="2"/>
    <n v="198"/>
    <d v="2024-03-06T00:00:00"/>
    <d v="2024-09-26T00:00:00"/>
    <d v="2024-07-18T00:00:00"/>
    <n v="722"/>
    <n v="518"/>
    <n v="588"/>
    <s v="Safe"/>
    <s v="7819 Fallview Park"/>
    <x v="60"/>
    <n v="19404"/>
    <n v="56"/>
    <s v="Discontinued"/>
    <n v="19206"/>
  </r>
  <r>
    <x v="110"/>
    <x v="1"/>
    <x v="1"/>
    <s v="83-104-8425"/>
    <x v="13"/>
    <x v="10"/>
    <n v="89"/>
    <n v="6"/>
    <s v="Require"/>
    <n v="89"/>
    <s v="High Priority"/>
    <x v="1"/>
    <n v="1240"/>
    <d v="2024-08-09T00:00:00"/>
    <d v="2024-06-06T00:00:00"/>
    <d v="2025-01-15T00:00:00"/>
    <n v="566"/>
    <n v="630"/>
    <n v="407"/>
    <s v="Expiring Soon"/>
    <s v="993 Kensington Drive"/>
    <x v="61"/>
    <n v="28520"/>
    <n v="11"/>
    <s v="Discontinued"/>
    <n v="27280"/>
  </r>
  <r>
    <x v="111"/>
    <x v="72"/>
    <x v="2"/>
    <s v="17-239-6309"/>
    <x v="25"/>
    <x v="52"/>
    <n v="57"/>
    <n v="92"/>
    <s v="Sufficient"/>
    <n v="0"/>
    <s v="Normal"/>
    <x v="15"/>
    <n v="445"/>
    <d v="2024-08-15T00:00:00"/>
    <d v="2024-06-14T00:00:00"/>
    <d v="2024-12-23T00:00:00"/>
    <n v="560"/>
    <n v="622"/>
    <n v="430"/>
    <s v="Expiring Soon"/>
    <s v="772 Golf Course Junction"/>
    <x v="39"/>
    <n v="16910"/>
    <n v="16"/>
    <s v="Active"/>
    <n v="16465"/>
  </r>
  <r>
    <x v="112"/>
    <x v="73"/>
    <x v="6"/>
    <s v="34-850-0377"/>
    <x v="92"/>
    <x v="65"/>
    <n v="42"/>
    <n v="87"/>
    <s v="Require"/>
    <n v="42"/>
    <s v="Normal"/>
    <x v="12"/>
    <n v="184"/>
    <d v="2025-01-02T00:00:00"/>
    <d v="2024-07-15T00:00:00"/>
    <d v="2024-03-24T00:00:00"/>
    <n v="420"/>
    <n v="591"/>
    <n v="704"/>
    <s v="Safe"/>
    <s v="29992 Warrior Center"/>
    <x v="13"/>
    <n v="11592"/>
    <n v="5"/>
    <s v="Backordered"/>
    <n v="11408"/>
  </r>
  <r>
    <x v="113"/>
    <x v="74"/>
    <x v="2"/>
    <s v="73-717-0190"/>
    <x v="2"/>
    <x v="61"/>
    <n v="12"/>
    <n v="59"/>
    <s v="Sufficient"/>
    <n v="0"/>
    <s v="Normal"/>
    <x v="33"/>
    <n v="5512.08"/>
    <d v="2024-09-17T00:00:00"/>
    <d v="2024-08-27T00:00:00"/>
    <d v="2025-02-02T00:00:00"/>
    <n v="527"/>
    <n v="548"/>
    <n v="389"/>
    <s v="Expiring Soon"/>
    <s v="8 Heffernan Point"/>
    <x v="41"/>
    <n v="192922.8"/>
    <n v="16"/>
    <s v="Active"/>
    <n v="187410.72"/>
  </r>
  <r>
    <x v="114"/>
    <x v="2"/>
    <x v="0"/>
    <s v="11-098-3982"/>
    <x v="93"/>
    <x v="66"/>
    <n v="100"/>
    <n v="74"/>
    <s v="Require"/>
    <n v="100"/>
    <s v="High Priority"/>
    <x v="34"/>
    <n v="524.6"/>
    <d v="2024-03-25T00:00:00"/>
    <d v="2025-01-17T00:00:00"/>
    <d v="2024-05-30T00:00:00"/>
    <n v="703"/>
    <n v="405"/>
    <n v="637"/>
    <s v="Safe"/>
    <s v="451 Grim Hill"/>
    <x v="62"/>
    <n v="41968"/>
    <n v="94"/>
    <s v="Active"/>
    <n v="41443.4"/>
  </r>
  <r>
    <x v="115"/>
    <x v="75"/>
    <x v="2"/>
    <s v="21-490-8051"/>
    <x v="94"/>
    <x v="34"/>
    <n v="61"/>
    <n v="2"/>
    <s v="Require"/>
    <n v="61"/>
    <s v="High Priority"/>
    <x v="2"/>
    <n v="360"/>
    <d v="2024-05-13T00:00:00"/>
    <d v="2024-12-08T00:00:00"/>
    <d v="2024-08-27T00:00:00"/>
    <n v="654"/>
    <n v="445"/>
    <n v="548"/>
    <s v="Expiring Soon"/>
    <s v="005 Tomscot Hill"/>
    <x v="40"/>
    <n v="34560"/>
    <n v="50"/>
    <s v="Active"/>
    <n v="34200"/>
  </r>
  <r>
    <x v="116"/>
    <x v="27"/>
    <x v="2"/>
    <s v="19-704-4404"/>
    <x v="95"/>
    <x v="67"/>
    <n v="30"/>
    <n v="69"/>
    <s v="Sufficient"/>
    <n v="0"/>
    <s v="Normal"/>
    <x v="16"/>
    <n v="245"/>
    <d v="2024-08-13T00:00:00"/>
    <d v="2025-03-02T00:00:00"/>
    <d v="2024-07-14T00:00:00"/>
    <n v="562"/>
    <n v="361"/>
    <n v="592"/>
    <s v="Safe"/>
    <s v="9 Bartillon Trail"/>
    <x v="37"/>
    <n v="10780"/>
    <n v="42"/>
    <s v="Discontinued"/>
    <n v="10535"/>
  </r>
  <r>
    <x v="117"/>
    <x v="76"/>
    <x v="2"/>
    <s v="11-146-9880"/>
    <x v="96"/>
    <x v="28"/>
    <n v="72"/>
    <n v="73"/>
    <s v="Require"/>
    <n v="72"/>
    <s v="High Priority"/>
    <x v="4"/>
    <n v="188"/>
    <d v="2024-05-21T00:00:00"/>
    <d v="2024-03-30T00:00:00"/>
    <d v="2024-04-30T00:00:00"/>
    <n v="646"/>
    <n v="698"/>
    <n v="667"/>
    <s v="Safe"/>
    <s v="7 West Street"/>
    <x v="47"/>
    <n v="17484"/>
    <n v="27"/>
    <s v="Backordered"/>
    <n v="17296"/>
  </r>
  <r>
    <x v="118"/>
    <x v="54"/>
    <x v="0"/>
    <s v="75-867-3635"/>
    <x v="97"/>
    <x v="12"/>
    <n v="93"/>
    <n v="16"/>
    <s v="Sufficient"/>
    <n v="0"/>
    <s v="Normal"/>
    <x v="0"/>
    <n v="427.5"/>
    <d v="2024-11-26T00:00:00"/>
    <d v="2024-06-09T00:00:00"/>
    <d v="2024-09-21T00:00:00"/>
    <n v="457"/>
    <n v="627"/>
    <n v="523"/>
    <s v="Expiring Soon"/>
    <s v="03416 Valley Edge Circle"/>
    <x v="30"/>
    <n v="25650"/>
    <n v="19"/>
    <s v="Active"/>
    <n v="25222.5"/>
  </r>
  <r>
    <x v="119"/>
    <x v="4"/>
    <x v="2"/>
    <s v="72-931-9828"/>
    <x v="98"/>
    <x v="53"/>
    <n v="42"/>
    <n v="21"/>
    <s v="Require"/>
    <n v="42"/>
    <s v="Normal"/>
    <x v="35"/>
    <n v="77"/>
    <d v="2024-11-28T00:00:00"/>
    <d v="2025-01-27T00:00:00"/>
    <d v="2025-02-20T00:00:00"/>
    <n v="455"/>
    <n v="395"/>
    <n v="371"/>
    <s v="Expiring Soon"/>
    <s v="21633 Sycamore Center"/>
    <x v="26"/>
    <n v="4697"/>
    <n v="25"/>
    <s v="Discontinued"/>
    <n v="4620"/>
  </r>
  <r>
    <x v="120"/>
    <x v="0"/>
    <x v="0"/>
    <s v="13-457-9946"/>
    <x v="99"/>
    <x v="26"/>
    <n v="17"/>
    <n v="14"/>
    <s v="Sufficient"/>
    <n v="0"/>
    <s v="Normal"/>
    <x v="36"/>
    <n v="81.7"/>
    <d v="2024-08-30T00:00:00"/>
    <d v="2024-06-29T00:00:00"/>
    <d v="2024-03-10T00:00:00"/>
    <n v="545"/>
    <n v="607"/>
    <n v="718"/>
    <s v="Safe"/>
    <s v="43107 Schlimgen Circle"/>
    <x v="63"/>
    <n v="4738.6000000000004"/>
    <n v="23"/>
    <s v="Active"/>
    <n v="4656.9000000000005"/>
  </r>
  <r>
    <x v="121"/>
    <x v="1"/>
    <x v="1"/>
    <s v="73-625-5112"/>
    <x v="83"/>
    <x v="59"/>
    <n v="72"/>
    <n v="18"/>
    <s v="Sufficient"/>
    <n v="0"/>
    <s v="Normal"/>
    <x v="37"/>
    <n v="1554"/>
    <d v="2024-11-15T00:00:00"/>
    <d v="2024-02-27T00:00:00"/>
    <d v="2025-02-05T00:00:00"/>
    <n v="468"/>
    <n v="730"/>
    <n v="386"/>
    <s v="Expiring Soon"/>
    <s v="988 Southridge Way"/>
    <x v="48"/>
    <n v="128982"/>
    <n v="54"/>
    <s v="Active"/>
    <n v="127428"/>
  </r>
  <r>
    <x v="122"/>
    <x v="25"/>
    <x v="2"/>
    <s v="80-863-1186"/>
    <x v="100"/>
    <x v="33"/>
    <n v="50"/>
    <n v="9"/>
    <s v="Sufficient"/>
    <n v="0"/>
    <s v="Normal"/>
    <x v="0"/>
    <n v="274.5"/>
    <d v="2024-08-10T00:00:00"/>
    <d v="2024-02-26T00:00:00"/>
    <d v="2025-01-19T00:00:00"/>
    <n v="565"/>
    <n v="731"/>
    <n v="403"/>
    <s v="Expiring Soon"/>
    <s v="6 Charing Cross Circle"/>
    <x v="38"/>
    <n v="6588"/>
    <n v="92"/>
    <s v="Active"/>
    <n v="6313.5"/>
  </r>
  <r>
    <x v="123"/>
    <x v="40"/>
    <x v="5"/>
    <s v="61-917-4271"/>
    <x v="101"/>
    <x v="68"/>
    <n v="42"/>
    <n v="86"/>
    <s v="Require"/>
    <n v="42"/>
    <s v="Normal"/>
    <x v="4"/>
    <n v="136"/>
    <d v="2024-05-16T00:00:00"/>
    <d v="2024-07-10T00:00:00"/>
    <d v="2024-04-01T00:00:00"/>
    <n v="651"/>
    <n v="596"/>
    <n v="696"/>
    <s v="Safe"/>
    <s v="19180 Hagan Parkway"/>
    <x v="64"/>
    <n v="3808"/>
    <n v="23"/>
    <s v="Discontinued"/>
    <n v="3672"/>
  </r>
  <r>
    <x v="124"/>
    <x v="25"/>
    <x v="2"/>
    <s v="33-141-1402"/>
    <x v="102"/>
    <x v="50"/>
    <n v="20"/>
    <n v="85"/>
    <s v="Sufficient"/>
    <n v="0"/>
    <s v="Normal"/>
    <x v="0"/>
    <n v="130.5"/>
    <d v="2024-10-27T00:00:00"/>
    <d v="2025-02-20T00:00:00"/>
    <d v="2024-03-02T00:00:00"/>
    <n v="487"/>
    <n v="371"/>
    <n v="726"/>
    <s v="Safe"/>
    <s v="84642 Clarendon Point"/>
    <x v="2"/>
    <n v="4045.5"/>
    <n v="31"/>
    <s v="Active"/>
    <n v="3915"/>
  </r>
  <r>
    <x v="125"/>
    <x v="52"/>
    <x v="4"/>
    <s v="97-150-9199"/>
    <x v="87"/>
    <x v="39"/>
    <n v="99"/>
    <n v="97"/>
    <s v="Require"/>
    <n v="99"/>
    <s v="High Priority"/>
    <x v="38"/>
    <n v="58.800000000000004"/>
    <d v="2024-04-21T00:00:00"/>
    <d v="2025-06-01T00:00:00"/>
    <d v="2024-06-26T00:00:00"/>
    <n v="676"/>
    <n v="270"/>
    <n v="610"/>
    <s v="Safe"/>
    <s v="6 Messerschmidt Place"/>
    <x v="64"/>
    <n v="1646.4"/>
    <n v="45"/>
    <s v="Discontinued"/>
    <n v="1587.6000000000001"/>
  </r>
  <r>
    <x v="126"/>
    <x v="77"/>
    <x v="0"/>
    <s v="86-400-4155"/>
    <x v="103"/>
    <x v="53"/>
    <n v="20"/>
    <n v="56"/>
    <s v="Require"/>
    <n v="20"/>
    <s v="Normal"/>
    <x v="26"/>
    <n v="36"/>
    <d v="2025-06-01T00:00:00"/>
    <d v="2024-01-06T00:00:00"/>
    <d v="2024-05-06T00:00:00"/>
    <n v="270"/>
    <n v="782"/>
    <n v="661"/>
    <s v="Safe"/>
    <s v="80930 Briar Crest Point"/>
    <x v="4"/>
    <n v="2232"/>
    <n v="69"/>
    <s v="Backordered"/>
    <n v="2196"/>
  </r>
  <r>
    <x v="127"/>
    <x v="78"/>
    <x v="0"/>
    <s v="23-197-9965"/>
    <x v="104"/>
    <x v="69"/>
    <n v="38"/>
    <n v="32"/>
    <s v="Sufficient"/>
    <n v="0"/>
    <s v="Normal"/>
    <x v="31"/>
    <n v="128"/>
    <d v="2024-10-25T00:00:00"/>
    <d v="2024-08-06T00:00:00"/>
    <d v="2025-01-03T00:00:00"/>
    <n v="489"/>
    <n v="569"/>
    <n v="419"/>
    <s v="Expiring Soon"/>
    <s v="64389 Arkansas Alley"/>
    <x v="7"/>
    <n v="2688"/>
    <n v="45"/>
    <s v="Backordered"/>
    <n v="2560"/>
  </r>
  <r>
    <x v="128"/>
    <x v="79"/>
    <x v="3"/>
    <s v="95-889-8592"/>
    <x v="19"/>
    <x v="8"/>
    <n v="82"/>
    <n v="58"/>
    <s v="Sufficient"/>
    <n v="0"/>
    <s v="Normal"/>
    <x v="20"/>
    <n v="209.29999999999998"/>
    <d v="2024-04-27T00:00:00"/>
    <d v="2024-10-21T00:00:00"/>
    <d v="2025-02-22T00:00:00"/>
    <n v="670"/>
    <n v="493"/>
    <n v="369"/>
    <s v="Expiring Soon"/>
    <s v="51 7th Court"/>
    <x v="31"/>
    <n v="8999.9"/>
    <n v="45"/>
    <s v="Discontinued"/>
    <n v="8790.6"/>
  </r>
  <r>
    <x v="129"/>
    <x v="80"/>
    <x v="3"/>
    <s v="26-411-9126"/>
    <x v="105"/>
    <x v="47"/>
    <n v="96"/>
    <n v="39"/>
    <s v="Sufficient"/>
    <n v="0"/>
    <s v="Normal"/>
    <x v="29"/>
    <n v="990"/>
    <d v="2024-06-22T00:00:00"/>
    <d v="2024-06-19T00:00:00"/>
    <d v="2024-09-28T00:00:00"/>
    <n v="614"/>
    <n v="617"/>
    <n v="516"/>
    <s v="Expiring Soon"/>
    <s v="042 Di Loreto Court"/>
    <x v="24"/>
    <n v="93060"/>
    <n v="89"/>
    <s v="Backordered"/>
    <n v="92070"/>
  </r>
  <r>
    <x v="130"/>
    <x v="14"/>
    <x v="0"/>
    <s v="55-952-9832"/>
    <x v="106"/>
    <x v="68"/>
    <n v="46"/>
    <n v="45"/>
    <s v="Require"/>
    <n v="46"/>
    <s v="Normal"/>
    <x v="3"/>
    <n v="51"/>
    <d v="2024-09-10T00:00:00"/>
    <d v="2024-11-12T00:00:00"/>
    <d v="2024-12-22T00:00:00"/>
    <n v="534"/>
    <n v="471"/>
    <n v="431"/>
    <s v="Expiring Soon"/>
    <s v="403 Loomis Way"/>
    <x v="65"/>
    <n v="2499"/>
    <n v="25"/>
    <s v="Backordered"/>
    <n v="2448"/>
  </r>
  <r>
    <x v="131"/>
    <x v="81"/>
    <x v="4"/>
    <s v="29-009-9132"/>
    <x v="107"/>
    <x v="46"/>
    <n v="21"/>
    <n v="64"/>
    <s v="Sufficient"/>
    <n v="0"/>
    <s v="Normal"/>
    <x v="11"/>
    <n v="700"/>
    <d v="2024-06-19T00:00:00"/>
    <d v="2024-11-03T00:00:00"/>
    <d v="2024-08-29T00:00:00"/>
    <n v="617"/>
    <n v="480"/>
    <n v="546"/>
    <s v="Expiring Soon"/>
    <s v="6 John Wall Plaza"/>
    <x v="14"/>
    <n v="14000"/>
    <n v="13"/>
    <s v="Backordered"/>
    <n v="13300"/>
  </r>
  <r>
    <x v="132"/>
    <x v="2"/>
    <x v="0"/>
    <s v="39-339-3869"/>
    <x v="108"/>
    <x v="70"/>
    <n v="98"/>
    <n v="97"/>
    <s v="Require"/>
    <n v="98"/>
    <s v="High Priority"/>
    <x v="2"/>
    <n v="474"/>
    <d v="2024-10-12T00:00:00"/>
    <d v="2025-01-17T00:00:00"/>
    <d v="2024-05-17T00:00:00"/>
    <n v="502"/>
    <n v="405"/>
    <n v="650"/>
    <s v="Safe"/>
    <s v="92321 Nelson Trail"/>
    <x v="51"/>
    <n v="12324"/>
    <n v="21"/>
    <s v="Backordered"/>
    <n v="11850"/>
  </r>
  <r>
    <x v="133"/>
    <x v="8"/>
    <x v="4"/>
    <s v="01-445-8931"/>
    <x v="107"/>
    <x v="10"/>
    <n v="2"/>
    <n v="98"/>
    <s v="Sufficient"/>
    <n v="0"/>
    <s v="Normal"/>
    <x v="7"/>
    <n v="186"/>
    <d v="2024-05-23T00:00:00"/>
    <d v="2024-10-18T00:00:00"/>
    <d v="2024-09-05T00:00:00"/>
    <n v="644"/>
    <n v="496"/>
    <n v="539"/>
    <s v="Expiring Soon"/>
    <s v="95 Onsgard Way"/>
    <x v="25"/>
    <n v="9300"/>
    <n v="11"/>
    <s v="Discontinued"/>
    <n v="9114"/>
  </r>
  <r>
    <x v="134"/>
    <x v="82"/>
    <x v="6"/>
    <s v="89-843-0880"/>
    <x v="109"/>
    <x v="71"/>
    <n v="44"/>
    <n v="96"/>
    <s v="Require"/>
    <n v="44"/>
    <s v="Normal"/>
    <x v="39"/>
    <n v="450"/>
    <d v="2024-04-07T00:00:00"/>
    <d v="2024-09-03T00:00:00"/>
    <d v="2024-09-01T00:00:00"/>
    <n v="690"/>
    <n v="541"/>
    <n v="543"/>
    <s v="Expiring Soon"/>
    <s v="8 Fremont Circle"/>
    <x v="66"/>
    <n v="16200"/>
    <n v="16"/>
    <s v="Active"/>
    <n v="15750"/>
  </r>
  <r>
    <x v="135"/>
    <x v="83"/>
    <x v="4"/>
    <s v="68-609-1972"/>
    <x v="2"/>
    <x v="28"/>
    <n v="2"/>
    <n v="76"/>
    <s v="Sufficient"/>
    <n v="0"/>
    <s v="Normal"/>
    <x v="6"/>
    <n v="117.5"/>
    <d v="2024-05-13T00:00:00"/>
    <d v="2024-06-29T00:00:00"/>
    <d v="2024-03-06T00:00:00"/>
    <n v="654"/>
    <n v="607"/>
    <n v="722"/>
    <s v="Safe"/>
    <s v="00847 Reindahl Place"/>
    <x v="67"/>
    <n v="5640"/>
    <n v="36"/>
    <s v="Discontinued"/>
    <n v="5522.5"/>
  </r>
  <r>
    <x v="136"/>
    <x v="41"/>
    <x v="2"/>
    <s v="43-035-3382"/>
    <x v="110"/>
    <x v="72"/>
    <n v="44"/>
    <n v="88"/>
    <s v="Require"/>
    <n v="44"/>
    <s v="Normal"/>
    <x v="7"/>
    <n v="45"/>
    <d v="2024-08-31T00:00:00"/>
    <d v="2025-02-13T00:00:00"/>
    <d v="2024-04-28T00:00:00"/>
    <n v="544"/>
    <n v="378"/>
    <n v="669"/>
    <s v="Safe"/>
    <s v="9516 Burrows Circle"/>
    <x v="8"/>
    <n v="2520"/>
    <n v="12"/>
    <s v="Discontinued"/>
    <n v="2475"/>
  </r>
  <r>
    <x v="137"/>
    <x v="75"/>
    <x v="2"/>
    <s v="15-444-8224"/>
    <x v="111"/>
    <x v="26"/>
    <n v="65"/>
    <n v="48"/>
    <s v="Require"/>
    <n v="65"/>
    <s v="High Priority"/>
    <x v="2"/>
    <n v="114"/>
    <d v="2024-09-09T00:00:00"/>
    <d v="2025-02-14T00:00:00"/>
    <d v="2024-09-12T00:00:00"/>
    <n v="535"/>
    <n v="377"/>
    <n v="532"/>
    <s v="Expiring Soon"/>
    <s v="92655 Pond Park"/>
    <x v="22"/>
    <n v="6726"/>
    <n v="53"/>
    <s v="Discontinued"/>
    <n v="6612"/>
  </r>
  <r>
    <x v="138"/>
    <x v="82"/>
    <x v="6"/>
    <s v="33-898-6242"/>
    <x v="112"/>
    <x v="62"/>
    <n v="77"/>
    <n v="96"/>
    <s v="Require"/>
    <n v="77"/>
    <s v="High Priority"/>
    <x v="39"/>
    <n v="1044"/>
    <d v="2024-11-09T00:00:00"/>
    <d v="2024-04-17T00:00:00"/>
    <d v="2024-03-30T00:00:00"/>
    <n v="474"/>
    <n v="680"/>
    <n v="698"/>
    <s v="Safe"/>
    <s v="46 Cardinal Way"/>
    <x v="28"/>
    <n v="26100"/>
    <n v="17"/>
    <s v="Discontinued"/>
    <n v="25056"/>
  </r>
  <r>
    <x v="139"/>
    <x v="84"/>
    <x v="4"/>
    <s v="29-567-3732"/>
    <x v="113"/>
    <x v="73"/>
    <n v="30"/>
    <n v="4"/>
    <s v="Require"/>
    <n v="30"/>
    <s v="Normal"/>
    <x v="4"/>
    <n v="44"/>
    <d v="2024-02-08T00:00:00"/>
    <d v="2024-09-29T00:00:00"/>
    <d v="2024-12-14T00:00:00"/>
    <n v="749"/>
    <n v="515"/>
    <n v="439"/>
    <s v="Expiring Soon"/>
    <s v="805 Center Parkway"/>
    <x v="45"/>
    <n v="3696"/>
    <n v="4"/>
    <s v="Active"/>
    <n v="3652"/>
  </r>
  <r>
    <x v="140"/>
    <x v="66"/>
    <x v="0"/>
    <s v="95-200-1972"/>
    <x v="114"/>
    <x v="47"/>
    <n v="44"/>
    <n v="52"/>
    <s v="Sufficient"/>
    <n v="0"/>
    <s v="Normal"/>
    <x v="10"/>
    <n v="198"/>
    <d v="2024-10-25T00:00:00"/>
    <d v="2024-05-21T00:00:00"/>
    <d v="2024-06-20T00:00:00"/>
    <n v="489"/>
    <n v="646"/>
    <n v="616"/>
    <s v="Safe"/>
    <s v="6738 Tennyson Road"/>
    <x v="66"/>
    <n v="7128"/>
    <n v="2"/>
    <s v="Discontinued"/>
    <n v="6930"/>
  </r>
  <r>
    <x v="141"/>
    <x v="3"/>
    <x v="0"/>
    <s v="49-092-2735"/>
    <x v="115"/>
    <x v="11"/>
    <n v="82"/>
    <n v="19"/>
    <s v="Require"/>
    <n v="82"/>
    <s v="High Priority"/>
    <x v="3"/>
    <n v="39"/>
    <d v="2024-09-23T00:00:00"/>
    <d v="2024-10-07T00:00:00"/>
    <d v="2024-03-30T00:00:00"/>
    <n v="521"/>
    <n v="507"/>
    <n v="698"/>
    <s v="Safe"/>
    <s v="61224 Northridge Avenue"/>
    <x v="50"/>
    <n v="2964"/>
    <n v="88"/>
    <s v="Active"/>
    <n v="2925"/>
  </r>
  <r>
    <x v="142"/>
    <x v="53"/>
    <x v="2"/>
    <s v="76-671-7104"/>
    <x v="35"/>
    <x v="67"/>
    <n v="31"/>
    <n v="55"/>
    <s v="Sufficient"/>
    <n v="0"/>
    <s v="Normal"/>
    <x v="0"/>
    <n v="315"/>
    <d v="2024-07-31T00:00:00"/>
    <d v="2024-07-27T00:00:00"/>
    <d v="2024-07-07T00:00:00"/>
    <n v="575"/>
    <n v="579"/>
    <n v="599"/>
    <s v="Safe"/>
    <s v="6 Swallow Crossing"/>
    <x v="61"/>
    <n v="7245"/>
    <n v="80"/>
    <s v="Discontinued"/>
    <n v="6930"/>
  </r>
  <r>
    <x v="143"/>
    <x v="53"/>
    <x v="2"/>
    <s v="21-932-5200"/>
    <x v="116"/>
    <x v="74"/>
    <n v="3"/>
    <n v="88"/>
    <s v="Sufficient"/>
    <n v="0"/>
    <s v="Normal"/>
    <x v="0"/>
    <n v="225"/>
    <d v="2024-07-21T00:00:00"/>
    <d v="2024-06-30T00:00:00"/>
    <d v="2024-09-22T00:00:00"/>
    <n v="585"/>
    <n v="606"/>
    <n v="522"/>
    <s v="Expiring Soon"/>
    <s v="33424 Express Avenue"/>
    <x v="12"/>
    <n v="15525"/>
    <n v="73"/>
    <s v="Discontinued"/>
    <n v="15300"/>
  </r>
  <r>
    <x v="144"/>
    <x v="27"/>
    <x v="2"/>
    <s v="69-928-4929"/>
    <x v="108"/>
    <x v="5"/>
    <n v="91"/>
    <n v="35"/>
    <s v="Require"/>
    <n v="91"/>
    <s v="High Priority"/>
    <x v="16"/>
    <n v="192.5"/>
    <d v="2024-08-05T00:00:00"/>
    <d v="2024-05-22T00:00:00"/>
    <d v="2025-02-17T00:00:00"/>
    <n v="570"/>
    <n v="645"/>
    <n v="374"/>
    <s v="Expiring Soon"/>
    <s v="4 Sundown Place"/>
    <x v="68"/>
    <n v="15592.5"/>
    <n v="19"/>
    <s v="Active"/>
    <n v="15400"/>
  </r>
  <r>
    <x v="145"/>
    <x v="73"/>
    <x v="6"/>
    <s v="95-878-1614"/>
    <x v="117"/>
    <x v="22"/>
    <n v="87"/>
    <n v="19"/>
    <s v="Require"/>
    <n v="87"/>
    <s v="High Priority"/>
    <x v="12"/>
    <n v="248"/>
    <d v="2024-05-23T00:00:00"/>
    <d v="2024-07-13T00:00:00"/>
    <d v="2024-05-01T00:00:00"/>
    <n v="644"/>
    <n v="593"/>
    <n v="666"/>
    <s v="Safe"/>
    <s v="01330 Sheridan Way"/>
    <x v="69"/>
    <n v="10168"/>
    <n v="10"/>
    <s v="Active"/>
    <n v="9920"/>
  </r>
  <r>
    <x v="146"/>
    <x v="85"/>
    <x v="1"/>
    <s v="21-792-1000"/>
    <x v="118"/>
    <x v="21"/>
    <n v="92"/>
    <n v="26"/>
    <s v="Require"/>
    <n v="92"/>
    <s v="High Priority"/>
    <x v="12"/>
    <n v="504"/>
    <d v="2024-08-18T00:00:00"/>
    <d v="2025-12-02T00:00:00"/>
    <d v="2024-04-29T00:00:00"/>
    <n v="557"/>
    <n v="86"/>
    <n v="668"/>
    <s v="Safe"/>
    <s v="2 Petterle Road"/>
    <x v="47"/>
    <n v="46872"/>
    <n v="99"/>
    <s v="Active"/>
    <n v="46368"/>
  </r>
  <r>
    <x v="147"/>
    <x v="44"/>
    <x v="6"/>
    <s v="62-086-0407"/>
    <x v="104"/>
    <x v="49"/>
    <n v="31"/>
    <n v="49"/>
    <s v="Sufficient"/>
    <n v="0"/>
    <s v="Normal"/>
    <x v="2"/>
    <n v="438"/>
    <d v="2025-01-26T00:00:00"/>
    <d v="2024-02-03T00:00:00"/>
    <d v="2024-03-06T00:00:00"/>
    <n v="396"/>
    <n v="754"/>
    <n v="722"/>
    <s v="Safe"/>
    <s v="65721 Caliangt Crossing"/>
    <x v="70"/>
    <n v="9636"/>
    <n v="47"/>
    <s v="Discontinued"/>
    <n v="9198"/>
  </r>
  <r>
    <x v="148"/>
    <x v="40"/>
    <x v="5"/>
    <s v="60-386-5077"/>
    <x v="91"/>
    <x v="3"/>
    <n v="86"/>
    <n v="98"/>
    <s v="Require"/>
    <n v="86"/>
    <s v="High Priority"/>
    <x v="4"/>
    <n v="48"/>
    <d v="2024-10-10T00:00:00"/>
    <d v="2024-06-29T00:00:00"/>
    <d v="2024-09-29T00:00:00"/>
    <n v="504"/>
    <n v="607"/>
    <n v="515"/>
    <s v="Expiring Soon"/>
    <s v="7444 Saint Paul Circle"/>
    <x v="71"/>
    <n v="3600"/>
    <n v="86"/>
    <s v="Discontinued"/>
    <n v="3552"/>
  </r>
  <r>
    <x v="149"/>
    <x v="33"/>
    <x v="0"/>
    <s v="90-445-1753"/>
    <x v="119"/>
    <x v="58"/>
    <n v="86"/>
    <n v="54"/>
    <s v="Require"/>
    <n v="86"/>
    <s v="High Priority"/>
    <x v="7"/>
    <n v="159"/>
    <d v="2024-08-14T00:00:00"/>
    <d v="2025-04-02T00:00:00"/>
    <d v="2024-11-06T00:00:00"/>
    <n v="561"/>
    <n v="330"/>
    <n v="477"/>
    <s v="Expiring Soon"/>
    <s v="6990 Kings Place"/>
    <x v="37"/>
    <n v="6996"/>
    <n v="3"/>
    <s v="Discontinued"/>
    <n v="6837"/>
  </r>
  <r>
    <x v="150"/>
    <x v="86"/>
    <x v="0"/>
    <s v="82-235-9317"/>
    <x v="120"/>
    <x v="75"/>
    <n v="7"/>
    <n v="37"/>
    <s v="Sufficient"/>
    <n v="0"/>
    <s v="Normal"/>
    <x v="6"/>
    <n v="170"/>
    <d v="2024-08-08T00:00:00"/>
    <d v="2024-11-04T00:00:00"/>
    <d v="2024-12-28T00:00:00"/>
    <n v="567"/>
    <n v="479"/>
    <n v="425"/>
    <s v="Expiring Soon"/>
    <s v="836 Brown Alley"/>
    <x v="12"/>
    <n v="11730"/>
    <n v="1"/>
    <s v="Discontinued"/>
    <n v="11560"/>
  </r>
  <r>
    <x v="151"/>
    <x v="15"/>
    <x v="4"/>
    <s v="05-181-2682"/>
    <x v="121"/>
    <x v="76"/>
    <n v="9"/>
    <n v="29"/>
    <s v="Sufficient"/>
    <n v="0"/>
    <s v="Normal"/>
    <x v="40"/>
    <n v="648"/>
    <d v="2024-08-26T00:00:00"/>
    <d v="2024-11-20T00:00:00"/>
    <d v="2024-10-09T00:00:00"/>
    <n v="549"/>
    <n v="463"/>
    <n v="505"/>
    <s v="Expiring Soon"/>
    <s v="739 Swallow Road"/>
    <x v="46"/>
    <n v="34992"/>
    <n v="62"/>
    <s v="Active"/>
    <n v="34344"/>
  </r>
  <r>
    <x v="152"/>
    <x v="82"/>
    <x v="6"/>
    <s v="02-156-7270"/>
    <x v="122"/>
    <x v="40"/>
    <n v="68"/>
    <n v="79"/>
    <s v="Sufficient"/>
    <n v="0"/>
    <s v="Normal"/>
    <x v="39"/>
    <n v="1656"/>
    <d v="2024-12-24T00:00:00"/>
    <d v="2024-08-18T00:00:00"/>
    <d v="2024-04-04T00:00:00"/>
    <n v="429"/>
    <n v="557"/>
    <n v="693"/>
    <s v="Safe"/>
    <s v="14 Talmadge Park"/>
    <x v="35"/>
    <n v="66240"/>
    <n v="57"/>
    <s v="Discontinued"/>
    <n v="64584"/>
  </r>
  <r>
    <x v="153"/>
    <x v="26"/>
    <x v="2"/>
    <s v="26-593-3478"/>
    <x v="62"/>
    <x v="22"/>
    <n v="98"/>
    <n v="72"/>
    <s v="Require"/>
    <n v="98"/>
    <s v="High Priority"/>
    <x v="26"/>
    <n v="55.800000000000004"/>
    <d v="2024-08-26T00:00:00"/>
    <d v="2024-07-10T00:00:00"/>
    <d v="2024-12-04T00:00:00"/>
    <n v="549"/>
    <n v="596"/>
    <n v="449"/>
    <s v="Expiring Soon"/>
    <s v="2 Basil Street"/>
    <x v="56"/>
    <n v="5077.8"/>
    <n v="29"/>
    <s v="Active"/>
    <n v="5022"/>
  </r>
  <r>
    <x v="154"/>
    <x v="51"/>
    <x v="2"/>
    <s v="34-334-6888"/>
    <x v="4"/>
    <x v="22"/>
    <n v="44"/>
    <n v="9"/>
    <s v="Require"/>
    <n v="44"/>
    <s v="Normal"/>
    <x v="7"/>
    <n v="93"/>
    <d v="2024-05-30T00:00:00"/>
    <d v="2024-05-16T00:00:00"/>
    <d v="2024-08-05T00:00:00"/>
    <n v="637"/>
    <n v="651"/>
    <n v="570"/>
    <s v="Safe"/>
    <s v="938 Hanover Point"/>
    <x v="17"/>
    <n v="4278"/>
    <n v="9"/>
    <s v="Discontinued"/>
    <n v="4185"/>
  </r>
  <r>
    <x v="155"/>
    <x v="64"/>
    <x v="2"/>
    <s v="84-923-5086"/>
    <x v="123"/>
    <x v="77"/>
    <n v="97"/>
    <n v="20"/>
    <s v="Require"/>
    <n v="97"/>
    <s v="High Priority"/>
    <x v="11"/>
    <n v="532"/>
    <d v="2024-03-27T00:00:00"/>
    <d v="2024-08-24T00:00:00"/>
    <d v="2024-05-11T00:00:00"/>
    <n v="701"/>
    <n v="551"/>
    <n v="656"/>
    <s v="Safe"/>
    <s v="3 Ilene Terrace"/>
    <x v="20"/>
    <n v="27664"/>
    <n v="82"/>
    <s v="Discontinued"/>
    <n v="27132"/>
  </r>
  <r>
    <x v="156"/>
    <x v="87"/>
    <x v="3"/>
    <s v="11-096-4003"/>
    <x v="124"/>
    <x v="63"/>
    <n v="99"/>
    <n v="23"/>
    <s v="Require"/>
    <n v="99"/>
    <s v="High Priority"/>
    <x v="10"/>
    <n v="114"/>
    <d v="2024-07-25T00:00:00"/>
    <d v="2024-05-25T00:00:00"/>
    <d v="2024-04-19T00:00:00"/>
    <n v="581"/>
    <n v="642"/>
    <n v="678"/>
    <s v="Safe"/>
    <s v="5414 Linden Point"/>
    <x v="72"/>
    <n v="10146"/>
    <n v="21"/>
    <s v="Backordered"/>
    <n v="10032"/>
  </r>
  <r>
    <x v="157"/>
    <x v="68"/>
    <x v="4"/>
    <s v="08-141-2402"/>
    <x v="125"/>
    <x v="40"/>
    <n v="99"/>
    <n v="93"/>
    <s v="Require"/>
    <n v="99"/>
    <s v="High Priority"/>
    <x v="4"/>
    <n v="368"/>
    <d v="2025-02-19T00:00:00"/>
    <d v="2024-07-13T00:00:00"/>
    <d v="2024-03-26T00:00:00"/>
    <n v="372"/>
    <n v="593"/>
    <n v="702"/>
    <s v="Safe"/>
    <s v="554 Eliot Point"/>
    <x v="31"/>
    <n v="15824"/>
    <n v="90"/>
    <s v="Discontinued"/>
    <n v="15456"/>
  </r>
  <r>
    <x v="158"/>
    <x v="88"/>
    <x v="4"/>
    <s v="47-732-4446"/>
    <x v="126"/>
    <x v="20"/>
    <n v="74"/>
    <n v="97"/>
    <s v="Sufficient"/>
    <n v="0"/>
    <s v="Normal"/>
    <x v="18"/>
    <n v="792"/>
    <d v="2024-05-28T00:00:00"/>
    <d v="2024-05-31T00:00:00"/>
    <d v="2024-08-24T00:00:00"/>
    <n v="639"/>
    <n v="636"/>
    <n v="551"/>
    <s v="Safe"/>
    <s v="97687 Mendota Terrace"/>
    <x v="33"/>
    <n v="62568"/>
    <n v="5"/>
    <s v="Active"/>
    <n v="61776"/>
  </r>
  <r>
    <x v="159"/>
    <x v="72"/>
    <x v="2"/>
    <s v="22-152-0111"/>
    <x v="127"/>
    <x v="47"/>
    <n v="8"/>
    <n v="27"/>
    <s v="Sufficient"/>
    <n v="0"/>
    <s v="Normal"/>
    <x v="15"/>
    <n v="495"/>
    <d v="2024-07-16T00:00:00"/>
    <d v="2024-07-13T00:00:00"/>
    <d v="2024-08-10T00:00:00"/>
    <n v="590"/>
    <n v="593"/>
    <n v="565"/>
    <s v="Safe"/>
    <s v="26 Graceland Circle"/>
    <x v="69"/>
    <n v="20295"/>
    <n v="50"/>
    <s v="Discontinued"/>
    <n v="19800"/>
  </r>
  <r>
    <x v="160"/>
    <x v="89"/>
    <x v="4"/>
    <s v="13-290-8513"/>
    <x v="128"/>
    <x v="7"/>
    <n v="84"/>
    <n v="63"/>
    <s v="Require"/>
    <n v="84"/>
    <s v="High Priority"/>
    <x v="6"/>
    <n v="110"/>
    <d v="2024-07-29T00:00:00"/>
    <d v="2024-11-04T00:00:00"/>
    <d v="2024-09-25T00:00:00"/>
    <n v="577"/>
    <n v="479"/>
    <n v="519"/>
    <s v="Expiring Soon"/>
    <s v="120 Gale Circle"/>
    <x v="32"/>
    <n v="5610"/>
    <n v="67"/>
    <s v="Discontinued"/>
    <n v="5500"/>
  </r>
  <r>
    <x v="161"/>
    <x v="29"/>
    <x v="1"/>
    <s v="77-566-9826"/>
    <x v="129"/>
    <x v="32"/>
    <n v="77"/>
    <n v="81"/>
    <s v="Require"/>
    <n v="77"/>
    <s v="High Priority"/>
    <x v="41"/>
    <n v="1488"/>
    <d v="2025-01-28T00:00:00"/>
    <d v="2024-05-10T00:00:00"/>
    <d v="2024-12-07T00:00:00"/>
    <n v="394"/>
    <n v="657"/>
    <n v="446"/>
    <s v="Expiring Soon"/>
    <s v="13 Bluejay Way"/>
    <x v="73"/>
    <n v="104160"/>
    <n v="74"/>
    <s v="Backordered"/>
    <n v="102672"/>
  </r>
  <r>
    <x v="162"/>
    <x v="90"/>
    <x v="3"/>
    <s v="67-922-3399"/>
    <x v="88"/>
    <x v="15"/>
    <n v="92"/>
    <n v="56"/>
    <s v="Require"/>
    <n v="92"/>
    <s v="High Priority"/>
    <x v="42"/>
    <n v="175.5"/>
    <d v="2024-04-18T00:00:00"/>
    <d v="2024-10-19T00:00:00"/>
    <d v="2024-12-18T00:00:00"/>
    <n v="679"/>
    <n v="495"/>
    <n v="435"/>
    <s v="Expiring Soon"/>
    <s v="01471 Burrows Lane"/>
    <x v="18"/>
    <n v="5089.5"/>
    <n v="32"/>
    <s v="Discontinued"/>
    <n v="4914"/>
  </r>
  <r>
    <x v="163"/>
    <x v="2"/>
    <x v="0"/>
    <s v="05-100-7102"/>
    <x v="130"/>
    <x v="68"/>
    <n v="96"/>
    <n v="76"/>
    <s v="Require"/>
    <n v="96"/>
    <s v="High Priority"/>
    <x v="43"/>
    <n v="209.10000000000002"/>
    <d v="2024-03-10T00:00:00"/>
    <d v="2024-06-12T00:00:00"/>
    <d v="2025-01-15T00:00:00"/>
    <n v="718"/>
    <n v="624"/>
    <n v="407"/>
    <s v="Expiring Soon"/>
    <s v="6382 Anniversary Pass"/>
    <x v="54"/>
    <n v="18819.000000000004"/>
    <n v="34"/>
    <s v="Discontinued"/>
    <n v="18609.900000000005"/>
  </r>
  <r>
    <x v="164"/>
    <x v="41"/>
    <x v="2"/>
    <s v="51-666-7174"/>
    <x v="46"/>
    <x v="41"/>
    <n v="94"/>
    <n v="4"/>
    <s v="Require"/>
    <n v="94"/>
    <s v="High Priority"/>
    <x v="7"/>
    <n v="123"/>
    <d v="2025-04-02T00:00:00"/>
    <d v="2024-07-26T00:00:00"/>
    <d v="2024-04-23T00:00:00"/>
    <n v="330"/>
    <n v="580"/>
    <n v="674"/>
    <s v="Safe"/>
    <s v="757 Grasskamp Drive"/>
    <x v="74"/>
    <n v="10824"/>
    <n v="92"/>
    <s v="Discontinued"/>
    <n v="10701"/>
  </r>
  <r>
    <x v="165"/>
    <x v="46"/>
    <x v="1"/>
    <s v="92-830-6986"/>
    <x v="4"/>
    <x v="61"/>
    <n v="12"/>
    <n v="85"/>
    <s v="Sufficient"/>
    <n v="0"/>
    <s v="Normal"/>
    <x v="15"/>
    <n v="280"/>
    <d v="2024-10-12T00:00:00"/>
    <d v="2024-03-20T00:00:00"/>
    <d v="2024-04-19T00:00:00"/>
    <n v="502"/>
    <n v="708"/>
    <n v="678"/>
    <s v="Safe"/>
    <s v="87417 Forest Pass"/>
    <x v="20"/>
    <n v="14560"/>
    <n v="46"/>
    <s v="Active"/>
    <n v="14280"/>
  </r>
  <r>
    <x v="166"/>
    <x v="91"/>
    <x v="2"/>
    <s v="23-052-4744"/>
    <x v="131"/>
    <x v="0"/>
    <n v="40"/>
    <n v="7"/>
    <s v="Require"/>
    <n v="40"/>
    <s v="Normal"/>
    <x v="15"/>
    <n v="110"/>
    <d v="2024-12-09T00:00:00"/>
    <d v="2024-12-31T00:00:00"/>
    <d v="2025-01-26T00:00:00"/>
    <n v="444"/>
    <n v="422"/>
    <n v="396"/>
    <s v="Expiring Soon"/>
    <s v="5 Transport Pass"/>
    <x v="60"/>
    <n v="10780"/>
    <n v="60"/>
    <s v="Active"/>
    <n v="10670"/>
  </r>
  <r>
    <x v="167"/>
    <x v="63"/>
    <x v="3"/>
    <s v="95-148-9287"/>
    <x v="132"/>
    <x v="69"/>
    <n v="2"/>
    <n v="58"/>
    <s v="Sufficient"/>
    <n v="0"/>
    <s v="Normal"/>
    <x v="26"/>
    <n v="72"/>
    <d v="2024-10-31T00:00:00"/>
    <d v="2024-08-13T00:00:00"/>
    <d v="2024-11-08T00:00:00"/>
    <n v="483"/>
    <n v="562"/>
    <n v="475"/>
    <s v="Expiring Soon"/>
    <s v="357 High Crossing Parkway"/>
    <x v="75"/>
    <n v="5112"/>
    <n v="10"/>
    <s v="Active"/>
    <n v="5040"/>
  </r>
  <r>
    <x v="168"/>
    <x v="15"/>
    <x v="4"/>
    <s v="78-459-1417"/>
    <x v="133"/>
    <x v="74"/>
    <n v="99"/>
    <n v="73"/>
    <s v="Require"/>
    <n v="99"/>
    <s v="High Priority"/>
    <x v="12"/>
    <n v="400"/>
    <d v="2024-12-05T00:00:00"/>
    <d v="2024-08-23T00:00:00"/>
    <d v="2024-05-17T00:00:00"/>
    <n v="448"/>
    <n v="552"/>
    <n v="650"/>
    <s v="Safe"/>
    <s v="42 Clemons Terrace"/>
    <x v="27"/>
    <n v="16800"/>
    <n v="1"/>
    <s v="Backordered"/>
    <n v="16400"/>
  </r>
  <r>
    <x v="169"/>
    <x v="34"/>
    <x v="2"/>
    <s v="47-509-7282"/>
    <x v="134"/>
    <x v="52"/>
    <n v="92"/>
    <n v="62"/>
    <s v="Require"/>
    <n v="92"/>
    <s v="High Priority"/>
    <x v="44"/>
    <n v="427.2"/>
    <d v="2024-02-03T00:00:00"/>
    <d v="2024-08-07T00:00:00"/>
    <d v="2024-11-11T00:00:00"/>
    <n v="754"/>
    <n v="568"/>
    <n v="472"/>
    <s v="Expiring Soon"/>
    <s v="48 Vahlen Place"/>
    <x v="17"/>
    <n v="19651.2"/>
    <n v="11"/>
    <s v="Backordered"/>
    <n v="19224"/>
  </r>
  <r>
    <x v="170"/>
    <x v="89"/>
    <x v="4"/>
    <s v="06-151-9076"/>
    <x v="78"/>
    <x v="77"/>
    <n v="54"/>
    <n v="76"/>
    <s v="Sufficient"/>
    <n v="0"/>
    <s v="Normal"/>
    <x v="6"/>
    <n v="190"/>
    <d v="2024-01-10T00:00:00"/>
    <d v="2024-08-17T00:00:00"/>
    <d v="2024-05-26T00:00:00"/>
    <n v="778"/>
    <n v="558"/>
    <n v="641"/>
    <s v="Safe"/>
    <s v="94862 Beilfuss Terrace"/>
    <x v="12"/>
    <n v="13110"/>
    <n v="27"/>
    <s v="Backordered"/>
    <n v="12920"/>
  </r>
  <r>
    <x v="171"/>
    <x v="92"/>
    <x v="0"/>
    <s v="70-212-0990"/>
    <x v="102"/>
    <x v="38"/>
    <n v="60"/>
    <n v="21"/>
    <s v="Sufficient"/>
    <n v="0"/>
    <s v="Normal"/>
    <x v="45"/>
    <n v="184.25"/>
    <d v="2024-03-04T00:00:00"/>
    <d v="2024-05-20T00:00:00"/>
    <d v="2024-09-06T00:00:00"/>
    <n v="724"/>
    <n v="647"/>
    <n v="538"/>
    <s v="Expiring Soon"/>
    <s v="759 Waywood Court"/>
    <x v="43"/>
    <n v="5527.5"/>
    <n v="6"/>
    <s v="Active"/>
    <n v="5343.25"/>
  </r>
  <r>
    <x v="172"/>
    <x v="93"/>
    <x v="1"/>
    <s v="26-213-7885"/>
    <x v="135"/>
    <x v="10"/>
    <n v="78"/>
    <n v="97"/>
    <s v="Require"/>
    <n v="78"/>
    <s v="High Priority"/>
    <x v="29"/>
    <n v="620"/>
    <d v="2024-08-04T00:00:00"/>
    <d v="2024-08-29T00:00:00"/>
    <d v="2024-03-26T00:00:00"/>
    <n v="571"/>
    <n v="546"/>
    <n v="702"/>
    <s v="Safe"/>
    <s v="236 Gateway Lane"/>
    <x v="4"/>
    <n v="38440"/>
    <n v="97"/>
    <s v="Discontinued"/>
    <n v="37820"/>
  </r>
  <r>
    <x v="173"/>
    <x v="94"/>
    <x v="2"/>
    <s v="32-771-2617"/>
    <x v="136"/>
    <x v="31"/>
    <n v="10"/>
    <n v="68"/>
    <s v="Sufficient"/>
    <n v="0"/>
    <s v="Normal"/>
    <x v="7"/>
    <n v="225"/>
    <d v="2024-11-09T00:00:00"/>
    <d v="2025-10-01T00:00:00"/>
    <d v="2024-12-03T00:00:00"/>
    <n v="474"/>
    <n v="148"/>
    <n v="450"/>
    <s v="Expiring Soon"/>
    <s v="0039 Shelley Place"/>
    <x v="54"/>
    <n v="20250"/>
    <n v="42"/>
    <s v="Active"/>
    <n v="20025"/>
  </r>
  <r>
    <x v="174"/>
    <x v="43"/>
    <x v="1"/>
    <s v="56-554-1762"/>
    <x v="137"/>
    <x v="31"/>
    <n v="47"/>
    <n v="33"/>
    <s v="Sufficient"/>
    <n v="0"/>
    <s v="Normal"/>
    <x v="46"/>
    <n v="937.5"/>
    <d v="2024-06-26T00:00:00"/>
    <d v="2024-09-12T00:00:00"/>
    <d v="2024-05-23T00:00:00"/>
    <n v="610"/>
    <n v="532"/>
    <n v="644"/>
    <s v="Safe"/>
    <s v="3 Raven Court"/>
    <x v="55"/>
    <n v="30937.5"/>
    <n v="12"/>
    <s v="Discontinued"/>
    <n v="30000"/>
  </r>
  <r>
    <x v="175"/>
    <x v="58"/>
    <x v="4"/>
    <s v="22-946-8052"/>
    <x v="134"/>
    <x v="50"/>
    <n v="32"/>
    <n v="26"/>
    <s v="Require"/>
    <n v="32"/>
    <s v="Normal"/>
    <x v="6"/>
    <n v="72.5"/>
    <d v="2024-09-21T00:00:00"/>
    <d v="2024-06-15T00:00:00"/>
    <d v="2024-09-15T00:00:00"/>
    <n v="523"/>
    <n v="621"/>
    <n v="529"/>
    <s v="Expiring Soon"/>
    <s v="44 Kensington Road"/>
    <x v="44"/>
    <n v="4640"/>
    <n v="85"/>
    <s v="Discontinued"/>
    <n v="4567.5"/>
  </r>
  <r>
    <x v="176"/>
    <x v="24"/>
    <x v="5"/>
    <s v="75-328-1709"/>
    <x v="138"/>
    <x v="68"/>
    <n v="55"/>
    <n v="22"/>
    <s v="Require"/>
    <n v="55"/>
    <s v="Normal"/>
    <x v="15"/>
    <n v="170"/>
    <d v="2024-11-10T00:00:00"/>
    <d v="2024-06-29T00:00:00"/>
    <d v="2024-11-15T00:00:00"/>
    <n v="473"/>
    <n v="607"/>
    <n v="468"/>
    <s v="Expiring Soon"/>
    <s v="86 Maryland Junction"/>
    <x v="76"/>
    <n v="13090"/>
    <n v="85"/>
    <s v="Active"/>
    <n v="12920"/>
  </r>
  <r>
    <x v="177"/>
    <x v="85"/>
    <x v="1"/>
    <s v="85-670-6379"/>
    <x v="139"/>
    <x v="72"/>
    <n v="66"/>
    <n v="85"/>
    <s v="Require"/>
    <n v="66"/>
    <s v="High Priority"/>
    <x v="12"/>
    <n v="120"/>
    <d v="2024-10-18T00:00:00"/>
    <d v="2024-03-07T00:00:00"/>
    <d v="2024-03-15T00:00:00"/>
    <n v="496"/>
    <n v="721"/>
    <n v="713"/>
    <s v="Safe"/>
    <s v="443 Browning Terrace"/>
    <x v="30"/>
    <n v="7200"/>
    <n v="40"/>
    <s v="Backordered"/>
    <n v="7080"/>
  </r>
  <r>
    <x v="178"/>
    <x v="95"/>
    <x v="6"/>
    <s v="96-001-5429"/>
    <x v="140"/>
    <x v="20"/>
    <n v="56"/>
    <n v="81"/>
    <s v="Sufficient"/>
    <n v="0"/>
    <s v="Normal"/>
    <x v="29"/>
    <n v="880"/>
    <d v="2024-10-05T00:00:00"/>
    <d v="2024-10-03T00:00:00"/>
    <d v="2024-09-14T00:00:00"/>
    <n v="509"/>
    <n v="511"/>
    <n v="530"/>
    <s v="Expiring Soon"/>
    <s v="5 Forest Run Way"/>
    <x v="60"/>
    <n v="86240"/>
    <n v="86"/>
    <s v="Discontinued"/>
    <n v="85360"/>
  </r>
  <r>
    <x v="179"/>
    <x v="88"/>
    <x v="4"/>
    <s v="76-870-2139"/>
    <x v="141"/>
    <x v="69"/>
    <n v="81"/>
    <n v="40"/>
    <s v="Require"/>
    <n v="81"/>
    <s v="High Priority"/>
    <x v="18"/>
    <n v="360"/>
    <d v="2024-09-10T00:00:00"/>
    <d v="2024-04-28T00:00:00"/>
    <d v="2024-10-30T00:00:00"/>
    <n v="534"/>
    <n v="669"/>
    <n v="484"/>
    <s v="Expiring Soon"/>
    <s v="87784 Blaine Way"/>
    <x v="35"/>
    <n v="14400"/>
    <n v="48"/>
    <s v="Backordered"/>
    <n v="14040"/>
  </r>
  <r>
    <x v="180"/>
    <x v="80"/>
    <x v="3"/>
    <s v="93-619-6639"/>
    <x v="142"/>
    <x v="78"/>
    <n v="86"/>
    <n v="23"/>
    <s v="Require"/>
    <n v="86"/>
    <s v="High Priority"/>
    <x v="29"/>
    <n v="100"/>
    <d v="2024-06-29T00:00:00"/>
    <d v="2024-11-26T00:00:00"/>
    <d v="2024-12-13T00:00:00"/>
    <n v="607"/>
    <n v="457"/>
    <n v="440"/>
    <s v="Expiring Soon"/>
    <s v="0 Oxford Crossing"/>
    <x v="38"/>
    <n v="2400"/>
    <n v="52"/>
    <s v="Backordered"/>
    <n v="2300"/>
  </r>
  <r>
    <x v="181"/>
    <x v="1"/>
    <x v="1"/>
    <s v="41-628-8713"/>
    <x v="1"/>
    <x v="55"/>
    <n v="87"/>
    <n v="12"/>
    <s v="Require"/>
    <n v="87"/>
    <s v="High Priority"/>
    <x v="37"/>
    <n v="441"/>
    <d v="2024-11-17T00:00:00"/>
    <d v="2024-02-09T00:00:00"/>
    <d v="2024-09-07T00:00:00"/>
    <n v="466"/>
    <n v="748"/>
    <n v="537"/>
    <s v="Expiring Soon"/>
    <s v="298 Corry Plaza"/>
    <x v="14"/>
    <n v="8820"/>
    <n v="38"/>
    <s v="Discontinued"/>
    <n v="8379"/>
  </r>
  <r>
    <x v="182"/>
    <x v="17"/>
    <x v="6"/>
    <s v="80-848-7493"/>
    <x v="143"/>
    <x v="31"/>
    <n v="25"/>
    <n v="99"/>
    <s v="Sufficient"/>
    <n v="0"/>
    <s v="Normal"/>
    <x v="13"/>
    <n v="900"/>
    <d v="2024-10-20T00:00:00"/>
    <d v="2024-05-29T00:00:00"/>
    <d v="2024-07-13T00:00:00"/>
    <n v="494"/>
    <n v="638"/>
    <n v="593"/>
    <s v="Safe"/>
    <s v="52105 Mandrake Place"/>
    <x v="72"/>
    <n v="80100"/>
    <n v="42"/>
    <s v="Active"/>
    <n v="79200"/>
  </r>
  <r>
    <x v="183"/>
    <x v="73"/>
    <x v="6"/>
    <s v="71-991-5737"/>
    <x v="144"/>
    <x v="61"/>
    <n v="50"/>
    <n v="80"/>
    <s v="Sufficient"/>
    <n v="0"/>
    <s v="Normal"/>
    <x v="12"/>
    <n v="448"/>
    <d v="2025-02-24T00:00:00"/>
    <d v="2024-12-03T00:00:00"/>
    <d v="2024-10-22T00:00:00"/>
    <n v="367"/>
    <n v="450"/>
    <n v="492"/>
    <s v="Expiring Soon"/>
    <s v="7369 Thackeray Drive"/>
    <x v="77"/>
    <n v="44352"/>
    <n v="5"/>
    <s v="Discontinued"/>
    <n v="43904"/>
  </r>
  <r>
    <x v="184"/>
    <x v="11"/>
    <x v="5"/>
    <s v="69-378-2045"/>
    <x v="145"/>
    <x v="79"/>
    <n v="65"/>
    <n v="91"/>
    <s v="Sufficient"/>
    <n v="0"/>
    <s v="Normal"/>
    <x v="7"/>
    <n v="207"/>
    <d v="2024-05-07T00:00:00"/>
    <d v="2024-07-26T00:00:00"/>
    <d v="2024-04-08T00:00:00"/>
    <n v="660"/>
    <n v="580"/>
    <n v="689"/>
    <s v="Safe"/>
    <s v="6 Haas Circle"/>
    <x v="60"/>
    <n v="20286"/>
    <n v="50"/>
    <s v="Backordered"/>
    <n v="20079"/>
  </r>
  <r>
    <x v="185"/>
    <x v="96"/>
    <x v="0"/>
    <s v="29-112-1577"/>
    <x v="146"/>
    <x v="61"/>
    <n v="53"/>
    <n v="77"/>
    <s v="Sufficient"/>
    <n v="0"/>
    <s v="Normal"/>
    <x v="0"/>
    <n v="252"/>
    <d v="2024-12-07T00:00:00"/>
    <d v="2024-07-24T00:00:00"/>
    <d v="2025-01-28T00:00:00"/>
    <n v="446"/>
    <n v="582"/>
    <n v="394"/>
    <s v="Expiring Soon"/>
    <s v="1959 Marcy Center"/>
    <x v="12"/>
    <n v="17388"/>
    <n v="69"/>
    <s v="Active"/>
    <n v="17136"/>
  </r>
  <r>
    <x v="186"/>
    <x v="10"/>
    <x v="0"/>
    <s v="57-202-5756"/>
    <x v="60"/>
    <x v="35"/>
    <n v="69"/>
    <n v="2"/>
    <s v="Require"/>
    <n v="69"/>
    <s v="High Priority"/>
    <x v="10"/>
    <n v="48"/>
    <d v="2024-05-10T00:00:00"/>
    <d v="2024-04-13T00:00:00"/>
    <d v="2024-12-23T00:00:00"/>
    <n v="657"/>
    <n v="684"/>
    <n v="430"/>
    <s v="Expiring Soon"/>
    <s v="1309 Elka Junction"/>
    <x v="14"/>
    <n v="960"/>
    <n v="20"/>
    <s v="Backordered"/>
    <n v="912"/>
  </r>
  <r>
    <x v="187"/>
    <x v="40"/>
    <x v="5"/>
    <s v="73-744-7022"/>
    <x v="8"/>
    <x v="2"/>
    <n v="85"/>
    <n v="21"/>
    <s v="Require"/>
    <n v="85"/>
    <s v="High Priority"/>
    <x v="0"/>
    <n v="135"/>
    <d v="2024-12-19T00:00:00"/>
    <d v="2024-09-24T00:00:00"/>
    <d v="2024-11-20T00:00:00"/>
    <n v="434"/>
    <n v="520"/>
    <n v="463"/>
    <s v="Expiring Soon"/>
    <s v="2 Grayhawk Junction"/>
    <x v="0"/>
    <n v="4320"/>
    <n v="83"/>
    <s v="Discontinued"/>
    <n v="4185"/>
  </r>
  <r>
    <x v="188"/>
    <x v="48"/>
    <x v="1"/>
    <s v="01-308-0960"/>
    <x v="147"/>
    <x v="80"/>
    <n v="90"/>
    <n v="57"/>
    <s v="Require"/>
    <n v="90"/>
    <s v="High Priority"/>
    <x v="25"/>
    <n v="900"/>
    <d v="2024-11-12T00:00:00"/>
    <d v="2024-07-08T00:00:00"/>
    <d v="2024-05-18T00:00:00"/>
    <n v="471"/>
    <n v="598"/>
    <n v="649"/>
    <s v="Safe"/>
    <s v="95261 Morningstar Way"/>
    <x v="41"/>
    <n v="31500"/>
    <n v="68"/>
    <s v="Backordered"/>
    <n v="30600"/>
  </r>
  <r>
    <x v="189"/>
    <x v="42"/>
    <x v="5"/>
    <s v="97-325-5889"/>
    <x v="148"/>
    <x v="81"/>
    <n v="76"/>
    <n v="82"/>
    <s v="Sufficient"/>
    <n v="0"/>
    <s v="Normal"/>
    <x v="6"/>
    <n v="232.5"/>
    <d v="2024-05-25T00:00:00"/>
    <d v="2024-07-28T00:00:00"/>
    <d v="2025-01-19T00:00:00"/>
    <n v="642"/>
    <n v="578"/>
    <n v="403"/>
    <s v="Expiring Soon"/>
    <s v="84148 Prairie Rose Center"/>
    <x v="50"/>
    <n v="17670"/>
    <n v="51"/>
    <s v="Backordered"/>
    <n v="17437.5"/>
  </r>
  <r>
    <x v="190"/>
    <x v="49"/>
    <x v="4"/>
    <s v="93-719-9817"/>
    <x v="149"/>
    <x v="6"/>
    <n v="38"/>
    <n v="17"/>
    <s v="Sufficient"/>
    <n v="0"/>
    <s v="Normal"/>
    <x v="11"/>
    <n v="672"/>
    <d v="2024-04-19T00:00:00"/>
    <d v="2024-01-10T00:00:00"/>
    <d v="2024-11-11T00:00:00"/>
    <n v="678"/>
    <n v="778"/>
    <n v="472"/>
    <s v="Expiring Soon"/>
    <s v="109 Twin Pines Avenue"/>
    <x v="53"/>
    <n v="48384"/>
    <n v="84"/>
    <s v="Active"/>
    <n v="47712"/>
  </r>
  <r>
    <x v="191"/>
    <x v="59"/>
    <x v="3"/>
    <s v="34-158-6684"/>
    <x v="106"/>
    <x v="34"/>
    <n v="88"/>
    <n v="65"/>
    <s v="Require"/>
    <n v="88"/>
    <s v="High Priority"/>
    <x v="4"/>
    <n v="240"/>
    <d v="2024-08-29T00:00:00"/>
    <d v="2025-01-16T00:00:00"/>
    <d v="2024-06-15T00:00:00"/>
    <n v="546"/>
    <n v="406"/>
    <n v="621"/>
    <s v="Safe"/>
    <s v="6 Harbort Hill"/>
    <x v="24"/>
    <n v="22560"/>
    <n v="15"/>
    <s v="Active"/>
    <n v="22320"/>
  </r>
  <r>
    <x v="192"/>
    <x v="81"/>
    <x v="4"/>
    <s v="73-210-4267"/>
    <x v="116"/>
    <x v="23"/>
    <n v="77"/>
    <n v="13"/>
    <s v="Sufficient"/>
    <n v="0"/>
    <s v="Normal"/>
    <x v="11"/>
    <n v="679"/>
    <d v="2024-11-11T00:00:00"/>
    <d v="2024-09-15T00:00:00"/>
    <d v="2024-07-02T00:00:00"/>
    <n v="472"/>
    <n v="529"/>
    <n v="604"/>
    <s v="Safe"/>
    <s v="96 American Center"/>
    <x v="31"/>
    <n v="29197"/>
    <n v="40"/>
    <s v="Backordered"/>
    <n v="28518"/>
  </r>
  <r>
    <x v="193"/>
    <x v="61"/>
    <x v="5"/>
    <s v="49-591-1019"/>
    <x v="150"/>
    <x v="73"/>
    <n v="6"/>
    <n v="100"/>
    <s v="Sufficient"/>
    <n v="0"/>
    <s v="Normal"/>
    <x v="15"/>
    <n v="55"/>
    <d v="2024-05-03T00:00:00"/>
    <d v="2024-09-16T00:00:00"/>
    <d v="2024-02-25T00:00:00"/>
    <n v="664"/>
    <n v="528"/>
    <n v="732"/>
    <s v="Safe"/>
    <s v="39 Lakewood Gardens Center"/>
    <x v="74"/>
    <n v="4840"/>
    <n v="24"/>
    <s v="Discontinued"/>
    <n v="4785"/>
  </r>
  <r>
    <x v="194"/>
    <x v="75"/>
    <x v="2"/>
    <s v="27-636-1606"/>
    <x v="31"/>
    <x v="39"/>
    <n v="66"/>
    <n v="1"/>
    <s v="Require"/>
    <n v="66"/>
    <s v="High Priority"/>
    <x v="2"/>
    <n v="84"/>
    <d v="2024-08-13T00:00:00"/>
    <d v="2024-12-13T00:00:00"/>
    <d v="2024-02-27T00:00:00"/>
    <n v="562"/>
    <n v="440"/>
    <n v="730"/>
    <s v="Safe"/>
    <s v="5900 Vahlen Avenue"/>
    <x v="52"/>
    <n v="7224"/>
    <n v="15"/>
    <s v="Backordered"/>
    <n v="7140"/>
  </r>
  <r>
    <x v="195"/>
    <x v="97"/>
    <x v="3"/>
    <s v="08-490-1714"/>
    <x v="121"/>
    <x v="20"/>
    <n v="100"/>
    <n v="17"/>
    <s v="Require"/>
    <n v="100"/>
    <s v="High Priority"/>
    <x v="6"/>
    <n v="220"/>
    <d v="2024-11-12T00:00:00"/>
    <d v="2024-10-28T00:00:00"/>
    <d v="2024-12-09T00:00:00"/>
    <n v="471"/>
    <n v="486"/>
    <n v="444"/>
    <s v="Expiring Soon"/>
    <s v="8 Spaight Circle"/>
    <x v="28"/>
    <n v="5500"/>
    <n v="28"/>
    <s v="Discontinued"/>
    <n v="5280"/>
  </r>
  <r>
    <x v="196"/>
    <x v="65"/>
    <x v="0"/>
    <s v="66-317-4895"/>
    <x v="21"/>
    <x v="35"/>
    <n v="15"/>
    <n v="6"/>
    <s v="Sufficient"/>
    <n v="0"/>
    <s v="Normal"/>
    <x v="30"/>
    <n v="114"/>
    <d v="2025-02-22T00:00:00"/>
    <d v="2024-06-16T00:00:00"/>
    <d v="2024-05-07T00:00:00"/>
    <n v="369"/>
    <n v="620"/>
    <n v="660"/>
    <s v="Safe"/>
    <s v="5 Linden Terrace"/>
    <x v="41"/>
    <n v="3990"/>
    <n v="4"/>
    <s v="Discontinued"/>
    <n v="3876"/>
  </r>
  <r>
    <x v="197"/>
    <x v="30"/>
    <x v="6"/>
    <s v="62-979-5038"/>
    <x v="151"/>
    <x v="81"/>
    <n v="62"/>
    <n v="65"/>
    <s v="Sufficient"/>
    <n v="0"/>
    <s v="Normal"/>
    <x v="18"/>
    <n v="837"/>
    <d v="2024-09-06T00:00:00"/>
    <d v="2024-06-22T00:00:00"/>
    <d v="2024-04-17T00:00:00"/>
    <n v="538"/>
    <n v="614"/>
    <n v="680"/>
    <s v="Safe"/>
    <s v="1 Westport Crossing"/>
    <x v="16"/>
    <n v="65286"/>
    <n v="87"/>
    <s v="Active"/>
    <n v="64449"/>
  </r>
  <r>
    <x v="198"/>
    <x v="2"/>
    <x v="0"/>
    <s v="41-399-9203"/>
    <x v="17"/>
    <x v="75"/>
    <n v="68"/>
    <n v="97"/>
    <s v="Require"/>
    <n v="68"/>
    <s v="High Priority"/>
    <x v="2"/>
    <n v="408"/>
    <d v="2024-08-07T00:00:00"/>
    <d v="2024-07-15T00:00:00"/>
    <d v="2024-06-23T00:00:00"/>
    <n v="568"/>
    <n v="591"/>
    <n v="613"/>
    <s v="Safe"/>
    <s v="2446 Anhalt Way"/>
    <x v="36"/>
    <n v="15096"/>
    <n v="31"/>
    <s v="Discontinued"/>
    <n v="14688"/>
  </r>
  <r>
    <x v="199"/>
    <x v="11"/>
    <x v="5"/>
    <s v="39-676-9308"/>
    <x v="139"/>
    <x v="44"/>
    <n v="94"/>
    <n v="80"/>
    <s v="Require"/>
    <n v="94"/>
    <s v="High Priority"/>
    <x v="47"/>
    <n v="78.399999999999991"/>
    <d v="2024-05-23T00:00:00"/>
    <d v="2025-01-23T00:00:00"/>
    <d v="2024-06-19T00:00:00"/>
    <n v="644"/>
    <n v="399"/>
    <n v="617"/>
    <s v="Safe"/>
    <s v="0 Miller Pass"/>
    <x v="2"/>
    <n v="2430.3999999999996"/>
    <n v="1"/>
    <s v="Backordered"/>
    <n v="2351.9999999999995"/>
  </r>
  <r>
    <x v="200"/>
    <x v="98"/>
    <x v="2"/>
    <s v="40-417-9838"/>
    <x v="2"/>
    <x v="55"/>
    <n v="30"/>
    <n v="32"/>
    <s v="Require"/>
    <n v="30"/>
    <s v="Normal"/>
    <x v="10"/>
    <n v="42"/>
    <d v="2025-01-22T00:00:00"/>
    <d v="2025-07-02T00:00:00"/>
    <d v="2024-03-10T00:00:00"/>
    <n v="400"/>
    <n v="239"/>
    <n v="718"/>
    <s v="Safe"/>
    <s v="453 Dryden Park"/>
    <x v="31"/>
    <n v="1806"/>
    <n v="54"/>
    <s v="Backordered"/>
    <n v="1764"/>
  </r>
  <r>
    <x v="201"/>
    <x v="75"/>
    <x v="2"/>
    <s v="18-085-1667"/>
    <x v="81"/>
    <x v="40"/>
    <n v="96"/>
    <n v="56"/>
    <s v="Require"/>
    <n v="96"/>
    <s v="High Priority"/>
    <x v="2"/>
    <n v="552"/>
    <d v="2024-11-18T00:00:00"/>
    <d v="2024-06-25T00:00:00"/>
    <d v="2024-07-20T00:00:00"/>
    <n v="465"/>
    <n v="611"/>
    <n v="586"/>
    <s v="Safe"/>
    <s v="54 Pawling Crossing"/>
    <x v="0"/>
    <n v="17664"/>
    <n v="22"/>
    <s v="Discontinued"/>
    <n v="17112"/>
  </r>
  <r>
    <x v="202"/>
    <x v="93"/>
    <x v="1"/>
    <s v="17-123-1252"/>
    <x v="152"/>
    <x v="75"/>
    <n v="12"/>
    <n v="42"/>
    <s v="Sufficient"/>
    <n v="0"/>
    <s v="Normal"/>
    <x v="29"/>
    <n v="680"/>
    <d v="2024-05-12T00:00:00"/>
    <d v="2025-02-21T00:00:00"/>
    <d v="2024-12-22T00:00:00"/>
    <n v="655"/>
    <n v="370"/>
    <n v="431"/>
    <s v="Expiring Soon"/>
    <s v="6808 Chinook Parkway"/>
    <x v="34"/>
    <n v="26520"/>
    <n v="6"/>
    <s v="Backordered"/>
    <n v="25840"/>
  </r>
  <r>
    <x v="203"/>
    <x v="38"/>
    <x v="5"/>
    <s v="41-800-2842"/>
    <x v="153"/>
    <x v="29"/>
    <n v="43"/>
    <n v="46"/>
    <s v="Sufficient"/>
    <n v="0"/>
    <s v="Normal"/>
    <x v="16"/>
    <n v="161"/>
    <d v="2025-10-01T00:00:00"/>
    <d v="2024-05-10T00:00:00"/>
    <d v="2024-09-17T00:00:00"/>
    <n v="148"/>
    <n v="657"/>
    <n v="527"/>
    <s v="Expiring Soon"/>
    <s v="894 Kingsford Road"/>
    <x v="58"/>
    <n v="10948"/>
    <n v="59"/>
    <s v="Backordered"/>
    <n v="10787"/>
  </r>
  <r>
    <x v="204"/>
    <x v="26"/>
    <x v="2"/>
    <s v="45-886-1540"/>
    <x v="154"/>
    <x v="28"/>
    <n v="20"/>
    <n v="65"/>
    <s v="Sufficient"/>
    <n v="0"/>
    <s v="Normal"/>
    <x v="5"/>
    <n v="82.25"/>
    <d v="2025-01-19T00:00:00"/>
    <d v="2025-12-01T00:00:00"/>
    <d v="2024-03-31T00:00:00"/>
    <n v="403"/>
    <n v="87"/>
    <n v="697"/>
    <s v="Safe"/>
    <s v="6 Stang Hill"/>
    <x v="65"/>
    <n v="4030.25"/>
    <n v="19"/>
    <s v="Backordered"/>
    <n v="3948"/>
  </r>
  <r>
    <x v="205"/>
    <x v="28"/>
    <x v="3"/>
    <s v="55-557-8544"/>
    <x v="40"/>
    <x v="60"/>
    <n v="88"/>
    <n v="55"/>
    <s v="Require"/>
    <n v="88"/>
    <s v="High Priority"/>
    <x v="2"/>
    <n v="312"/>
    <d v="2024-05-27T00:00:00"/>
    <d v="2024-05-05T00:00:00"/>
    <d v="2024-11-13T00:00:00"/>
    <n v="640"/>
    <n v="662"/>
    <n v="470"/>
    <s v="Expiring Soon"/>
    <s v="482 Green Center"/>
    <x v="10"/>
    <n v="31200"/>
    <n v="46"/>
    <s v="Discontinued"/>
    <n v="30888"/>
  </r>
  <r>
    <x v="206"/>
    <x v="23"/>
    <x v="2"/>
    <s v="58-827-9061"/>
    <x v="15"/>
    <x v="37"/>
    <n v="62"/>
    <n v="95"/>
    <s v="Require"/>
    <n v="62"/>
    <s v="High Priority"/>
    <x v="2"/>
    <n v="306"/>
    <d v="2024-07-04T00:00:00"/>
    <d v="2024-03-28T00:00:00"/>
    <d v="2025-01-15T00:00:00"/>
    <n v="602"/>
    <n v="700"/>
    <n v="407"/>
    <s v="Expiring Soon"/>
    <s v="37973 Parkside Junction"/>
    <x v="20"/>
    <n v="15912"/>
    <n v="21"/>
    <s v="Active"/>
    <n v="15606"/>
  </r>
  <r>
    <x v="207"/>
    <x v="7"/>
    <x v="4"/>
    <s v="85-272-3969"/>
    <x v="155"/>
    <x v="39"/>
    <n v="63"/>
    <n v="74"/>
    <s v="Require"/>
    <n v="63"/>
    <s v="High Priority"/>
    <x v="6"/>
    <n v="35"/>
    <d v="2024-04-28T00:00:00"/>
    <d v="2025-02-19T00:00:00"/>
    <d v="2024-11-28T00:00:00"/>
    <n v="669"/>
    <n v="372"/>
    <n v="455"/>
    <s v="Expiring Soon"/>
    <s v="389 Ridgeway Park"/>
    <x v="22"/>
    <n v="2065"/>
    <n v="63"/>
    <s v="Backordered"/>
    <n v="2030"/>
  </r>
  <r>
    <x v="208"/>
    <x v="8"/>
    <x v="2"/>
    <s v="54-537-5633"/>
    <x v="120"/>
    <x v="10"/>
    <n v="44"/>
    <n v="11"/>
    <s v="Sufficient"/>
    <n v="0"/>
    <s v="Normal"/>
    <x v="48"/>
    <n v="3172.54"/>
    <d v="2025-08-01T00:00:00"/>
    <d v="2024-04-16T00:00:00"/>
    <d v="2024-07-13T00:00:00"/>
    <n v="209"/>
    <n v="681"/>
    <n v="593"/>
    <s v="Safe"/>
    <s v="3 Hagan Drive"/>
    <x v="57"/>
    <n v="291873.68"/>
    <n v="37"/>
    <s v="Discontinued"/>
    <n v="288701.14"/>
  </r>
  <r>
    <x v="209"/>
    <x v="76"/>
    <x v="2"/>
    <s v="29-975-3449"/>
    <x v="156"/>
    <x v="69"/>
    <n v="53"/>
    <n v="7"/>
    <s v="Require"/>
    <n v="53"/>
    <s v="Normal"/>
    <x v="4"/>
    <n v="160"/>
    <d v="2025-02-21T00:00:00"/>
    <d v="2024-06-03T00:00:00"/>
    <d v="2024-06-21T00:00:00"/>
    <n v="370"/>
    <n v="633"/>
    <n v="615"/>
    <s v="Safe"/>
    <s v="082 Clove Plaza"/>
    <x v="73"/>
    <n v="11200"/>
    <n v="20"/>
    <s v="Backordered"/>
    <n v="11040"/>
  </r>
  <r>
    <x v="210"/>
    <x v="48"/>
    <x v="1"/>
    <s v="85-932-1011"/>
    <x v="88"/>
    <x v="74"/>
    <n v="100"/>
    <n v="91"/>
    <s v="Require"/>
    <n v="100"/>
    <s v="High Priority"/>
    <x v="49"/>
    <n v="1275"/>
    <d v="2024-12-28T00:00:00"/>
    <d v="2024-07-17T00:00:00"/>
    <d v="2024-12-05T00:00:00"/>
    <n v="425"/>
    <n v="589"/>
    <n v="448"/>
    <s v="Expiring Soon"/>
    <s v="509 Waywood Center"/>
    <x v="18"/>
    <n v="36975"/>
    <n v="31"/>
    <s v="Active"/>
    <n v="35700"/>
  </r>
  <r>
    <x v="211"/>
    <x v="0"/>
    <x v="0"/>
    <s v="40-914-7156"/>
    <x v="48"/>
    <x v="25"/>
    <n v="20"/>
    <n v="37"/>
    <s v="Sufficient"/>
    <n v="0"/>
    <s v="Normal"/>
    <x v="50"/>
    <n v="327.25"/>
    <d v="2024-03-07T00:00:00"/>
    <d v="2024-06-03T00:00:00"/>
    <d v="2024-11-05T00:00:00"/>
    <n v="721"/>
    <n v="633"/>
    <n v="478"/>
    <s v="Expiring Soon"/>
    <s v="5743 Superior Place"/>
    <x v="27"/>
    <n v="13744.5"/>
    <n v="19"/>
    <s v="Backordered"/>
    <n v="13417.25"/>
  </r>
  <r>
    <x v="212"/>
    <x v="12"/>
    <x v="2"/>
    <s v="21-697-8128"/>
    <x v="157"/>
    <x v="22"/>
    <n v="89"/>
    <n v="7"/>
    <s v="Require"/>
    <n v="89"/>
    <s v="High Priority"/>
    <x v="51"/>
    <n v="182.9"/>
    <d v="2024-08-26T00:00:00"/>
    <d v="2024-07-12T00:00:00"/>
    <d v="2024-05-21T00:00:00"/>
    <n v="549"/>
    <n v="594"/>
    <n v="646"/>
    <s v="Safe"/>
    <s v="60241 Portage Point"/>
    <x v="17"/>
    <n v="8413.4"/>
    <n v="54"/>
    <s v="Discontinued"/>
    <n v="8230.5"/>
  </r>
  <r>
    <x v="213"/>
    <x v="23"/>
    <x v="2"/>
    <s v="50-050-5707"/>
    <x v="158"/>
    <x v="51"/>
    <n v="19"/>
    <n v="30"/>
    <s v="Sufficient"/>
    <n v="0"/>
    <s v="Normal"/>
    <x v="42"/>
    <n v="227.5"/>
    <d v="2025-06-01T00:00:00"/>
    <d v="2024-11-30T00:00:00"/>
    <d v="2024-11-09T00:00:00"/>
    <n v="270"/>
    <n v="453"/>
    <n v="474"/>
    <s v="Expiring Soon"/>
    <s v="615 Mayer Drive"/>
    <x v="74"/>
    <n v="20020"/>
    <n v="6"/>
    <s v="Backordered"/>
    <n v="19792.5"/>
  </r>
  <r>
    <x v="214"/>
    <x v="50"/>
    <x v="2"/>
    <s v="97-994-0773"/>
    <x v="159"/>
    <x v="22"/>
    <n v="54"/>
    <n v="52"/>
    <s v="Require"/>
    <n v="54"/>
    <s v="Normal"/>
    <x v="4"/>
    <n v="124"/>
    <d v="2025-02-20T00:00:00"/>
    <d v="2024-08-12T00:00:00"/>
    <d v="2024-12-13T00:00:00"/>
    <n v="371"/>
    <n v="563"/>
    <n v="440"/>
    <s v="Expiring Soon"/>
    <s v="03 Fisk Alley"/>
    <x v="12"/>
    <n v="8556"/>
    <n v="77"/>
    <s v="Active"/>
    <n v="8432"/>
  </r>
  <r>
    <x v="215"/>
    <x v="42"/>
    <x v="5"/>
    <s v="17-084-8551"/>
    <x v="70"/>
    <x v="61"/>
    <n v="62"/>
    <n v="64"/>
    <s v="Require"/>
    <n v="62"/>
    <s v="High Priority"/>
    <x v="6"/>
    <n v="140"/>
    <d v="2024-08-22T00:00:00"/>
    <d v="2024-03-09T00:00:00"/>
    <d v="2025-01-20T00:00:00"/>
    <n v="553"/>
    <n v="719"/>
    <n v="402"/>
    <s v="Expiring Soon"/>
    <s v="44638 Corscot Lane"/>
    <x v="8"/>
    <n v="7840"/>
    <n v="73"/>
    <s v="Backordered"/>
    <n v="7700"/>
  </r>
  <r>
    <x v="216"/>
    <x v="8"/>
    <x v="4"/>
    <s v="90-727-4816"/>
    <x v="160"/>
    <x v="82"/>
    <n v="62"/>
    <n v="54"/>
    <s v="Sufficient"/>
    <n v="0"/>
    <s v="Normal"/>
    <x v="7"/>
    <n v="270"/>
    <d v="2025-01-20T00:00:00"/>
    <d v="2024-07-09T00:00:00"/>
    <d v="2024-12-15T00:00:00"/>
    <n v="402"/>
    <n v="597"/>
    <n v="438"/>
    <s v="Expiring Soon"/>
    <s v="75 Bunting Junction"/>
    <x v="73"/>
    <n v="18900"/>
    <n v="83"/>
    <s v="Discontinued"/>
    <n v="18630"/>
  </r>
  <r>
    <x v="217"/>
    <x v="79"/>
    <x v="3"/>
    <s v="42-252-5861"/>
    <x v="161"/>
    <x v="70"/>
    <n v="31"/>
    <n v="66"/>
    <s v="Sufficient"/>
    <n v="0"/>
    <s v="Normal"/>
    <x v="20"/>
    <n v="181.7"/>
    <d v="2024-10-04T00:00:00"/>
    <d v="2024-10-13T00:00:00"/>
    <d v="2024-08-20T00:00:00"/>
    <n v="510"/>
    <n v="501"/>
    <n v="555"/>
    <s v="Safe"/>
    <s v="48788 Chinook Place"/>
    <x v="57"/>
    <n v="16716.399999999998"/>
    <n v="13"/>
    <s v="Discontinued"/>
    <n v="16534.699999999997"/>
  </r>
  <r>
    <x v="218"/>
    <x v="98"/>
    <x v="2"/>
    <s v="32-914-1424"/>
    <x v="162"/>
    <x v="50"/>
    <n v="83"/>
    <n v="91"/>
    <s v="Require"/>
    <n v="83"/>
    <s v="High Priority"/>
    <x v="10"/>
    <n v="58"/>
    <d v="2024-11-29T00:00:00"/>
    <d v="2025-07-02T00:00:00"/>
    <d v="2025-01-04T00:00:00"/>
    <n v="454"/>
    <n v="239"/>
    <n v="418"/>
    <s v="Expiring Soon"/>
    <s v="083 Mccormick Park"/>
    <x v="68"/>
    <n v="4698"/>
    <n v="53"/>
    <s v="Backordered"/>
    <n v="4640"/>
  </r>
  <r>
    <x v="219"/>
    <x v="79"/>
    <x v="3"/>
    <s v="63-924-5144"/>
    <x v="163"/>
    <x v="29"/>
    <n v="51"/>
    <n v="92"/>
    <s v="Require"/>
    <n v="51"/>
    <s v="Normal"/>
    <x v="20"/>
    <n v="105.8"/>
    <d v="2024-07-05T00:00:00"/>
    <d v="2024-12-24T00:00:00"/>
    <d v="2024-06-09T00:00:00"/>
    <n v="601"/>
    <n v="429"/>
    <n v="627"/>
    <s v="Safe"/>
    <s v="339 Paget Place"/>
    <x v="11"/>
    <n v="4972.5999999999995"/>
    <n v="25"/>
    <s v="Discontinued"/>
    <n v="4866.7999999999993"/>
  </r>
  <r>
    <x v="220"/>
    <x v="60"/>
    <x v="2"/>
    <s v="18-880-7910"/>
    <x v="164"/>
    <x v="83"/>
    <n v="4"/>
    <n v="53"/>
    <s v="Sufficient"/>
    <n v="0"/>
    <s v="Normal"/>
    <x v="29"/>
    <n v="420"/>
    <d v="2025-10-01T00:00:00"/>
    <d v="2024-05-07T00:00:00"/>
    <d v="2024-04-12T00:00:00"/>
    <n v="148"/>
    <n v="660"/>
    <n v="685"/>
    <s v="Safe"/>
    <s v="8 Dakota Avenue"/>
    <x v="36"/>
    <n v="15540"/>
    <n v="53"/>
    <s v="Active"/>
    <n v="15120"/>
  </r>
  <r>
    <x v="221"/>
    <x v="49"/>
    <x v="4"/>
    <s v="83-361-7509"/>
    <x v="131"/>
    <x v="24"/>
    <n v="56"/>
    <n v="13"/>
    <s v="Require"/>
    <n v="56"/>
    <s v="Normal"/>
    <x v="52"/>
    <n v="115.2"/>
    <d v="2025-10-02T00:00:00"/>
    <d v="2024-10-03T00:00:00"/>
    <d v="2024-10-02T00:00:00"/>
    <n v="147"/>
    <n v="511"/>
    <n v="512"/>
    <s v="Expiring Soon"/>
    <s v="4 Warbler Center"/>
    <x v="8"/>
    <n v="6451.2"/>
    <n v="28"/>
    <s v="Discontinued"/>
    <n v="6336"/>
  </r>
  <r>
    <x v="222"/>
    <x v="82"/>
    <x v="6"/>
    <s v="61-222-8413"/>
    <x v="165"/>
    <x v="52"/>
    <n v="95"/>
    <n v="41"/>
    <s v="Require"/>
    <n v="95"/>
    <s v="High Priority"/>
    <x v="39"/>
    <n v="1602"/>
    <d v="2024-09-24T00:00:00"/>
    <d v="2024-06-07T00:00:00"/>
    <d v="2024-10-15T00:00:00"/>
    <n v="520"/>
    <n v="629"/>
    <n v="499"/>
    <s v="Expiring Soon"/>
    <s v="239 Anderson Court"/>
    <x v="50"/>
    <n v="121752"/>
    <n v="96"/>
    <s v="Discontinued"/>
    <n v="120150"/>
  </r>
  <r>
    <x v="223"/>
    <x v="48"/>
    <x v="1"/>
    <s v="52-744-6162"/>
    <x v="23"/>
    <x v="53"/>
    <n v="43"/>
    <n v="43"/>
    <s v="Require"/>
    <n v="43"/>
    <s v="Normal"/>
    <x v="25"/>
    <n v="500"/>
    <d v="2025-07-01T00:00:00"/>
    <d v="2024-02-27T00:00:00"/>
    <d v="2024-03-29T00:00:00"/>
    <n v="240"/>
    <n v="730"/>
    <n v="699"/>
    <s v="Safe"/>
    <s v="04 Mesta Parkway"/>
    <x v="21"/>
    <n v="36500"/>
    <n v="6"/>
    <s v="Active"/>
    <n v="36000"/>
  </r>
  <r>
    <x v="224"/>
    <x v="36"/>
    <x v="1"/>
    <s v="22-644-6447"/>
    <x v="142"/>
    <x v="4"/>
    <n v="94"/>
    <n v="76"/>
    <s v="Require"/>
    <n v="94"/>
    <s v="High Priority"/>
    <x v="21"/>
    <n v="555"/>
    <d v="2024-06-17T00:00:00"/>
    <d v="2025-01-19T00:00:00"/>
    <d v="2025-02-04T00:00:00"/>
    <n v="619"/>
    <n v="403"/>
    <n v="387"/>
    <s v="Expiring Soon"/>
    <s v="00 6th Parkway"/>
    <x v="24"/>
    <n v="52170"/>
    <n v="66"/>
    <s v="Backordered"/>
    <n v="51615"/>
  </r>
  <r>
    <x v="225"/>
    <x v="14"/>
    <x v="0"/>
    <s v="65-395-5947"/>
    <x v="166"/>
    <x v="23"/>
    <n v="41"/>
    <n v="68"/>
    <s v="Sufficient"/>
    <n v="0"/>
    <s v="Normal"/>
    <x v="3"/>
    <n v="145.5"/>
    <d v="2025-01-14T00:00:00"/>
    <d v="2024-04-10T00:00:00"/>
    <d v="2025-01-07T00:00:00"/>
    <n v="408"/>
    <n v="687"/>
    <n v="415"/>
    <s v="Expiring Soon"/>
    <s v="844 Schurz Point"/>
    <x v="41"/>
    <n v="5092.5"/>
    <n v="16"/>
    <s v="Discontinued"/>
    <n v="4947"/>
  </r>
  <r>
    <x v="226"/>
    <x v="13"/>
    <x v="4"/>
    <s v="35-042-9391"/>
    <x v="167"/>
    <x v="84"/>
    <n v="77"/>
    <n v="7"/>
    <s v="Sufficient"/>
    <n v="0"/>
    <s v="Normal"/>
    <x v="11"/>
    <n v="686"/>
    <d v="2024-02-10T00:00:00"/>
    <d v="2024-11-19T00:00:00"/>
    <d v="2024-08-05T00:00:00"/>
    <n v="747"/>
    <n v="464"/>
    <n v="570"/>
    <s v="Safe"/>
    <s v="60356 Derek Lane"/>
    <x v="57"/>
    <n v="63112"/>
    <n v="29"/>
    <s v="Discontinued"/>
    <n v="62426"/>
  </r>
  <r>
    <x v="227"/>
    <x v="39"/>
    <x v="2"/>
    <s v="78-381-5054"/>
    <x v="168"/>
    <x v="4"/>
    <n v="8"/>
    <n v="50"/>
    <s v="Sufficient"/>
    <n v="0"/>
    <s v="Normal"/>
    <x v="2"/>
    <n v="222"/>
    <d v="2024-06-07T00:00:00"/>
    <d v="2024-05-17T00:00:00"/>
    <d v="2025-01-23T00:00:00"/>
    <n v="629"/>
    <n v="650"/>
    <n v="399"/>
    <s v="Expiring Soon"/>
    <s v="42719 Milwaukee Avenue"/>
    <x v="11"/>
    <n v="10434"/>
    <n v="62"/>
    <s v="Discontinued"/>
    <n v="10212"/>
  </r>
  <r>
    <x v="228"/>
    <x v="99"/>
    <x v="5"/>
    <s v="61-604-8116"/>
    <x v="169"/>
    <x v="23"/>
    <n v="99"/>
    <n v="96"/>
    <s v="Require"/>
    <n v="99"/>
    <s v="High Priority"/>
    <x v="4"/>
    <n v="388"/>
    <d v="2024-04-25T00:00:00"/>
    <d v="2025-01-22T00:00:00"/>
    <d v="2024-11-27T00:00:00"/>
    <n v="672"/>
    <n v="400"/>
    <n v="456"/>
    <s v="Expiring Soon"/>
    <s v="66 Raven Pass"/>
    <x v="42"/>
    <n v="22116"/>
    <n v="42"/>
    <s v="Backordered"/>
    <n v="21728"/>
  </r>
  <r>
    <x v="229"/>
    <x v="1"/>
    <x v="1"/>
    <s v="68-200-8955"/>
    <x v="16"/>
    <x v="23"/>
    <n v="77"/>
    <n v="99"/>
    <s v="Sufficient"/>
    <n v="0"/>
    <s v="Normal"/>
    <x v="1"/>
    <n v="1940"/>
    <d v="2024-11-22T00:00:00"/>
    <d v="2024-04-24T00:00:00"/>
    <d v="2024-03-18T00:00:00"/>
    <n v="461"/>
    <n v="673"/>
    <n v="710"/>
    <s v="Safe"/>
    <s v="43024 Elka Avenue"/>
    <x v="49"/>
    <n v="143560"/>
    <n v="98"/>
    <s v="Backordered"/>
    <n v="141620"/>
  </r>
  <r>
    <x v="230"/>
    <x v="35"/>
    <x v="2"/>
    <s v="48-562-3582"/>
    <x v="47"/>
    <x v="82"/>
    <n v="92"/>
    <n v="56"/>
    <s v="Require"/>
    <n v="92"/>
    <s v="High Priority"/>
    <x v="6"/>
    <n v="225"/>
    <d v="2024-07-28T00:00:00"/>
    <d v="2024-04-27T00:00:00"/>
    <d v="2024-03-14T00:00:00"/>
    <n v="578"/>
    <n v="670"/>
    <n v="714"/>
    <s v="Safe"/>
    <s v="022 Pierstorff Point"/>
    <x v="75"/>
    <n v="15975"/>
    <n v="13"/>
    <s v="Active"/>
    <n v="15750"/>
  </r>
  <r>
    <x v="231"/>
    <x v="1"/>
    <x v="1"/>
    <s v="90-718-2724"/>
    <x v="170"/>
    <x v="29"/>
    <n v="31"/>
    <n v="89"/>
    <s v="Sufficient"/>
    <n v="0"/>
    <s v="Normal"/>
    <x v="1"/>
    <n v="920"/>
    <d v="2025-04-01T00:00:00"/>
    <d v="2024-03-21T00:00:00"/>
    <d v="2024-03-06T00:00:00"/>
    <n v="331"/>
    <n v="707"/>
    <n v="722"/>
    <s v="Safe"/>
    <s v="292 Charing Cross Terrace"/>
    <x v="22"/>
    <n v="54280"/>
    <n v="65"/>
    <s v="Backordered"/>
    <n v="53360"/>
  </r>
  <r>
    <x v="232"/>
    <x v="50"/>
    <x v="2"/>
    <s v="37-878-9392"/>
    <x v="171"/>
    <x v="69"/>
    <n v="8"/>
    <n v="98"/>
    <s v="Sufficient"/>
    <n v="0"/>
    <s v="Normal"/>
    <x v="4"/>
    <n v="160"/>
    <d v="2024-07-26T00:00:00"/>
    <d v="2025-06-02T00:00:00"/>
    <d v="2024-06-09T00:00:00"/>
    <n v="580"/>
    <n v="269"/>
    <n v="627"/>
    <s v="Safe"/>
    <s v="071 Nobel Circle"/>
    <x v="52"/>
    <n v="13760"/>
    <n v="12"/>
    <s v="Discontinued"/>
    <n v="13600"/>
  </r>
  <r>
    <x v="233"/>
    <x v="100"/>
    <x v="2"/>
    <s v="66-973-4855"/>
    <x v="172"/>
    <x v="25"/>
    <n v="52"/>
    <n v="28"/>
    <s v="Sufficient"/>
    <n v="0"/>
    <s v="Normal"/>
    <x v="4"/>
    <n v="308"/>
    <d v="2024-12-19T00:00:00"/>
    <d v="2024-11-19T00:00:00"/>
    <d v="2024-05-01T00:00:00"/>
    <n v="434"/>
    <n v="464"/>
    <n v="666"/>
    <s v="Safe"/>
    <s v="6744 Helena Pass"/>
    <x v="67"/>
    <n v="14784"/>
    <n v="43"/>
    <s v="Active"/>
    <n v="14476"/>
  </r>
  <r>
    <x v="234"/>
    <x v="14"/>
    <x v="0"/>
    <s v="65-797-3468"/>
    <x v="160"/>
    <x v="10"/>
    <n v="79"/>
    <n v="23"/>
    <s v="Require"/>
    <n v="79"/>
    <s v="High Priority"/>
    <x v="3"/>
    <n v="93"/>
    <d v="2024-07-22T00:00:00"/>
    <d v="2024-02-28T00:00:00"/>
    <d v="2024-10-18T00:00:00"/>
    <n v="584"/>
    <n v="729"/>
    <n v="496"/>
    <s v="Expiring Soon"/>
    <s v="4105 Fair Oaks Parkway"/>
    <x v="0"/>
    <n v="2976"/>
    <n v="80"/>
    <s v="Active"/>
    <n v="2883"/>
  </r>
  <r>
    <x v="235"/>
    <x v="29"/>
    <x v="1"/>
    <s v="57-544-2465"/>
    <x v="173"/>
    <x v="43"/>
    <n v="17"/>
    <n v="1"/>
    <s v="Sufficient"/>
    <n v="0"/>
    <s v="Normal"/>
    <x v="17"/>
    <n v="1770"/>
    <d v="2024-07-21T00:00:00"/>
    <d v="2024-08-26T00:00:00"/>
    <d v="2024-12-03T00:00:00"/>
    <n v="585"/>
    <n v="549"/>
    <n v="450"/>
    <s v="Expiring Soon"/>
    <s v="67677 Lakewood Gardens Way"/>
    <x v="12"/>
    <n v="122130"/>
    <n v="82"/>
    <s v="Active"/>
    <n v="120360"/>
  </r>
  <r>
    <x v="236"/>
    <x v="60"/>
    <x v="2"/>
    <s v="86-760-5412"/>
    <x v="35"/>
    <x v="65"/>
    <n v="38"/>
    <n v="54"/>
    <s v="Require"/>
    <n v="38"/>
    <s v="Normal"/>
    <x v="29"/>
    <n v="230"/>
    <d v="2025-01-17T00:00:00"/>
    <d v="2024-07-14T00:00:00"/>
    <d v="2024-04-15T00:00:00"/>
    <n v="405"/>
    <n v="592"/>
    <n v="682"/>
    <s v="Safe"/>
    <s v="57150 Del Sol Alley"/>
    <x v="35"/>
    <n v="9200"/>
    <n v="15"/>
    <s v="Active"/>
    <n v="8970"/>
  </r>
  <r>
    <x v="237"/>
    <x v="99"/>
    <x v="5"/>
    <s v="12-264-4503"/>
    <x v="94"/>
    <x v="30"/>
    <n v="16"/>
    <n v="57"/>
    <s v="Sufficient"/>
    <n v="0"/>
    <s v="Normal"/>
    <x v="4"/>
    <n v="156"/>
    <d v="2024-12-21T00:00:00"/>
    <d v="2024-09-04T00:00:00"/>
    <d v="2024-06-22T00:00:00"/>
    <n v="432"/>
    <n v="540"/>
    <n v="614"/>
    <s v="Safe"/>
    <s v="7407 Farragut Pass"/>
    <x v="60"/>
    <n v="15288"/>
    <n v="12"/>
    <s v="Active"/>
    <n v="15132"/>
  </r>
  <r>
    <x v="238"/>
    <x v="81"/>
    <x v="4"/>
    <s v="00-680-5333"/>
    <x v="31"/>
    <x v="75"/>
    <n v="29"/>
    <n v="31"/>
    <s v="Sufficient"/>
    <n v="0"/>
    <s v="Normal"/>
    <x v="11"/>
    <n v="476"/>
    <d v="2024-06-08T00:00:00"/>
    <d v="2024-03-06T00:00:00"/>
    <d v="2024-09-09T00:00:00"/>
    <n v="628"/>
    <n v="722"/>
    <n v="535"/>
    <s v="Expiring Soon"/>
    <s v="6151 Forster Drive"/>
    <x v="59"/>
    <n v="25228"/>
    <n v="20"/>
    <s v="Backordered"/>
    <n v="24752"/>
  </r>
  <r>
    <x v="239"/>
    <x v="69"/>
    <x v="0"/>
    <s v="89-226-5813"/>
    <x v="174"/>
    <x v="31"/>
    <n v="46"/>
    <n v="75"/>
    <s v="Sufficient"/>
    <n v="0"/>
    <s v="Normal"/>
    <x v="32"/>
    <n v="712.5"/>
    <d v="2024-08-26T00:00:00"/>
    <d v="2024-09-30T00:00:00"/>
    <d v="2024-10-26T00:00:00"/>
    <n v="549"/>
    <n v="514"/>
    <n v="488"/>
    <s v="Expiring Soon"/>
    <s v="5426 Fordem Pass"/>
    <x v="31"/>
    <n v="30637.5"/>
    <n v="77"/>
    <s v="Backordered"/>
    <n v="29925"/>
  </r>
  <r>
    <x v="240"/>
    <x v="61"/>
    <x v="5"/>
    <s v="07-948-8632"/>
    <x v="175"/>
    <x v="6"/>
    <n v="16"/>
    <n v="48"/>
    <s v="Sufficient"/>
    <n v="0"/>
    <s v="Normal"/>
    <x v="15"/>
    <n v="480"/>
    <d v="2024-04-11T00:00:00"/>
    <d v="2024-04-04T00:00:00"/>
    <d v="2025-01-26T00:00:00"/>
    <n v="686"/>
    <n v="693"/>
    <n v="396"/>
    <s v="Expiring Soon"/>
    <s v="48 Golf View Pass"/>
    <x v="78"/>
    <n v="21600"/>
    <n v="68"/>
    <s v="Active"/>
    <n v="21120"/>
  </r>
  <r>
    <x v="241"/>
    <x v="30"/>
    <x v="6"/>
    <s v="04-786-5408"/>
    <x v="176"/>
    <x v="85"/>
    <n v="38"/>
    <n v="93"/>
    <s v="Require"/>
    <n v="38"/>
    <s v="Normal"/>
    <x v="18"/>
    <n v="153"/>
    <d v="2025-02-14T00:00:00"/>
    <d v="2024-08-20T00:00:00"/>
    <d v="2024-07-28T00:00:00"/>
    <n v="377"/>
    <n v="555"/>
    <n v="578"/>
    <s v="Safe"/>
    <s v="952 Rowland Junction"/>
    <x v="10"/>
    <n v="15300"/>
    <n v="63"/>
    <s v="Active"/>
    <n v="15147"/>
  </r>
  <r>
    <x v="242"/>
    <x v="9"/>
    <x v="4"/>
    <s v="77-175-2969"/>
    <x v="177"/>
    <x v="65"/>
    <n v="38"/>
    <n v="25"/>
    <s v="Require"/>
    <n v="38"/>
    <s v="Normal"/>
    <x v="8"/>
    <n v="23"/>
    <d v="2024-05-13T00:00:00"/>
    <d v="2025-02-21T00:00:00"/>
    <d v="2025-01-15T00:00:00"/>
    <n v="654"/>
    <n v="370"/>
    <n v="407"/>
    <s v="Expiring Soon"/>
    <s v="329 Helena Park"/>
    <x v="45"/>
    <n v="1932"/>
    <n v="78"/>
    <s v="Discontinued"/>
    <n v="1909"/>
  </r>
  <r>
    <x v="243"/>
    <x v="76"/>
    <x v="2"/>
    <s v="54-711-1582"/>
    <x v="68"/>
    <x v="72"/>
    <n v="27"/>
    <n v="21"/>
    <s v="Require"/>
    <n v="27"/>
    <s v="Normal"/>
    <x v="4"/>
    <n v="60"/>
    <d v="2024-11-06T00:00:00"/>
    <d v="2025-02-21T00:00:00"/>
    <d v="2024-09-03T00:00:00"/>
    <n v="477"/>
    <n v="370"/>
    <n v="541"/>
    <s v="Expiring Soon"/>
    <s v="3104 Ridge Oak Hill"/>
    <x v="36"/>
    <n v="2220"/>
    <n v="67"/>
    <s v="Backordered"/>
    <n v="2160"/>
  </r>
  <r>
    <x v="244"/>
    <x v="101"/>
    <x v="6"/>
    <s v="94-145-9423"/>
    <x v="178"/>
    <x v="86"/>
    <n v="7"/>
    <n v="6"/>
    <s v="Sufficient"/>
    <n v="0"/>
    <s v="Normal"/>
    <x v="53"/>
    <n v="532.5"/>
    <d v="2024-08-29T00:00:00"/>
    <d v="2024-02-12T00:00:00"/>
    <d v="2024-09-04T00:00:00"/>
    <n v="546"/>
    <n v="745"/>
    <n v="540"/>
    <s v="Expiring Soon"/>
    <s v="376 Reinke Court"/>
    <x v="20"/>
    <n v="27690"/>
    <n v="68"/>
    <s v="Backordered"/>
    <n v="27157.5"/>
  </r>
  <r>
    <x v="245"/>
    <x v="7"/>
    <x v="4"/>
    <s v="18-733-2453"/>
    <x v="179"/>
    <x v="23"/>
    <n v="26"/>
    <n v="15"/>
    <s v="Sufficient"/>
    <n v="0"/>
    <s v="Normal"/>
    <x v="6"/>
    <n v="242.5"/>
    <d v="2024-08-21T00:00:00"/>
    <d v="2025-03-02T00:00:00"/>
    <d v="2024-11-10T00:00:00"/>
    <n v="554"/>
    <n v="361"/>
    <n v="473"/>
    <s v="Expiring Soon"/>
    <s v="2 Barby Lane"/>
    <x v="55"/>
    <n v="8002.5"/>
    <n v="58"/>
    <s v="Discontinued"/>
    <n v="7760"/>
  </r>
  <r>
    <x v="246"/>
    <x v="32"/>
    <x v="2"/>
    <s v="62-648-2577"/>
    <x v="48"/>
    <x v="50"/>
    <n v="18"/>
    <n v="86"/>
    <s v="Sufficient"/>
    <n v="0"/>
    <s v="Normal"/>
    <x v="6"/>
    <n v="72.5"/>
    <d v="2024-10-24T00:00:00"/>
    <d v="2024-11-16T00:00:00"/>
    <d v="2024-05-11T00:00:00"/>
    <n v="490"/>
    <n v="467"/>
    <n v="656"/>
    <s v="Safe"/>
    <s v="265 Columbus Way"/>
    <x v="59"/>
    <n v="3842.5"/>
    <n v="69"/>
    <s v="Active"/>
    <n v="3770"/>
  </r>
  <r>
    <x v="247"/>
    <x v="53"/>
    <x v="2"/>
    <s v="43-348-2450"/>
    <x v="174"/>
    <x v="29"/>
    <n v="64"/>
    <n v="17"/>
    <s v="Require"/>
    <n v="64"/>
    <s v="High Priority"/>
    <x v="54"/>
    <n v="211.6"/>
    <d v="2024-01-03T00:00:00"/>
    <d v="2025-06-01T00:00:00"/>
    <d v="2025-01-31T00:00:00"/>
    <n v="785"/>
    <n v="270"/>
    <n v="391"/>
    <s v="Expiring Soon"/>
    <s v="20 Pennsylvania Parkway"/>
    <x v="40"/>
    <n v="20313.599999999999"/>
    <n v="55"/>
    <s v="Discontinued"/>
    <n v="20102"/>
  </r>
  <r>
    <x v="248"/>
    <x v="62"/>
    <x v="4"/>
    <s v="08-523-5066"/>
    <x v="140"/>
    <x v="77"/>
    <n v="15"/>
    <n v="99"/>
    <s v="Sufficient"/>
    <n v="0"/>
    <s v="Normal"/>
    <x v="32"/>
    <n v="722"/>
    <d v="2025-01-02T00:00:00"/>
    <d v="2024-07-26T00:00:00"/>
    <d v="2024-05-06T00:00:00"/>
    <n v="420"/>
    <n v="580"/>
    <n v="661"/>
    <s v="Safe"/>
    <s v="9307 Kingsford Road"/>
    <x v="30"/>
    <n v="43320"/>
    <n v="49"/>
    <s v="Discontinued"/>
    <n v="42598"/>
  </r>
  <r>
    <x v="249"/>
    <x v="32"/>
    <x v="2"/>
    <s v="20-952-0731"/>
    <x v="140"/>
    <x v="43"/>
    <n v="91"/>
    <n v="24"/>
    <s v="Require"/>
    <n v="91"/>
    <s v="High Priority"/>
    <x v="6"/>
    <n v="147.5"/>
    <d v="2024-10-27T00:00:00"/>
    <d v="2024-06-29T00:00:00"/>
    <d v="2024-12-16T00:00:00"/>
    <n v="487"/>
    <n v="607"/>
    <n v="437"/>
    <s v="Expiring Soon"/>
    <s v="11 Golden Leaf Alley"/>
    <x v="46"/>
    <n v="7965"/>
    <n v="87"/>
    <s v="Active"/>
    <n v="7817.5"/>
  </r>
  <r>
    <x v="250"/>
    <x v="41"/>
    <x v="2"/>
    <s v="78-644-5877"/>
    <x v="180"/>
    <x v="40"/>
    <n v="54"/>
    <n v="73"/>
    <s v="Sufficient"/>
    <n v="0"/>
    <s v="Normal"/>
    <x v="55"/>
    <n v="285.2"/>
    <d v="2025-07-02T00:00:00"/>
    <d v="2025-01-17T00:00:00"/>
    <d v="2024-12-13T00:00:00"/>
    <n v="239"/>
    <n v="405"/>
    <n v="440"/>
    <s v="Expiring Soon"/>
    <s v="77 Prairie Rose Park"/>
    <x v="33"/>
    <n v="22530.799999999999"/>
    <n v="1"/>
    <s v="Backordered"/>
    <n v="22245.599999999999"/>
  </r>
  <r>
    <x v="251"/>
    <x v="39"/>
    <x v="2"/>
    <s v="57-486-8971"/>
    <x v="162"/>
    <x v="44"/>
    <n v="27"/>
    <n v="22"/>
    <s v="Sufficient"/>
    <n v="0"/>
    <s v="Normal"/>
    <x v="2"/>
    <n v="168"/>
    <d v="2024-05-15T00:00:00"/>
    <d v="2024-08-15T00:00:00"/>
    <d v="2024-05-11T00:00:00"/>
    <n v="652"/>
    <n v="560"/>
    <n v="656"/>
    <s v="Safe"/>
    <s v="1 Lake View Trail"/>
    <x v="73"/>
    <n v="11760"/>
    <n v="30"/>
    <s v="Discontinued"/>
    <n v="11592"/>
  </r>
  <r>
    <x v="252"/>
    <x v="72"/>
    <x v="2"/>
    <s v="07-959-3210"/>
    <x v="181"/>
    <x v="26"/>
    <n v="47"/>
    <n v="25"/>
    <s v="Require"/>
    <n v="47"/>
    <s v="Normal"/>
    <x v="15"/>
    <n v="95"/>
    <d v="2024-12-18T00:00:00"/>
    <d v="2025-02-24T00:00:00"/>
    <d v="2025-01-28T00:00:00"/>
    <n v="435"/>
    <n v="367"/>
    <n v="394"/>
    <s v="Expiring Soon"/>
    <s v="7945 Mayer Center"/>
    <x v="40"/>
    <n v="9120"/>
    <n v="37"/>
    <s v="Discontinued"/>
    <n v="9025"/>
  </r>
  <r>
    <x v="253"/>
    <x v="37"/>
    <x v="4"/>
    <s v="02-165-5779"/>
    <x v="130"/>
    <x v="42"/>
    <n v="28"/>
    <n v="21"/>
    <s v="Sufficient"/>
    <n v="0"/>
    <s v="Normal"/>
    <x v="7"/>
    <n v="255"/>
    <d v="2024-08-20T00:00:00"/>
    <d v="2024-06-30T00:00:00"/>
    <d v="2024-06-12T00:00:00"/>
    <n v="555"/>
    <n v="606"/>
    <n v="624"/>
    <s v="Safe"/>
    <s v="904 Del Mar Crossing"/>
    <x v="78"/>
    <n v="11475"/>
    <n v="89"/>
    <s v="Active"/>
    <n v="11220"/>
  </r>
  <r>
    <x v="254"/>
    <x v="14"/>
    <x v="0"/>
    <s v="59-595-7531"/>
    <x v="182"/>
    <x v="63"/>
    <n v="63"/>
    <n v="41"/>
    <s v="Require"/>
    <n v="63"/>
    <s v="High Priority"/>
    <x v="3"/>
    <n v="85.5"/>
    <d v="2024-08-25T00:00:00"/>
    <d v="2025-02-17T00:00:00"/>
    <d v="2024-10-30T00:00:00"/>
    <n v="550"/>
    <n v="374"/>
    <n v="484"/>
    <s v="Expiring Soon"/>
    <s v="561 Blue Bill Park Road"/>
    <x v="59"/>
    <n v="4531.5"/>
    <n v="94"/>
    <s v="Discontinued"/>
    <n v="4446"/>
  </r>
  <r>
    <x v="255"/>
    <x v="50"/>
    <x v="2"/>
    <s v="64-118-1480"/>
    <x v="183"/>
    <x v="12"/>
    <n v="29"/>
    <n v="28"/>
    <s v="Sufficient"/>
    <n v="0"/>
    <s v="Normal"/>
    <x v="4"/>
    <n v="380"/>
    <d v="2024-07-20T00:00:00"/>
    <d v="2025-01-16T00:00:00"/>
    <d v="2024-05-20T00:00:00"/>
    <n v="586"/>
    <n v="406"/>
    <n v="647"/>
    <s v="Safe"/>
    <s v="26 Barnett Junction"/>
    <x v="20"/>
    <n v="19760"/>
    <n v="46"/>
    <s v="Discontinued"/>
    <n v="19380"/>
  </r>
  <r>
    <x v="256"/>
    <x v="0"/>
    <x v="0"/>
    <s v="40-662-8853"/>
    <x v="184"/>
    <x v="36"/>
    <n v="69"/>
    <n v="77"/>
    <s v="Sufficient"/>
    <n v="0"/>
    <s v="Normal"/>
    <x v="0"/>
    <n v="378"/>
    <d v="2025-01-22T00:00:00"/>
    <d v="2024-12-28T00:00:00"/>
    <d v="2024-06-01T00:00:00"/>
    <n v="400"/>
    <n v="425"/>
    <n v="635"/>
    <s v="Safe"/>
    <s v="44296 Kropf Avenue"/>
    <x v="34"/>
    <n v="14742"/>
    <n v="69"/>
    <s v="Backordered"/>
    <n v="14364"/>
  </r>
  <r>
    <x v="257"/>
    <x v="66"/>
    <x v="0"/>
    <s v="18-445-5057"/>
    <x v="82"/>
    <x v="22"/>
    <n v="32"/>
    <n v="69"/>
    <s v="Require"/>
    <n v="32"/>
    <s v="Normal"/>
    <x v="10"/>
    <n v="62"/>
    <d v="2024-02-29T00:00:00"/>
    <d v="2024-04-06T00:00:00"/>
    <d v="2024-11-21T00:00:00"/>
    <n v="728"/>
    <n v="691"/>
    <n v="462"/>
    <s v="Expiring Soon"/>
    <s v="34642 Carpenter Place"/>
    <x v="39"/>
    <n v="2356"/>
    <n v="23"/>
    <s v="Active"/>
    <n v="2294"/>
  </r>
  <r>
    <x v="258"/>
    <x v="25"/>
    <x v="2"/>
    <s v="88-108-3774"/>
    <x v="185"/>
    <x v="41"/>
    <n v="52"/>
    <n v="75"/>
    <s v="Require"/>
    <n v="52"/>
    <s v="Normal"/>
    <x v="0"/>
    <n v="184.5"/>
    <d v="2024-06-04T00:00:00"/>
    <d v="2024-04-24T00:00:00"/>
    <d v="2024-10-13T00:00:00"/>
    <n v="632"/>
    <n v="673"/>
    <n v="501"/>
    <s v="Expiring Soon"/>
    <s v="7 Bonner Terrace"/>
    <x v="42"/>
    <n v="10516.5"/>
    <n v="62"/>
    <s v="Backordered"/>
    <n v="10332"/>
  </r>
  <r>
    <x v="259"/>
    <x v="13"/>
    <x v="4"/>
    <s v="43-977-2343"/>
    <x v="55"/>
    <x v="23"/>
    <n v="57"/>
    <n v="84"/>
    <s v="Sufficient"/>
    <n v="0"/>
    <s v="Normal"/>
    <x v="11"/>
    <n v="679"/>
    <d v="2024-09-27T00:00:00"/>
    <d v="2024-08-29T00:00:00"/>
    <d v="2025-02-06T00:00:00"/>
    <n v="517"/>
    <n v="546"/>
    <n v="385"/>
    <s v="Expiring Soon"/>
    <s v="60 Towne Hill"/>
    <x v="3"/>
    <n v="64505"/>
    <n v="28"/>
    <s v="Active"/>
    <n v="63826"/>
  </r>
  <r>
    <x v="260"/>
    <x v="102"/>
    <x v="4"/>
    <s v="39-521-8484"/>
    <x v="186"/>
    <x v="9"/>
    <n v="88"/>
    <n v="33"/>
    <s v="Require"/>
    <n v="88"/>
    <s v="High Priority"/>
    <x v="8"/>
    <n v="43"/>
    <d v="2024-07-19T00:00:00"/>
    <d v="2025-03-02T00:00:00"/>
    <d v="2024-12-23T00:00:00"/>
    <n v="587"/>
    <n v="361"/>
    <n v="430"/>
    <s v="Expiring Soon"/>
    <s v="5030 Moose Junction"/>
    <x v="45"/>
    <n v="3612"/>
    <n v="75"/>
    <s v="Discontinued"/>
    <n v="3569"/>
  </r>
  <r>
    <x v="261"/>
    <x v="63"/>
    <x v="3"/>
    <s v="91-030-6609"/>
    <x v="10"/>
    <x v="59"/>
    <n v="4"/>
    <n v="67"/>
    <s v="Sufficient"/>
    <n v="0"/>
    <s v="Normal"/>
    <x v="26"/>
    <n v="133.20000000000002"/>
    <d v="2024-03-26T00:00:00"/>
    <d v="2024-04-13T00:00:00"/>
    <d v="2024-05-24T00:00:00"/>
    <n v="702"/>
    <n v="684"/>
    <n v="643"/>
    <s v="Safe"/>
    <s v="2005 Mccormick Road"/>
    <x v="2"/>
    <n v="4129.2000000000007"/>
    <n v="34"/>
    <s v="Backordered"/>
    <n v="3996.0000000000009"/>
  </r>
  <r>
    <x v="262"/>
    <x v="14"/>
    <x v="0"/>
    <s v="27-292-4656"/>
    <x v="187"/>
    <x v="67"/>
    <n v="96"/>
    <n v="92"/>
    <s v="Require"/>
    <n v="96"/>
    <s v="High Priority"/>
    <x v="3"/>
    <n v="105"/>
    <d v="2024-04-18T00:00:00"/>
    <d v="2024-10-25T00:00:00"/>
    <d v="2024-05-28T00:00:00"/>
    <n v="679"/>
    <n v="489"/>
    <n v="639"/>
    <s v="Safe"/>
    <s v="21 Esker Way"/>
    <x v="9"/>
    <n v="2835"/>
    <n v="58"/>
    <s v="Backordered"/>
    <n v="2730"/>
  </r>
  <r>
    <x v="263"/>
    <x v="62"/>
    <x v="4"/>
    <s v="27-532-7847"/>
    <x v="158"/>
    <x v="79"/>
    <n v="53"/>
    <n v="32"/>
    <s v="Sufficient"/>
    <n v="0"/>
    <s v="Normal"/>
    <x v="56"/>
    <n v="634.79999999999995"/>
    <d v="2024-11-09T00:00:00"/>
    <d v="2024-05-28T00:00:00"/>
    <d v="2024-06-13T00:00:00"/>
    <n v="474"/>
    <n v="639"/>
    <n v="623"/>
    <s v="Safe"/>
    <s v="5862 Hooker Pass"/>
    <x v="64"/>
    <n v="17774.399999999998"/>
    <n v="56"/>
    <s v="Active"/>
    <n v="17139.599999999999"/>
  </r>
  <r>
    <x v="264"/>
    <x v="45"/>
    <x v="2"/>
    <s v="95-778-2888"/>
    <x v="188"/>
    <x v="38"/>
    <n v="68"/>
    <n v="50"/>
    <s v="Require"/>
    <n v="68"/>
    <s v="High Priority"/>
    <x v="3"/>
    <n v="100.5"/>
    <d v="2024-09-23T00:00:00"/>
    <d v="2024-11-21T00:00:00"/>
    <d v="2024-04-09T00:00:00"/>
    <n v="521"/>
    <n v="462"/>
    <n v="688"/>
    <s v="Safe"/>
    <s v="24385 Prentice Plaza"/>
    <x v="6"/>
    <n v="6733.5"/>
    <n v="82"/>
    <s v="Discontinued"/>
    <n v="6633"/>
  </r>
  <r>
    <x v="265"/>
    <x v="33"/>
    <x v="0"/>
    <s v="56-050-1773"/>
    <x v="75"/>
    <x v="27"/>
    <n v="62"/>
    <n v="2"/>
    <s v="Require"/>
    <n v="62"/>
    <s v="High Priority"/>
    <x v="7"/>
    <n v="54"/>
    <d v="2024-03-26T00:00:00"/>
    <d v="2024-04-28T00:00:00"/>
    <d v="2024-09-06T00:00:00"/>
    <n v="702"/>
    <n v="669"/>
    <n v="538"/>
    <s v="Expiring Soon"/>
    <s v="739 Grayhawk Trail"/>
    <x v="26"/>
    <n v="3294"/>
    <n v="78"/>
    <s v="Discontinued"/>
    <n v="3240"/>
  </r>
  <r>
    <x v="266"/>
    <x v="1"/>
    <x v="1"/>
    <s v="50-378-4320"/>
    <x v="189"/>
    <x v="0"/>
    <n v="89"/>
    <n v="25"/>
    <s v="Require"/>
    <n v="89"/>
    <s v="High Priority"/>
    <x v="37"/>
    <n v="462"/>
    <d v="2024-02-25T00:00:00"/>
    <d v="2024-11-27T00:00:00"/>
    <d v="2024-07-20T00:00:00"/>
    <n v="732"/>
    <n v="456"/>
    <n v="586"/>
    <s v="Safe"/>
    <s v="7 Sloan Park"/>
    <x v="43"/>
    <n v="13860"/>
    <n v="62"/>
    <s v="Discontinued"/>
    <n v="13398"/>
  </r>
  <r>
    <x v="267"/>
    <x v="103"/>
    <x v="2"/>
    <s v="26-222-1156"/>
    <x v="190"/>
    <x v="20"/>
    <n v="99"/>
    <n v="41"/>
    <s v="Require"/>
    <n v="99"/>
    <s v="High Priority"/>
    <x v="57"/>
    <n v="484"/>
    <d v="2024-07-30T00:00:00"/>
    <d v="2024-05-20T00:00:00"/>
    <d v="2024-07-21T00:00:00"/>
    <n v="576"/>
    <n v="647"/>
    <n v="585"/>
    <s v="Safe"/>
    <s v="6482 Ramsey Alley"/>
    <x v="47"/>
    <n v="45012"/>
    <n v="99"/>
    <s v="Backordered"/>
    <n v="44528"/>
  </r>
  <r>
    <x v="268"/>
    <x v="70"/>
    <x v="6"/>
    <s v="30-438-6295"/>
    <x v="191"/>
    <x v="87"/>
    <n v="75"/>
    <n v="3"/>
    <s v="Sufficient"/>
    <n v="0"/>
    <s v="Normal"/>
    <x v="11"/>
    <n v="546"/>
    <d v="2024-08-08T00:00:00"/>
    <d v="2024-12-18T00:00:00"/>
    <d v="2024-07-05T00:00:00"/>
    <n v="567"/>
    <n v="435"/>
    <n v="601"/>
    <s v="Safe"/>
    <s v="10997 Dexter Parkway"/>
    <x v="13"/>
    <n v="34398"/>
    <n v="100"/>
    <s v="Active"/>
    <n v="33852"/>
  </r>
  <r>
    <x v="269"/>
    <x v="28"/>
    <x v="3"/>
    <s v="14-483-5712"/>
    <x v="192"/>
    <x v="88"/>
    <n v="52"/>
    <n v="32"/>
    <s v="Sufficient"/>
    <n v="0"/>
    <s v="Normal"/>
    <x v="2"/>
    <n v="498"/>
    <d v="2024-10-17T00:00:00"/>
    <d v="2024-08-26T00:00:00"/>
    <d v="2024-03-21T00:00:00"/>
    <n v="497"/>
    <n v="549"/>
    <n v="707"/>
    <s v="Safe"/>
    <s v="205 Straubel Court"/>
    <x v="11"/>
    <n v="23406"/>
    <n v="7"/>
    <s v="Active"/>
    <n v="22908"/>
  </r>
  <r>
    <x v="270"/>
    <x v="93"/>
    <x v="1"/>
    <s v="78-283-9751"/>
    <x v="193"/>
    <x v="83"/>
    <n v="88"/>
    <n v="17"/>
    <s v="Require"/>
    <n v="88"/>
    <s v="High Priority"/>
    <x v="58"/>
    <n v="441"/>
    <d v="2024-10-19T00:00:00"/>
    <d v="2024-06-12T00:00:00"/>
    <d v="2024-06-24T00:00:00"/>
    <n v="495"/>
    <n v="624"/>
    <n v="612"/>
    <s v="Safe"/>
    <s v="58 La Follette Park"/>
    <x v="5"/>
    <n v="14994"/>
    <n v="51"/>
    <s v="Discontinued"/>
    <n v="14553"/>
  </r>
  <r>
    <x v="271"/>
    <x v="57"/>
    <x v="2"/>
    <s v="41-083-3955"/>
    <x v="46"/>
    <x v="16"/>
    <n v="46"/>
    <n v="8"/>
    <s v="Sufficient"/>
    <n v="0"/>
    <s v="Normal"/>
    <x v="7"/>
    <n v="147"/>
    <d v="2024-10-22T00:00:00"/>
    <d v="2024-03-31T00:00:00"/>
    <d v="2024-12-10T00:00:00"/>
    <n v="492"/>
    <n v="697"/>
    <n v="443"/>
    <s v="Expiring Soon"/>
    <s v="160 Kings Street"/>
    <x v="19"/>
    <n v="12054"/>
    <n v="21"/>
    <s v="Discontinued"/>
    <n v="11907"/>
  </r>
  <r>
    <x v="272"/>
    <x v="104"/>
    <x v="0"/>
    <s v="12-431-9207"/>
    <x v="72"/>
    <x v="85"/>
    <n v="88"/>
    <n v="41"/>
    <s v="Require"/>
    <n v="88"/>
    <s v="High Priority"/>
    <x v="6"/>
    <n v="42.5"/>
    <d v="2024-10-21T00:00:00"/>
    <d v="2025-02-19T00:00:00"/>
    <d v="2025-01-18T00:00:00"/>
    <n v="493"/>
    <n v="372"/>
    <n v="404"/>
    <s v="Expiring Soon"/>
    <s v="7020 Porter Trail"/>
    <x v="78"/>
    <n v="1912.5"/>
    <n v="29"/>
    <s v="Backordered"/>
    <n v="1870"/>
  </r>
  <r>
    <x v="273"/>
    <x v="83"/>
    <x v="4"/>
    <s v="26-438-8349"/>
    <x v="194"/>
    <x v="60"/>
    <n v="64"/>
    <n v="54"/>
    <s v="Require"/>
    <n v="64"/>
    <s v="High Priority"/>
    <x v="28"/>
    <n v="124.8"/>
    <d v="2024-11-22T00:00:00"/>
    <d v="2024-09-09T00:00:00"/>
    <d v="2024-10-23T00:00:00"/>
    <n v="461"/>
    <n v="535"/>
    <n v="491"/>
    <s v="Expiring Soon"/>
    <s v="5 Armistice Parkway"/>
    <x v="7"/>
    <n v="2620.7999999999997"/>
    <n v="55"/>
    <s v="Backordered"/>
    <n v="2495.9999999999995"/>
  </r>
  <r>
    <x v="274"/>
    <x v="23"/>
    <x v="2"/>
    <s v="08-439-3820"/>
    <x v="193"/>
    <x v="70"/>
    <n v="45"/>
    <n v="39"/>
    <s v="Sufficient"/>
    <n v="0"/>
    <s v="Normal"/>
    <x v="2"/>
    <n v="474"/>
    <d v="2024-10-29T00:00:00"/>
    <d v="2024-07-11T00:00:00"/>
    <d v="2024-05-11T00:00:00"/>
    <n v="485"/>
    <n v="595"/>
    <n v="656"/>
    <s v="Safe"/>
    <s v="524 Saint Paul Park"/>
    <x v="79"/>
    <n v="26070"/>
    <n v="20"/>
    <s v="Backordered"/>
    <n v="25596"/>
  </r>
  <r>
    <x v="275"/>
    <x v="63"/>
    <x v="3"/>
    <s v="08-312-0872"/>
    <x v="117"/>
    <x v="51"/>
    <n v="41"/>
    <n v="84"/>
    <s v="Require"/>
    <n v="41"/>
    <s v="Normal"/>
    <x v="26"/>
    <n v="63"/>
    <d v="2024-08-17T00:00:00"/>
    <d v="2024-07-28T00:00:00"/>
    <d v="2024-11-23T00:00:00"/>
    <n v="558"/>
    <n v="578"/>
    <n v="460"/>
    <s v="Expiring Soon"/>
    <s v="94451 Arkansas Park"/>
    <x v="4"/>
    <n v="3906"/>
    <n v="14"/>
    <s v="Backordered"/>
    <n v="3843"/>
  </r>
  <r>
    <x v="276"/>
    <x v="26"/>
    <x v="2"/>
    <s v="44-429-6199"/>
    <x v="195"/>
    <x v="77"/>
    <n v="11"/>
    <n v="15"/>
    <s v="Sufficient"/>
    <n v="0"/>
    <s v="Normal"/>
    <x v="26"/>
    <n v="136.80000000000001"/>
    <d v="2024-10-20T00:00:00"/>
    <d v="2024-05-25T00:00:00"/>
    <d v="2024-09-17T00:00:00"/>
    <n v="494"/>
    <n v="642"/>
    <n v="527"/>
    <s v="Expiring Soon"/>
    <s v="83 Pleasure Street"/>
    <x v="70"/>
    <n v="3009.6000000000004"/>
    <n v="91"/>
    <s v="Active"/>
    <n v="2872.8"/>
  </r>
  <r>
    <x v="277"/>
    <x v="15"/>
    <x v="4"/>
    <s v="73-383-4390"/>
    <x v="1"/>
    <x v="81"/>
    <n v="8"/>
    <n v="51"/>
    <s v="Sufficient"/>
    <n v="0"/>
    <s v="Normal"/>
    <x v="12"/>
    <n v="744"/>
    <d v="2024-02-28T00:00:00"/>
    <d v="2024-05-15T00:00:00"/>
    <d v="2025-02-04T00:00:00"/>
    <n v="729"/>
    <n v="652"/>
    <n v="387"/>
    <s v="Expiring Soon"/>
    <s v="64407 Marcy Plaza"/>
    <x v="47"/>
    <n v="69192"/>
    <n v="85"/>
    <s v="Backordered"/>
    <n v="68448"/>
  </r>
  <r>
    <x v="278"/>
    <x v="105"/>
    <x v="6"/>
    <s v="14-703-2550"/>
    <x v="140"/>
    <x v="69"/>
    <n v="81"/>
    <n v="78"/>
    <s v="Require"/>
    <n v="81"/>
    <s v="High Priority"/>
    <x v="1"/>
    <n v="800"/>
    <d v="2025-02-17T00:00:00"/>
    <d v="2024-07-16T00:00:00"/>
    <d v="2024-03-04T00:00:00"/>
    <n v="374"/>
    <n v="590"/>
    <n v="724"/>
    <s v="Safe"/>
    <s v="21 Sunbrook Court"/>
    <x v="34"/>
    <n v="31200"/>
    <n v="65"/>
    <s v="Backordered"/>
    <n v="30400"/>
  </r>
  <r>
    <x v="279"/>
    <x v="17"/>
    <x v="6"/>
    <s v="93-712-3934"/>
    <x v="36"/>
    <x v="26"/>
    <n v="94"/>
    <n v="17"/>
    <s v="Require"/>
    <n v="94"/>
    <s v="High Priority"/>
    <x v="59"/>
    <n v="218.5"/>
    <d v="2024-08-22T00:00:00"/>
    <d v="2024-08-06T00:00:00"/>
    <d v="2024-06-14T00:00:00"/>
    <n v="553"/>
    <n v="569"/>
    <n v="622"/>
    <s v="Safe"/>
    <s v="4 Jay Terrace"/>
    <x v="40"/>
    <n v="20976"/>
    <n v="74"/>
    <s v="Discontinued"/>
    <n v="20757.5"/>
  </r>
  <r>
    <x v="280"/>
    <x v="87"/>
    <x v="3"/>
    <s v="13-526-1392"/>
    <x v="196"/>
    <x v="67"/>
    <n v="96"/>
    <n v="21"/>
    <s v="Require"/>
    <n v="96"/>
    <s v="High Priority"/>
    <x v="10"/>
    <n v="140"/>
    <d v="2024-11-26T00:00:00"/>
    <d v="2024-10-09T00:00:00"/>
    <d v="2024-08-03T00:00:00"/>
    <n v="457"/>
    <n v="505"/>
    <n v="572"/>
    <s v="Safe"/>
    <s v="05686 Golden Leaf Point"/>
    <x v="10"/>
    <n v="14000"/>
    <n v="15"/>
    <s v="Discontinued"/>
    <n v="13860"/>
  </r>
  <r>
    <x v="281"/>
    <x v="99"/>
    <x v="5"/>
    <s v="20-426-2191"/>
    <x v="197"/>
    <x v="82"/>
    <n v="52"/>
    <n v="50"/>
    <s v="Sufficient"/>
    <n v="0"/>
    <s v="Normal"/>
    <x v="4"/>
    <n v="360"/>
    <d v="2024-06-29T00:00:00"/>
    <d v="2024-04-15T00:00:00"/>
    <d v="2024-05-07T00:00:00"/>
    <n v="607"/>
    <n v="682"/>
    <n v="660"/>
    <s v="Safe"/>
    <s v="99 Fair Oaks Circle"/>
    <x v="13"/>
    <n v="22680"/>
    <n v="14"/>
    <s v="Discontinued"/>
    <n v="22320"/>
  </r>
  <r>
    <x v="282"/>
    <x v="99"/>
    <x v="5"/>
    <s v="91-589-9007"/>
    <x v="20"/>
    <x v="25"/>
    <n v="79"/>
    <n v="65"/>
    <s v="Require"/>
    <n v="79"/>
    <s v="High Priority"/>
    <x v="4"/>
    <n v="308"/>
    <d v="2024-01-09T00:00:00"/>
    <d v="2024-03-17T00:00:00"/>
    <d v="2024-07-31T00:00:00"/>
    <n v="779"/>
    <n v="711"/>
    <n v="575"/>
    <s v="Safe"/>
    <s v="2 Carioca Crossing"/>
    <x v="4"/>
    <n v="19096"/>
    <n v="75"/>
    <s v="Backordered"/>
    <n v="18788"/>
  </r>
  <r>
    <x v="283"/>
    <x v="106"/>
    <x v="2"/>
    <s v="24-603-5521"/>
    <x v="188"/>
    <x v="54"/>
    <n v="22"/>
    <n v="71"/>
    <s v="Sufficient"/>
    <n v="0"/>
    <s v="Normal"/>
    <x v="15"/>
    <n v="190"/>
    <d v="2024-07-10T00:00:00"/>
    <d v="2024-05-16T00:00:00"/>
    <d v="2024-05-08T00:00:00"/>
    <n v="596"/>
    <n v="651"/>
    <n v="659"/>
    <s v="Safe"/>
    <s v="701 Logan Court"/>
    <x v="55"/>
    <n v="6270"/>
    <n v="62"/>
    <s v="Active"/>
    <n v="6080"/>
  </r>
  <r>
    <x v="284"/>
    <x v="70"/>
    <x v="6"/>
    <s v="17-939-1338"/>
    <x v="198"/>
    <x v="81"/>
    <n v="25"/>
    <n v="23"/>
    <s v="Sufficient"/>
    <n v="0"/>
    <s v="Normal"/>
    <x v="11"/>
    <n v="651"/>
    <d v="2024-06-21T00:00:00"/>
    <d v="2024-08-17T00:00:00"/>
    <d v="2024-04-29T00:00:00"/>
    <n v="615"/>
    <n v="558"/>
    <n v="668"/>
    <s v="Safe"/>
    <s v="4 Darwin Circle"/>
    <x v="53"/>
    <n v="46872"/>
    <n v="83"/>
    <s v="Backordered"/>
    <n v="46221"/>
  </r>
  <r>
    <x v="285"/>
    <x v="107"/>
    <x v="4"/>
    <s v="57-569-7172"/>
    <x v="199"/>
    <x v="65"/>
    <n v="100"/>
    <n v="77"/>
    <s v="Require"/>
    <n v="100"/>
    <s v="High Priority"/>
    <x v="10"/>
    <n v="46"/>
    <d v="2024-10-05T00:00:00"/>
    <d v="2024-10-08T00:00:00"/>
    <d v="2024-03-04T00:00:00"/>
    <n v="509"/>
    <n v="506"/>
    <n v="724"/>
    <s v="Safe"/>
    <s v="230 Tony Court"/>
    <x v="13"/>
    <n v="2898"/>
    <n v="26"/>
    <s v="Discontinued"/>
    <n v="2852"/>
  </r>
  <r>
    <x v="286"/>
    <x v="85"/>
    <x v="1"/>
    <s v="60-003-2919"/>
    <x v="200"/>
    <x v="37"/>
    <n v="1"/>
    <n v="61"/>
    <s v="Sufficient"/>
    <n v="0"/>
    <s v="Normal"/>
    <x v="60"/>
    <n v="387.59999999999997"/>
    <d v="2024-03-29T00:00:00"/>
    <d v="2024-06-18T00:00:00"/>
    <d v="2024-11-17T00:00:00"/>
    <n v="699"/>
    <n v="618"/>
    <n v="466"/>
    <s v="Expiring Soon"/>
    <s v="3 Forster Point"/>
    <x v="40"/>
    <n v="37209.599999999999"/>
    <n v="26"/>
    <s v="Active"/>
    <n v="36822"/>
  </r>
  <r>
    <x v="287"/>
    <x v="52"/>
    <x v="4"/>
    <s v="99-034-7010"/>
    <x v="201"/>
    <x v="63"/>
    <n v="62"/>
    <n v="72"/>
    <s v="Require"/>
    <n v="62"/>
    <s v="High Priority"/>
    <x v="4"/>
    <n v="228"/>
    <d v="2025-02-21T00:00:00"/>
    <d v="2024-09-25T00:00:00"/>
    <d v="2024-08-10T00:00:00"/>
    <n v="370"/>
    <n v="519"/>
    <n v="565"/>
    <s v="Safe"/>
    <s v="850 Glacier Hill Drive"/>
    <x v="61"/>
    <n v="5244"/>
    <n v="4"/>
    <s v="Backordered"/>
    <n v="5016"/>
  </r>
  <r>
    <x v="288"/>
    <x v="108"/>
    <x v="2"/>
    <s v="54-907-6531"/>
    <x v="193"/>
    <x v="43"/>
    <n v="74"/>
    <n v="100"/>
    <s v="Require"/>
    <n v="74"/>
    <s v="High Priority"/>
    <x v="0"/>
    <n v="265.5"/>
    <d v="2024-03-26T00:00:00"/>
    <d v="2024-09-15T00:00:00"/>
    <d v="2024-11-12T00:00:00"/>
    <n v="702"/>
    <n v="529"/>
    <n v="471"/>
    <s v="Expiring Soon"/>
    <s v="38695 Kenwood Circle"/>
    <x v="13"/>
    <n v="16726.5"/>
    <n v="69"/>
    <s v="Active"/>
    <n v="16461"/>
  </r>
  <r>
    <x v="289"/>
    <x v="60"/>
    <x v="2"/>
    <s v="90-554-0576"/>
    <x v="41"/>
    <x v="52"/>
    <n v="15"/>
    <n v="22"/>
    <s v="Sufficient"/>
    <n v="0"/>
    <s v="Normal"/>
    <x v="29"/>
    <n v="890"/>
    <d v="2024-11-17T00:00:00"/>
    <d v="2025-11-02T00:00:00"/>
    <d v="2024-05-03T00:00:00"/>
    <n v="466"/>
    <n v="116"/>
    <n v="664"/>
    <s v="Safe"/>
    <s v="9 Karstens Center"/>
    <x v="33"/>
    <n v="70310"/>
    <n v="42"/>
    <s v="Discontinued"/>
    <n v="69420"/>
  </r>
  <r>
    <x v="290"/>
    <x v="60"/>
    <x v="2"/>
    <s v="43-605-2448"/>
    <x v="31"/>
    <x v="58"/>
    <n v="98"/>
    <n v="25"/>
    <s v="Require"/>
    <n v="98"/>
    <s v="High Priority"/>
    <x v="29"/>
    <n v="530"/>
    <d v="2024-09-23T00:00:00"/>
    <d v="2024-04-09T00:00:00"/>
    <d v="2024-12-20T00:00:00"/>
    <n v="521"/>
    <n v="688"/>
    <n v="433"/>
    <s v="Expiring Soon"/>
    <s v="052 Northland Trail"/>
    <x v="79"/>
    <n v="29150"/>
    <n v="51"/>
    <s v="Active"/>
    <n v="28620"/>
  </r>
  <r>
    <x v="291"/>
    <x v="4"/>
    <x v="2"/>
    <s v="69-112-6969"/>
    <x v="105"/>
    <x v="73"/>
    <n v="56"/>
    <n v="62"/>
    <s v="Require"/>
    <n v="56"/>
    <s v="Normal"/>
    <x v="61"/>
    <n v="42.9"/>
    <d v="2024-04-14T00:00:00"/>
    <d v="2025-10-01T00:00:00"/>
    <d v="2024-10-10T00:00:00"/>
    <n v="683"/>
    <n v="148"/>
    <n v="504"/>
    <s v="Expiring Soon"/>
    <s v="27 New Castle Avenue"/>
    <x v="35"/>
    <n v="1716"/>
    <n v="5"/>
    <s v="Backordered"/>
    <n v="1673.1"/>
  </r>
  <r>
    <x v="292"/>
    <x v="109"/>
    <x v="4"/>
    <s v="04-313-0298"/>
    <x v="202"/>
    <x v="43"/>
    <n v="27"/>
    <n v="63"/>
    <s v="Sufficient"/>
    <n v="0"/>
    <s v="Normal"/>
    <x v="5"/>
    <n v="103.25"/>
    <d v="2024-06-15T00:00:00"/>
    <d v="2024-06-27T00:00:00"/>
    <d v="2025-02-01T00:00:00"/>
    <n v="621"/>
    <n v="609"/>
    <n v="390"/>
    <s v="Expiring Soon"/>
    <s v="6211 Hanson Terrace"/>
    <x v="57"/>
    <n v="9499"/>
    <n v="82"/>
    <s v="Discontinued"/>
    <n v="9395.75"/>
  </r>
  <r>
    <x v="293"/>
    <x v="31"/>
    <x v="2"/>
    <s v="37-686-1726"/>
    <x v="203"/>
    <x v="68"/>
    <n v="29"/>
    <n v="65"/>
    <s v="Sufficient"/>
    <n v="0"/>
    <s v="Normal"/>
    <x v="10"/>
    <n v="68"/>
    <d v="2024-03-05T00:00:00"/>
    <d v="2024-04-10T00:00:00"/>
    <d v="2024-11-22T00:00:00"/>
    <n v="723"/>
    <n v="687"/>
    <n v="461"/>
    <s v="Expiring Soon"/>
    <s v="74 Menomonie Point"/>
    <x v="54"/>
    <n v="6120"/>
    <n v="23"/>
    <s v="Discontinued"/>
    <n v="6052"/>
  </r>
  <r>
    <x v="294"/>
    <x v="82"/>
    <x v="6"/>
    <s v="72-649-3163"/>
    <x v="8"/>
    <x v="71"/>
    <n v="75"/>
    <n v="27"/>
    <s v="Require"/>
    <n v="75"/>
    <s v="High Priority"/>
    <x v="39"/>
    <n v="450"/>
    <d v="2025-02-01T00:00:00"/>
    <d v="2024-05-10T00:00:00"/>
    <d v="2024-05-04T00:00:00"/>
    <n v="390"/>
    <n v="657"/>
    <n v="663"/>
    <s v="Safe"/>
    <s v="381 Rutledge Place"/>
    <x v="2"/>
    <n v="13950"/>
    <n v="36"/>
    <s v="Active"/>
    <n v="13500"/>
  </r>
  <r>
    <x v="295"/>
    <x v="95"/>
    <x v="6"/>
    <s v="00-900-0119"/>
    <x v="204"/>
    <x v="19"/>
    <n v="22"/>
    <n v="20"/>
    <s v="Sufficient"/>
    <n v="0"/>
    <s v="Normal"/>
    <x v="29"/>
    <n v="810"/>
    <d v="2024-01-06T00:00:00"/>
    <d v="2025-02-23T00:00:00"/>
    <d v="2024-08-22T00:00:00"/>
    <n v="782"/>
    <n v="368"/>
    <n v="553"/>
    <s v="Safe"/>
    <s v="86 Porter Junction"/>
    <x v="3"/>
    <n v="76950"/>
    <n v="77"/>
    <s v="Discontinued"/>
    <n v="76140"/>
  </r>
  <r>
    <x v="296"/>
    <x v="110"/>
    <x v="2"/>
    <s v="42-746-2717"/>
    <x v="187"/>
    <x v="19"/>
    <n v="74"/>
    <n v="45"/>
    <s v="Sufficient"/>
    <n v="0"/>
    <s v="Normal"/>
    <x v="16"/>
    <n v="283.5"/>
    <d v="2025-01-20T00:00:00"/>
    <d v="2025-01-27T00:00:00"/>
    <d v="2025-01-12T00:00:00"/>
    <n v="402"/>
    <n v="395"/>
    <n v="410"/>
    <s v="Expiring Soon"/>
    <s v="42 Mallory Court"/>
    <x v="27"/>
    <n v="11907"/>
    <n v="23"/>
    <s v="Discontinued"/>
    <n v="11623.5"/>
  </r>
  <r>
    <x v="297"/>
    <x v="94"/>
    <x v="2"/>
    <s v="55-156-6528"/>
    <x v="82"/>
    <x v="86"/>
    <n v="4"/>
    <n v="37"/>
    <s v="Sufficient"/>
    <n v="0"/>
    <s v="Normal"/>
    <x v="7"/>
    <n v="213"/>
    <d v="2024-09-15T00:00:00"/>
    <d v="2024-10-24T00:00:00"/>
    <d v="2024-12-27T00:00:00"/>
    <n v="529"/>
    <n v="490"/>
    <n v="426"/>
    <s v="Expiring Soon"/>
    <s v="26240 Maple Wood Place"/>
    <x v="68"/>
    <n v="17253"/>
    <n v="25"/>
    <s v="Discontinued"/>
    <n v="17040"/>
  </r>
  <r>
    <x v="298"/>
    <x v="78"/>
    <x v="2"/>
    <s v="17-963-6051"/>
    <x v="205"/>
    <x v="60"/>
    <n v="22"/>
    <n v="37"/>
    <s v="Sufficient"/>
    <n v="0"/>
    <s v="Normal"/>
    <x v="6"/>
    <n v="130"/>
    <d v="2024-10-28T00:00:00"/>
    <d v="2024-10-07T00:00:00"/>
    <d v="2024-03-24T00:00:00"/>
    <n v="486"/>
    <n v="507"/>
    <n v="704"/>
    <s v="Safe"/>
    <s v="30408 5th Way"/>
    <x v="8"/>
    <n v="7280"/>
    <n v="44"/>
    <s v="Active"/>
    <n v="7150"/>
  </r>
  <r>
    <x v="299"/>
    <x v="8"/>
    <x v="4"/>
    <s v="79-508-5241"/>
    <x v="206"/>
    <x v="11"/>
    <n v="54"/>
    <n v="90"/>
    <s v="Require"/>
    <n v="54"/>
    <s v="Normal"/>
    <x v="7"/>
    <n v="78"/>
    <d v="2024-10-15T00:00:00"/>
    <d v="2024-06-19T00:00:00"/>
    <d v="2025-01-21T00:00:00"/>
    <n v="499"/>
    <n v="617"/>
    <n v="401"/>
    <s v="Expiring Soon"/>
    <s v="82 Drewry Junction"/>
    <x v="28"/>
    <n v="1950"/>
    <n v="81"/>
    <s v="Active"/>
    <n v="1872"/>
  </r>
  <r>
    <x v="300"/>
    <x v="30"/>
    <x v="6"/>
    <s v="73-201-2803"/>
    <x v="207"/>
    <x v="36"/>
    <n v="8"/>
    <n v="54"/>
    <s v="Sufficient"/>
    <n v="0"/>
    <s v="Normal"/>
    <x v="18"/>
    <n v="756"/>
    <d v="2025-01-14T00:00:00"/>
    <d v="2024-04-23T00:00:00"/>
    <d v="2024-03-09T00:00:00"/>
    <n v="408"/>
    <n v="674"/>
    <n v="719"/>
    <s v="Safe"/>
    <s v="234 Eagle Crest Avenue"/>
    <x v="30"/>
    <n v="45360"/>
    <n v="38"/>
    <s v="Active"/>
    <n v="44604"/>
  </r>
  <r>
    <x v="301"/>
    <x v="60"/>
    <x v="2"/>
    <s v="00-635-4638"/>
    <x v="106"/>
    <x v="44"/>
    <n v="86"/>
    <n v="44"/>
    <s v="Require"/>
    <n v="86"/>
    <s v="High Priority"/>
    <x v="29"/>
    <n v="280"/>
    <d v="2024-05-23T00:00:00"/>
    <d v="2024-11-18T00:00:00"/>
    <d v="2024-07-29T00:00:00"/>
    <n v="644"/>
    <n v="465"/>
    <n v="577"/>
    <s v="Safe"/>
    <s v="53 Caliangt Junction"/>
    <x v="67"/>
    <n v="13440"/>
    <n v="12"/>
    <s v="Backordered"/>
    <n v="13160"/>
  </r>
  <r>
    <x v="302"/>
    <x v="12"/>
    <x v="2"/>
    <s v="37-902-0286"/>
    <x v="208"/>
    <x v="14"/>
    <n v="77"/>
    <n v="89"/>
    <s v="Sufficient"/>
    <n v="0"/>
    <s v="Normal"/>
    <x v="2"/>
    <n v="564"/>
    <d v="2024-09-30T00:00:00"/>
    <d v="2024-06-20T00:00:00"/>
    <d v="2024-06-21T00:00:00"/>
    <n v="514"/>
    <n v="616"/>
    <n v="615"/>
    <s v="Safe"/>
    <s v="32525 Marquette Park"/>
    <x v="35"/>
    <n v="22560"/>
    <n v="84"/>
    <s v="Discontinued"/>
    <n v="21996"/>
  </r>
  <r>
    <x v="303"/>
    <x v="39"/>
    <x v="2"/>
    <s v="15-947-9718"/>
    <x v="209"/>
    <x v="28"/>
    <n v="75"/>
    <n v="53"/>
    <s v="Require"/>
    <n v="75"/>
    <s v="High Priority"/>
    <x v="2"/>
    <n v="282"/>
    <d v="2025-06-02T00:00:00"/>
    <d v="2024-03-10T00:00:00"/>
    <d v="2024-07-03T00:00:00"/>
    <n v="269"/>
    <n v="718"/>
    <n v="603"/>
    <s v="Safe"/>
    <s v="71 Bultman Drive"/>
    <x v="73"/>
    <n v="19740"/>
    <n v="20"/>
    <s v="Discontinued"/>
    <n v="19458"/>
  </r>
  <r>
    <x v="304"/>
    <x v="111"/>
    <x v="0"/>
    <s v="90-175-7764"/>
    <x v="166"/>
    <x v="53"/>
    <n v="51"/>
    <n v="21"/>
    <s v="Require"/>
    <n v="51"/>
    <s v="Normal"/>
    <x v="15"/>
    <n v="100"/>
    <d v="2024-03-19T00:00:00"/>
    <d v="2024-07-28T00:00:00"/>
    <d v="2024-06-18T00:00:00"/>
    <n v="709"/>
    <n v="578"/>
    <n v="618"/>
    <s v="Safe"/>
    <s v="911 Ridgeway Way"/>
    <x v="75"/>
    <n v="7100"/>
    <n v="26"/>
    <s v="Backordered"/>
    <n v="7000"/>
  </r>
  <r>
    <x v="305"/>
    <x v="112"/>
    <x v="2"/>
    <s v="43-880-2879"/>
    <x v="155"/>
    <x v="36"/>
    <n v="20"/>
    <n v="58"/>
    <s v="Sufficient"/>
    <n v="0"/>
    <s v="Normal"/>
    <x v="6"/>
    <n v="210"/>
    <d v="2024-08-04T00:00:00"/>
    <d v="2025-10-01T00:00:00"/>
    <d v="2024-04-02T00:00:00"/>
    <n v="571"/>
    <n v="148"/>
    <n v="695"/>
    <s v="Safe"/>
    <s v="2 Sunbrook Lane"/>
    <x v="52"/>
    <n v="18060"/>
    <n v="64"/>
    <s v="Backordered"/>
    <n v="17850"/>
  </r>
  <r>
    <x v="306"/>
    <x v="62"/>
    <x v="4"/>
    <s v="67-662-3444"/>
    <x v="19"/>
    <x v="46"/>
    <n v="31"/>
    <n v="43"/>
    <s v="Sufficient"/>
    <n v="0"/>
    <s v="Normal"/>
    <x v="18"/>
    <n v="900"/>
    <d v="2024-09-13T00:00:00"/>
    <d v="2025-06-01T00:00:00"/>
    <d v="2024-12-26T00:00:00"/>
    <n v="531"/>
    <n v="270"/>
    <n v="427"/>
    <s v="Expiring Soon"/>
    <s v="1700 Briar Crest Parkway"/>
    <x v="74"/>
    <n v="79200"/>
    <n v="52"/>
    <s v="Backordered"/>
    <n v="78300"/>
  </r>
  <r>
    <x v="307"/>
    <x v="102"/>
    <x v="4"/>
    <s v="51-054-3811"/>
    <x v="169"/>
    <x v="59"/>
    <n v="90"/>
    <n v="26"/>
    <s v="Require"/>
    <n v="90"/>
    <s v="High Priority"/>
    <x v="8"/>
    <n v="74"/>
    <d v="2024-05-23T00:00:00"/>
    <d v="2025-07-02T00:00:00"/>
    <d v="2024-07-17T00:00:00"/>
    <n v="644"/>
    <n v="239"/>
    <n v="589"/>
    <s v="Safe"/>
    <s v="4 Bashford Court"/>
    <x v="38"/>
    <n v="1776"/>
    <n v="11"/>
    <s v="Discontinued"/>
    <n v="1702"/>
  </r>
  <r>
    <x v="308"/>
    <x v="43"/>
    <x v="1"/>
    <s v="29-143-2001"/>
    <x v="210"/>
    <x v="15"/>
    <n v="12"/>
    <n v="93"/>
    <s v="Sufficient"/>
    <n v="0"/>
    <s v="Normal"/>
    <x v="13"/>
    <n v="324"/>
    <d v="2024-04-03T00:00:00"/>
    <d v="2024-12-07T00:00:00"/>
    <d v="2024-03-27T00:00:00"/>
    <n v="694"/>
    <n v="446"/>
    <n v="701"/>
    <s v="Safe"/>
    <s v="97 Thierer Terrace"/>
    <x v="74"/>
    <n v="28512"/>
    <n v="83"/>
    <s v="Discontinued"/>
    <n v="28188"/>
  </r>
  <r>
    <x v="309"/>
    <x v="51"/>
    <x v="2"/>
    <s v="12-983-3026"/>
    <x v="211"/>
    <x v="8"/>
    <n v="55"/>
    <n v="94"/>
    <s v="Sufficient"/>
    <n v="0"/>
    <s v="Normal"/>
    <x v="7"/>
    <n v="273"/>
    <d v="2024-11-03T00:00:00"/>
    <d v="2024-10-04T00:00:00"/>
    <d v="2024-04-26T00:00:00"/>
    <n v="480"/>
    <n v="510"/>
    <n v="671"/>
    <s v="Safe"/>
    <s v="25784 Old Gate Crossing"/>
    <x v="27"/>
    <n v="11466"/>
    <n v="93"/>
    <s v="Active"/>
    <n v="11193"/>
  </r>
  <r>
    <x v="310"/>
    <x v="103"/>
    <x v="2"/>
    <s v="86-709-5618"/>
    <x v="212"/>
    <x v="45"/>
    <n v="21"/>
    <n v="85"/>
    <s v="Sufficient"/>
    <n v="0"/>
    <s v="Normal"/>
    <x v="57"/>
    <n v="451"/>
    <d v="2024-04-14T00:00:00"/>
    <d v="2024-03-19T00:00:00"/>
    <d v="2024-07-08T00:00:00"/>
    <n v="683"/>
    <n v="709"/>
    <n v="598"/>
    <s v="Safe"/>
    <s v="38 Rutledge Plaza"/>
    <x v="34"/>
    <n v="17589"/>
    <n v="18"/>
    <s v="Backordered"/>
    <n v="17138"/>
  </r>
  <r>
    <x v="311"/>
    <x v="14"/>
    <x v="0"/>
    <s v="93-688-1260"/>
    <x v="61"/>
    <x v="36"/>
    <n v="91"/>
    <n v="86"/>
    <s v="Require"/>
    <n v="91"/>
    <s v="High Priority"/>
    <x v="3"/>
    <n v="126"/>
    <d v="2025-08-01T00:00:00"/>
    <d v="2024-07-12T00:00:00"/>
    <d v="2024-11-22T00:00:00"/>
    <n v="209"/>
    <n v="594"/>
    <n v="461"/>
    <s v="Expiring Soon"/>
    <s v="39102 Division Trail"/>
    <x v="48"/>
    <n v="10458"/>
    <n v="95"/>
    <s v="Backordered"/>
    <n v="10332"/>
  </r>
  <r>
    <x v="312"/>
    <x v="105"/>
    <x v="6"/>
    <s v="79-518-8344"/>
    <x v="213"/>
    <x v="27"/>
    <n v="46"/>
    <n v="26"/>
    <s v="Require"/>
    <n v="46"/>
    <s v="Normal"/>
    <x v="1"/>
    <n v="360"/>
    <d v="2024-10-04T00:00:00"/>
    <d v="2024-10-10T00:00:00"/>
    <d v="2024-09-13T00:00:00"/>
    <n v="510"/>
    <n v="504"/>
    <n v="531"/>
    <s v="Expiring Soon"/>
    <s v="26266 Esker Point"/>
    <x v="42"/>
    <n v="20520"/>
    <n v="95"/>
    <s v="Backordered"/>
    <n v="20160"/>
  </r>
  <r>
    <x v="313"/>
    <x v="40"/>
    <x v="5"/>
    <s v="20-257-6927"/>
    <x v="206"/>
    <x v="3"/>
    <n v="59"/>
    <n v="62"/>
    <s v="Require"/>
    <n v="59"/>
    <s v="Normal"/>
    <x v="0"/>
    <n v="54"/>
    <d v="2024-03-06T00:00:00"/>
    <d v="2025-01-16T00:00:00"/>
    <d v="2024-08-05T00:00:00"/>
    <n v="722"/>
    <n v="406"/>
    <n v="570"/>
    <s v="Safe"/>
    <s v="744 Green Center"/>
    <x v="71"/>
    <n v="4050"/>
    <n v="92"/>
    <s v="Backordered"/>
    <n v="3996"/>
  </r>
  <r>
    <x v="314"/>
    <x v="2"/>
    <x v="0"/>
    <s v="69-861-0313"/>
    <x v="13"/>
    <x v="42"/>
    <n v="4"/>
    <n v="75"/>
    <s v="Sufficient"/>
    <n v="0"/>
    <s v="Normal"/>
    <x v="42"/>
    <n v="552.5"/>
    <d v="2024-08-18T00:00:00"/>
    <d v="2024-03-04T00:00:00"/>
    <d v="2024-11-03T00:00:00"/>
    <n v="557"/>
    <n v="724"/>
    <n v="480"/>
    <s v="Expiring Soon"/>
    <s v="57598 Russell Center"/>
    <x v="3"/>
    <n v="52487.5"/>
    <n v="70"/>
    <s v="Backordered"/>
    <n v="51935"/>
  </r>
  <r>
    <x v="315"/>
    <x v="56"/>
    <x v="5"/>
    <s v="21-634-5781"/>
    <x v="214"/>
    <x v="64"/>
    <n v="60"/>
    <n v="67"/>
    <s v="Require"/>
    <n v="60"/>
    <s v="Normal"/>
    <x v="2"/>
    <n v="198"/>
    <d v="2024-06-16T00:00:00"/>
    <d v="2024-05-24T00:00:00"/>
    <d v="2024-12-28T00:00:00"/>
    <n v="620"/>
    <n v="643"/>
    <n v="425"/>
    <s v="Expiring Soon"/>
    <s v="315 Acker Alley"/>
    <x v="14"/>
    <n v="3960"/>
    <n v="7"/>
    <s v="Discontinued"/>
    <n v="3762"/>
  </r>
  <r>
    <x v="316"/>
    <x v="70"/>
    <x v="6"/>
    <s v="32-196-4714"/>
    <x v="111"/>
    <x v="43"/>
    <n v="59"/>
    <n v="10"/>
    <s v="Require"/>
    <n v="59"/>
    <s v="Normal"/>
    <x v="11"/>
    <n v="413"/>
    <d v="2024-08-18T00:00:00"/>
    <d v="2024-10-11T00:00:00"/>
    <d v="2024-03-15T00:00:00"/>
    <n v="557"/>
    <n v="503"/>
    <n v="713"/>
    <s v="Safe"/>
    <s v="73397 Steensland Circle"/>
    <x v="42"/>
    <n v="23541"/>
    <n v="50"/>
    <s v="Active"/>
    <n v="23128"/>
  </r>
  <r>
    <x v="317"/>
    <x v="103"/>
    <x v="2"/>
    <s v="35-906-1010"/>
    <x v="215"/>
    <x v="0"/>
    <n v="69"/>
    <n v="87"/>
    <s v="Require"/>
    <n v="69"/>
    <s v="High Priority"/>
    <x v="57"/>
    <n v="121"/>
    <d v="2025-09-02T00:00:00"/>
    <d v="2024-06-15T00:00:00"/>
    <d v="2025-02-20T00:00:00"/>
    <n v="177"/>
    <n v="621"/>
    <n v="371"/>
    <s v="Expiring Soon"/>
    <s v="95 Garrison Plaza"/>
    <x v="5"/>
    <n v="4114"/>
    <n v="26"/>
    <s v="Backordered"/>
    <n v="3993"/>
  </r>
  <r>
    <x v="318"/>
    <x v="81"/>
    <x v="4"/>
    <s v="90-177-6733"/>
    <x v="216"/>
    <x v="38"/>
    <n v="79"/>
    <n v="98"/>
    <s v="Require"/>
    <n v="79"/>
    <s v="High Priority"/>
    <x v="11"/>
    <n v="469"/>
    <d v="2025-02-13T00:00:00"/>
    <d v="2024-11-08T00:00:00"/>
    <d v="2024-04-06T00:00:00"/>
    <n v="378"/>
    <n v="475"/>
    <n v="691"/>
    <s v="Safe"/>
    <s v="5989 Longview Drive"/>
    <x v="21"/>
    <n v="34237"/>
    <n v="36"/>
    <s v="Active"/>
    <n v="33768"/>
  </r>
  <r>
    <x v="319"/>
    <x v="62"/>
    <x v="4"/>
    <s v="96-353-3049"/>
    <x v="217"/>
    <x v="87"/>
    <n v="24"/>
    <n v="31"/>
    <s v="Sufficient"/>
    <n v="0"/>
    <s v="Normal"/>
    <x v="18"/>
    <n v="702"/>
    <d v="2024-01-06T00:00:00"/>
    <d v="2024-03-06T00:00:00"/>
    <d v="2024-03-07T00:00:00"/>
    <n v="782"/>
    <n v="722"/>
    <n v="721"/>
    <s v="Safe"/>
    <s v="05518 Saint Paul Street"/>
    <x v="30"/>
    <n v="42120"/>
    <n v="41"/>
    <s v="Active"/>
    <n v="41418"/>
  </r>
  <r>
    <x v="320"/>
    <x v="35"/>
    <x v="2"/>
    <s v="57-633-6273"/>
    <x v="196"/>
    <x v="18"/>
    <n v="32"/>
    <n v="80"/>
    <s v="Sufficient"/>
    <n v="0"/>
    <s v="Normal"/>
    <x v="62"/>
    <n v="176.4"/>
    <d v="2024-06-07T00:00:00"/>
    <d v="2024-11-17T00:00:00"/>
    <d v="2024-04-10T00:00:00"/>
    <n v="629"/>
    <n v="466"/>
    <n v="687"/>
    <s v="Safe"/>
    <s v="86 Corben Crossing"/>
    <x v="28"/>
    <n v="4410"/>
    <n v="9"/>
    <s v="Backordered"/>
    <n v="4233.6000000000004"/>
  </r>
  <r>
    <x v="321"/>
    <x v="52"/>
    <x v="4"/>
    <s v="26-073-5798"/>
    <x v="118"/>
    <x v="21"/>
    <n v="48"/>
    <n v="22"/>
    <s v="Sufficient"/>
    <n v="0"/>
    <s v="Normal"/>
    <x v="4"/>
    <n v="252"/>
    <d v="2024-05-30T00:00:00"/>
    <d v="2025-02-18T00:00:00"/>
    <d v="2024-07-18T00:00:00"/>
    <n v="637"/>
    <n v="373"/>
    <n v="588"/>
    <s v="Safe"/>
    <s v="2 Kingsford Center"/>
    <x v="7"/>
    <n v="5292"/>
    <n v="90"/>
    <s v="Discontinued"/>
    <n v="5040"/>
  </r>
  <r>
    <x v="322"/>
    <x v="42"/>
    <x v="5"/>
    <s v="15-739-5480"/>
    <x v="6"/>
    <x v="2"/>
    <n v="91"/>
    <n v="34"/>
    <s v="Require"/>
    <n v="91"/>
    <s v="High Priority"/>
    <x v="6"/>
    <n v="75"/>
    <d v="2024-11-07T00:00:00"/>
    <d v="2024-11-18T00:00:00"/>
    <d v="2024-05-06T00:00:00"/>
    <n v="476"/>
    <n v="465"/>
    <n v="661"/>
    <s v="Safe"/>
    <s v="0 Saint Paul Center"/>
    <x v="23"/>
    <n v="7275"/>
    <n v="88"/>
    <s v="Active"/>
    <n v="7200"/>
  </r>
  <r>
    <x v="323"/>
    <x v="1"/>
    <x v="1"/>
    <s v="87-840-7803"/>
    <x v="141"/>
    <x v="80"/>
    <n v="64"/>
    <n v="63"/>
    <s v="Require"/>
    <n v="64"/>
    <s v="High Priority"/>
    <x v="1"/>
    <n v="720"/>
    <d v="2024-03-15T00:00:00"/>
    <d v="2025-02-18T00:00:00"/>
    <d v="2024-03-30T00:00:00"/>
    <n v="713"/>
    <n v="373"/>
    <n v="698"/>
    <s v="Safe"/>
    <s v="5818 Twin Pines Place"/>
    <x v="56"/>
    <n v="65520"/>
    <n v="35"/>
    <s v="Backordered"/>
    <n v="64800"/>
  </r>
  <r>
    <x v="324"/>
    <x v="103"/>
    <x v="2"/>
    <s v="19-156-3869"/>
    <x v="218"/>
    <x v="20"/>
    <n v="27"/>
    <n v="92"/>
    <s v="Sufficient"/>
    <n v="0"/>
    <s v="Normal"/>
    <x v="57"/>
    <n v="484"/>
    <d v="2024-11-27T00:00:00"/>
    <d v="2024-04-30T00:00:00"/>
    <d v="2024-06-22T00:00:00"/>
    <n v="456"/>
    <n v="667"/>
    <n v="614"/>
    <s v="Safe"/>
    <s v="611 Waubesa Circle"/>
    <x v="42"/>
    <n v="27588"/>
    <n v="37"/>
    <s v="Discontinued"/>
    <n v="27104"/>
  </r>
  <r>
    <x v="325"/>
    <x v="74"/>
    <x v="2"/>
    <s v="40-817-2222"/>
    <x v="15"/>
    <x v="12"/>
    <n v="25"/>
    <n v="91"/>
    <s v="Sufficient"/>
    <n v="0"/>
    <s v="Normal"/>
    <x v="63"/>
    <n v="5112.8999999999996"/>
    <d v="2024-04-09T00:00:00"/>
    <d v="2024-04-24T00:00:00"/>
    <d v="2024-10-18T00:00:00"/>
    <n v="688"/>
    <n v="673"/>
    <n v="496"/>
    <s v="Expiring Soon"/>
    <s v="3825 Raven Avenue"/>
    <x v="80"/>
    <n v="444822.3"/>
    <n v="5"/>
    <s v="Discontinued"/>
    <n v="439709.39999999997"/>
  </r>
  <r>
    <x v="326"/>
    <x v="50"/>
    <x v="2"/>
    <s v="61-907-0994"/>
    <x v="219"/>
    <x v="2"/>
    <n v="59"/>
    <n v="76"/>
    <s v="Require"/>
    <n v="59"/>
    <s v="Normal"/>
    <x v="4"/>
    <n v="120"/>
    <d v="2024-03-20T00:00:00"/>
    <d v="2025-01-14T00:00:00"/>
    <d v="2024-04-11T00:00:00"/>
    <n v="708"/>
    <n v="408"/>
    <n v="686"/>
    <s v="Safe"/>
    <s v="52 Alpine Crossing"/>
    <x v="26"/>
    <n v="7320"/>
    <n v="3"/>
    <s v="Discontinued"/>
    <n v="7200"/>
  </r>
  <r>
    <x v="327"/>
    <x v="18"/>
    <x v="2"/>
    <s v="38-310-4533"/>
    <x v="163"/>
    <x v="22"/>
    <n v="55"/>
    <n v="5"/>
    <s v="Require"/>
    <n v="55"/>
    <s v="Normal"/>
    <x v="10"/>
    <n v="62"/>
    <d v="2024-10-09T00:00:00"/>
    <d v="2025-02-18T00:00:00"/>
    <d v="2024-10-29T00:00:00"/>
    <n v="505"/>
    <n v="373"/>
    <n v="485"/>
    <s v="Expiring Soon"/>
    <s v="379 Duke Court"/>
    <x v="75"/>
    <n v="4402"/>
    <n v="46"/>
    <s v="Active"/>
    <n v="4340"/>
  </r>
  <r>
    <x v="328"/>
    <x v="73"/>
    <x v="6"/>
    <s v="51-010-8144"/>
    <x v="183"/>
    <x v="24"/>
    <n v="20"/>
    <n v="45"/>
    <s v="Require"/>
    <n v="20"/>
    <s v="Normal"/>
    <x v="12"/>
    <n v="128"/>
    <d v="2024-04-30T00:00:00"/>
    <d v="2024-10-18T00:00:00"/>
    <d v="2024-06-07T00:00:00"/>
    <n v="667"/>
    <n v="496"/>
    <n v="629"/>
    <s v="Safe"/>
    <s v="7096 Mcguire Park"/>
    <x v="68"/>
    <n v="10368"/>
    <n v="62"/>
    <s v="Active"/>
    <n v="10240"/>
  </r>
  <r>
    <x v="329"/>
    <x v="10"/>
    <x v="0"/>
    <s v="82-266-1796"/>
    <x v="220"/>
    <x v="39"/>
    <n v="16"/>
    <n v="93"/>
    <s v="Require"/>
    <n v="16"/>
    <s v="Normal"/>
    <x v="10"/>
    <n v="28"/>
    <d v="2024-07-23T00:00:00"/>
    <d v="2024-03-03T00:00:00"/>
    <d v="2024-06-21T00:00:00"/>
    <n v="583"/>
    <n v="725"/>
    <n v="615"/>
    <s v="Safe"/>
    <s v="083 Gulseth Pass"/>
    <x v="34"/>
    <n v="1092"/>
    <n v="30"/>
    <s v="Active"/>
    <n v="1064"/>
  </r>
  <r>
    <x v="330"/>
    <x v="112"/>
    <x v="2"/>
    <s v="30-460-3122"/>
    <x v="81"/>
    <x v="7"/>
    <n v="67"/>
    <n v="15"/>
    <s v="Require"/>
    <n v="67"/>
    <s v="High Priority"/>
    <x v="6"/>
    <n v="110"/>
    <d v="2024-03-13T00:00:00"/>
    <d v="2024-10-03T00:00:00"/>
    <d v="2024-03-23T00:00:00"/>
    <n v="715"/>
    <n v="511"/>
    <n v="705"/>
    <s v="Safe"/>
    <s v="34 Linden Court"/>
    <x v="19"/>
    <n v="9020"/>
    <n v="51"/>
    <s v="Active"/>
    <n v="8910"/>
  </r>
  <r>
    <x v="331"/>
    <x v="3"/>
    <x v="0"/>
    <s v="01-431-7544"/>
    <x v="172"/>
    <x v="79"/>
    <n v="82"/>
    <n v="58"/>
    <s v="Require"/>
    <n v="82"/>
    <s v="High Priority"/>
    <x v="3"/>
    <n v="103.5"/>
    <d v="2024-07-07T00:00:00"/>
    <d v="2024-04-29T00:00:00"/>
    <d v="2024-04-30T00:00:00"/>
    <n v="599"/>
    <n v="668"/>
    <n v="667"/>
    <s v="Safe"/>
    <s v="38 Superior Road"/>
    <x v="5"/>
    <n v="3519"/>
    <n v="22"/>
    <s v="Discontinued"/>
    <n v="3415.5"/>
  </r>
  <r>
    <x v="332"/>
    <x v="3"/>
    <x v="0"/>
    <s v="65-068-1200"/>
    <x v="185"/>
    <x v="86"/>
    <n v="10"/>
    <n v="49"/>
    <s v="Sufficient"/>
    <n v="0"/>
    <s v="Normal"/>
    <x v="3"/>
    <n v="106.5"/>
    <d v="2024-11-08T00:00:00"/>
    <d v="2024-03-16T00:00:00"/>
    <d v="2024-05-26T00:00:00"/>
    <n v="475"/>
    <n v="712"/>
    <n v="641"/>
    <s v="Safe"/>
    <s v="8 Dovetail Junction"/>
    <x v="15"/>
    <n v="7029"/>
    <n v="43"/>
    <s v="Active"/>
    <n v="6922.5"/>
  </r>
  <r>
    <x v="333"/>
    <x v="45"/>
    <x v="2"/>
    <s v="38-819-2922"/>
    <x v="87"/>
    <x v="40"/>
    <n v="39"/>
    <n v="50"/>
    <s v="Sufficient"/>
    <n v="0"/>
    <s v="Normal"/>
    <x v="9"/>
    <n v="147.20000000000002"/>
    <d v="2024-12-27T00:00:00"/>
    <d v="2024-07-12T00:00:00"/>
    <d v="2024-11-09T00:00:00"/>
    <n v="426"/>
    <n v="594"/>
    <n v="474"/>
    <s v="Expiring Soon"/>
    <s v="57453 Northwestern Alley"/>
    <x v="43"/>
    <n v="4416.0000000000009"/>
    <n v="41"/>
    <s v="Backordered"/>
    <n v="4268.8000000000011"/>
  </r>
  <r>
    <x v="334"/>
    <x v="59"/>
    <x v="3"/>
    <s v="81-233-6894"/>
    <x v="14"/>
    <x v="16"/>
    <n v="17"/>
    <n v="54"/>
    <s v="Sufficient"/>
    <n v="0"/>
    <s v="Normal"/>
    <x v="4"/>
    <n v="196"/>
    <d v="2024-09-23T00:00:00"/>
    <d v="2024-11-30T00:00:00"/>
    <d v="2024-11-27T00:00:00"/>
    <n v="521"/>
    <n v="453"/>
    <n v="456"/>
    <s v="Expiring Soon"/>
    <s v="0109 Stang Terrace"/>
    <x v="78"/>
    <n v="8820"/>
    <n v="96"/>
    <s v="Discontinued"/>
    <n v="8624"/>
  </r>
  <r>
    <x v="335"/>
    <x v="75"/>
    <x v="2"/>
    <s v="41-821-0197"/>
    <x v="154"/>
    <x v="60"/>
    <n v="8"/>
    <n v="37"/>
    <s v="Sufficient"/>
    <n v="0"/>
    <s v="Normal"/>
    <x v="2"/>
    <n v="312"/>
    <d v="2024-08-31T00:00:00"/>
    <d v="2024-08-15T00:00:00"/>
    <d v="2024-08-16T00:00:00"/>
    <n v="544"/>
    <n v="560"/>
    <n v="559"/>
    <s v="Safe"/>
    <s v="1008 Welch Street"/>
    <x v="39"/>
    <n v="11856"/>
    <n v="81"/>
    <s v="Active"/>
    <n v="11544"/>
  </r>
  <r>
    <x v="336"/>
    <x v="89"/>
    <x v="4"/>
    <s v="07-987-4536"/>
    <x v="221"/>
    <x v="61"/>
    <n v="97"/>
    <n v="29"/>
    <s v="Require"/>
    <n v="97"/>
    <s v="High Priority"/>
    <x v="6"/>
    <n v="140"/>
    <d v="2024-02-28T00:00:00"/>
    <d v="2024-07-17T00:00:00"/>
    <d v="2024-11-29T00:00:00"/>
    <n v="729"/>
    <n v="589"/>
    <n v="454"/>
    <s v="Expiring Soon"/>
    <s v="32 Rigney Terrace"/>
    <x v="19"/>
    <n v="11480"/>
    <n v="100"/>
    <s v="Backordered"/>
    <n v="11340"/>
  </r>
  <r>
    <x v="337"/>
    <x v="12"/>
    <x v="2"/>
    <s v="48-450-4126"/>
    <x v="119"/>
    <x v="24"/>
    <n v="23"/>
    <n v="76"/>
    <s v="Require"/>
    <n v="23"/>
    <s v="Normal"/>
    <x v="34"/>
    <n v="97.6"/>
    <d v="2024-07-21T00:00:00"/>
    <d v="2025-09-02T00:00:00"/>
    <d v="2025-02-08T00:00:00"/>
    <n v="585"/>
    <n v="177"/>
    <n v="383"/>
    <s v="Expiring Soon"/>
    <s v="884 Fieldstone Plaza"/>
    <x v="25"/>
    <n v="4880"/>
    <n v="27"/>
    <s v="Backordered"/>
    <n v="4782.3999999999996"/>
  </r>
  <r>
    <x v="338"/>
    <x v="32"/>
    <x v="2"/>
    <s v="10-295-7996"/>
    <x v="124"/>
    <x v="60"/>
    <n v="79"/>
    <n v="87"/>
    <s v="Require"/>
    <n v="79"/>
    <s v="High Priority"/>
    <x v="6"/>
    <n v="130"/>
    <d v="2024-11-06T00:00:00"/>
    <d v="2024-04-04T00:00:00"/>
    <d v="2024-03-10T00:00:00"/>
    <n v="477"/>
    <n v="693"/>
    <n v="718"/>
    <s v="Safe"/>
    <s v="3 Lawn Park"/>
    <x v="66"/>
    <n v="4680"/>
    <n v="100"/>
    <s v="Discontinued"/>
    <n v="4550"/>
  </r>
  <r>
    <x v="339"/>
    <x v="17"/>
    <x v="6"/>
    <s v="57-323-8059"/>
    <x v="44"/>
    <x v="8"/>
    <n v="68"/>
    <n v="80"/>
    <s v="Sufficient"/>
    <n v="0"/>
    <s v="Normal"/>
    <x v="59"/>
    <n v="1046.5"/>
    <d v="2024-12-08T00:00:00"/>
    <d v="2024-10-14T00:00:00"/>
    <d v="2024-11-19T00:00:00"/>
    <n v="445"/>
    <n v="500"/>
    <n v="464"/>
    <s v="Expiring Soon"/>
    <s v="0258 Shoshone Center"/>
    <x v="68"/>
    <n v="84766.5"/>
    <n v="85"/>
    <s v="Backordered"/>
    <n v="83720"/>
  </r>
  <r>
    <x v="340"/>
    <x v="34"/>
    <x v="2"/>
    <s v="01-285-0018"/>
    <x v="222"/>
    <x v="62"/>
    <n v="58"/>
    <n v="28"/>
    <s v="Require"/>
    <n v="58"/>
    <s v="Normal"/>
    <x v="64"/>
    <n v="272.60000000000002"/>
    <d v="2024-03-18T00:00:00"/>
    <d v="2024-05-08T00:00:00"/>
    <d v="2025-01-29T00:00:00"/>
    <n v="710"/>
    <n v="659"/>
    <n v="393"/>
    <s v="Expiring Soon"/>
    <s v="18 Warrior Circle"/>
    <x v="1"/>
    <n v="23171.000000000004"/>
    <n v="63"/>
    <s v="Active"/>
    <n v="22898.400000000005"/>
  </r>
  <r>
    <x v="341"/>
    <x v="105"/>
    <x v="6"/>
    <s v="69-289-8783"/>
    <x v="223"/>
    <x v="28"/>
    <n v="29"/>
    <n v="70"/>
    <s v="Sufficient"/>
    <n v="0"/>
    <s v="Normal"/>
    <x v="1"/>
    <n v="940"/>
    <d v="2024-09-08T00:00:00"/>
    <d v="2024-07-12T00:00:00"/>
    <d v="2024-07-25T00:00:00"/>
    <n v="536"/>
    <n v="594"/>
    <n v="581"/>
    <s v="Safe"/>
    <s v="7 Riverside Road"/>
    <x v="26"/>
    <n v="57340"/>
    <n v="44"/>
    <s v="Active"/>
    <n v="56400"/>
  </r>
  <r>
    <x v="342"/>
    <x v="11"/>
    <x v="5"/>
    <s v="31-892-6816"/>
    <x v="224"/>
    <x v="74"/>
    <n v="56"/>
    <n v="63"/>
    <s v="Require"/>
    <n v="56"/>
    <s v="Normal"/>
    <x v="7"/>
    <n v="150"/>
    <d v="2024-03-27T00:00:00"/>
    <d v="2024-05-16T00:00:00"/>
    <d v="2024-09-17T00:00:00"/>
    <n v="701"/>
    <n v="651"/>
    <n v="527"/>
    <s v="Expiring Soon"/>
    <s v="667 Arkansas Circle"/>
    <x v="73"/>
    <n v="10500"/>
    <n v="100"/>
    <s v="Discontinued"/>
    <n v="10350"/>
  </r>
  <r>
    <x v="343"/>
    <x v="84"/>
    <x v="4"/>
    <s v="13-179-9553"/>
    <x v="14"/>
    <x v="9"/>
    <n v="73"/>
    <n v="14"/>
    <s v="Require"/>
    <n v="73"/>
    <s v="High Priority"/>
    <x v="4"/>
    <n v="172"/>
    <d v="2024-07-28T00:00:00"/>
    <d v="2024-07-09T00:00:00"/>
    <d v="2024-08-26T00:00:00"/>
    <n v="578"/>
    <n v="597"/>
    <n v="549"/>
    <s v="Expiring Soon"/>
    <s v="33 Clarendon Hill"/>
    <x v="22"/>
    <n v="10148"/>
    <n v="65"/>
    <s v="Active"/>
    <n v="9976"/>
  </r>
  <r>
    <x v="344"/>
    <x v="88"/>
    <x v="4"/>
    <s v="06-315-0552"/>
    <x v="215"/>
    <x v="75"/>
    <n v="60"/>
    <n v="21"/>
    <s v="Sufficient"/>
    <n v="0"/>
    <s v="Normal"/>
    <x v="65"/>
    <n v="605.20000000000005"/>
    <d v="2024-02-27T00:00:00"/>
    <d v="2024-02-10T00:00:00"/>
    <d v="2024-04-29T00:00:00"/>
    <n v="730"/>
    <n v="747"/>
    <n v="668"/>
    <s v="Safe"/>
    <s v="406 Westridge Alley"/>
    <x v="33"/>
    <n v="47810.8"/>
    <n v="46"/>
    <s v="Active"/>
    <n v="47205.600000000006"/>
  </r>
  <r>
    <x v="345"/>
    <x v="89"/>
    <x v="4"/>
    <s v="35-941-2585"/>
    <x v="164"/>
    <x v="26"/>
    <n v="100"/>
    <n v="83"/>
    <s v="Require"/>
    <n v="100"/>
    <s v="High Priority"/>
    <x v="6"/>
    <n v="47.5"/>
    <d v="2024-04-25T00:00:00"/>
    <d v="2024-07-21T00:00:00"/>
    <d v="2024-03-22T00:00:00"/>
    <n v="672"/>
    <n v="585"/>
    <n v="706"/>
    <s v="Safe"/>
    <s v="69 Orin Plaza"/>
    <x v="15"/>
    <n v="3135"/>
    <n v="28"/>
    <s v="Discontinued"/>
    <n v="3087.5"/>
  </r>
  <r>
    <x v="346"/>
    <x v="15"/>
    <x v="4"/>
    <s v="87-201-6047"/>
    <x v="188"/>
    <x v="67"/>
    <n v="84"/>
    <n v="72"/>
    <s v="Require"/>
    <n v="84"/>
    <s v="High Priority"/>
    <x v="12"/>
    <n v="560"/>
    <d v="2024-07-20T00:00:00"/>
    <d v="2024-08-12T00:00:00"/>
    <d v="2024-07-14T00:00:00"/>
    <n v="586"/>
    <n v="563"/>
    <n v="592"/>
    <s v="Safe"/>
    <s v="36 Longview Street"/>
    <x v="75"/>
    <n v="39760"/>
    <n v="20"/>
    <s v="Active"/>
    <n v="39200"/>
  </r>
  <r>
    <x v="347"/>
    <x v="51"/>
    <x v="2"/>
    <s v="07-067-3439"/>
    <x v="139"/>
    <x v="23"/>
    <n v="20"/>
    <n v="72"/>
    <s v="Sufficient"/>
    <n v="0"/>
    <s v="Normal"/>
    <x v="7"/>
    <n v="291"/>
    <d v="2024-02-29T00:00:00"/>
    <d v="2025-06-02T00:00:00"/>
    <d v="2024-12-10T00:00:00"/>
    <n v="728"/>
    <n v="269"/>
    <n v="443"/>
    <s v="Expiring Soon"/>
    <s v="41 Comanche Park"/>
    <x v="18"/>
    <n v="8439"/>
    <n v="59"/>
    <s v="Backordered"/>
    <n v="8148"/>
  </r>
  <r>
    <x v="348"/>
    <x v="97"/>
    <x v="3"/>
    <s v="81-292-4650"/>
    <x v="147"/>
    <x v="89"/>
    <n v="24"/>
    <n v="19"/>
    <s v="Sufficient"/>
    <n v="0"/>
    <s v="Normal"/>
    <x v="6"/>
    <n v="217.5"/>
    <d v="2024-11-05T00:00:00"/>
    <d v="2024-12-13T00:00:00"/>
    <d v="2024-04-17T00:00:00"/>
    <n v="478"/>
    <n v="440"/>
    <n v="680"/>
    <s v="Safe"/>
    <s v="88721 Dawn Crossing"/>
    <x v="48"/>
    <n v="18052.5"/>
    <n v="3"/>
    <s v="Discontinued"/>
    <n v="17835"/>
  </r>
  <r>
    <x v="349"/>
    <x v="48"/>
    <x v="1"/>
    <s v="21-156-0102"/>
    <x v="165"/>
    <x v="62"/>
    <n v="81"/>
    <n v="66"/>
    <s v="Require"/>
    <n v="81"/>
    <s v="High Priority"/>
    <x v="25"/>
    <n v="1450"/>
    <d v="2024-06-24T00:00:00"/>
    <d v="2025-02-13T00:00:00"/>
    <d v="2025-01-02T00:00:00"/>
    <n v="612"/>
    <n v="378"/>
    <n v="420"/>
    <s v="Expiring Soon"/>
    <s v="339 Crescent Oaks Plaza"/>
    <x v="1"/>
    <n v="123250"/>
    <n v="78"/>
    <s v="Active"/>
    <n v="121800"/>
  </r>
  <r>
    <x v="350"/>
    <x v="72"/>
    <x v="2"/>
    <s v="96-012-3393"/>
    <x v="225"/>
    <x v="24"/>
    <n v="53"/>
    <n v="12"/>
    <s v="Require"/>
    <n v="53"/>
    <s v="Normal"/>
    <x v="15"/>
    <n v="80"/>
    <d v="2024-11-06T00:00:00"/>
    <d v="2025-01-20T00:00:00"/>
    <d v="2024-06-06T00:00:00"/>
    <n v="477"/>
    <n v="402"/>
    <n v="630"/>
    <s v="Safe"/>
    <s v="277 Pawling Terrace"/>
    <x v="7"/>
    <n v="1680"/>
    <n v="29"/>
    <s v="Discontinued"/>
    <n v="1600"/>
  </r>
  <r>
    <x v="351"/>
    <x v="27"/>
    <x v="2"/>
    <s v="78-787-7171"/>
    <x v="188"/>
    <x v="17"/>
    <n v="35"/>
    <n v="3"/>
    <s v="Sufficient"/>
    <n v="0"/>
    <s v="Normal"/>
    <x v="16"/>
    <n v="227.5"/>
    <d v="2024-11-08T00:00:00"/>
    <d v="2025-01-18T00:00:00"/>
    <d v="2024-09-27T00:00:00"/>
    <n v="475"/>
    <n v="404"/>
    <n v="517"/>
    <s v="Expiring Soon"/>
    <s v="4 4th Place"/>
    <x v="28"/>
    <n v="5687.5"/>
    <n v="13"/>
    <s v="Active"/>
    <n v="5460"/>
  </r>
  <r>
    <x v="352"/>
    <x v="96"/>
    <x v="0"/>
    <s v="52-062-2916"/>
    <x v="110"/>
    <x v="72"/>
    <n v="49"/>
    <n v="40"/>
    <s v="Require"/>
    <n v="49"/>
    <s v="Normal"/>
    <x v="0"/>
    <n v="67.5"/>
    <d v="2024-06-12T00:00:00"/>
    <d v="2024-06-14T00:00:00"/>
    <d v="2024-09-14T00:00:00"/>
    <n v="624"/>
    <n v="622"/>
    <n v="530"/>
    <s v="Expiring Soon"/>
    <s v="6500 Raven Drive"/>
    <x v="58"/>
    <n v="4590"/>
    <n v="74"/>
    <s v="Discontinued"/>
    <n v="4522.5"/>
  </r>
  <r>
    <x v="353"/>
    <x v="53"/>
    <x v="2"/>
    <s v="14-427-6604"/>
    <x v="226"/>
    <x v="31"/>
    <n v="85"/>
    <n v="27"/>
    <s v="Require"/>
    <n v="85"/>
    <s v="High Priority"/>
    <x v="0"/>
    <n v="337.5"/>
    <d v="2024-05-30T00:00:00"/>
    <d v="2024-09-06T00:00:00"/>
    <d v="2024-06-24T00:00:00"/>
    <n v="637"/>
    <n v="538"/>
    <n v="612"/>
    <s v="Safe"/>
    <s v="42397 Knutson Place"/>
    <x v="51"/>
    <n v="8775"/>
    <n v="68"/>
    <s v="Discontinued"/>
    <n v="8437.5"/>
  </r>
  <r>
    <x v="354"/>
    <x v="113"/>
    <x v="5"/>
    <s v="14-325-9173"/>
    <x v="227"/>
    <x v="76"/>
    <n v="61"/>
    <n v="23"/>
    <s v="Sufficient"/>
    <n v="0"/>
    <s v="Normal"/>
    <x v="57"/>
    <n v="440"/>
    <d v="2024-07-27T00:00:00"/>
    <d v="2024-07-31T00:00:00"/>
    <d v="2024-03-04T00:00:00"/>
    <n v="579"/>
    <n v="575"/>
    <n v="724"/>
    <s v="Safe"/>
    <s v="317 Anniversary Pass"/>
    <x v="13"/>
    <n v="27720"/>
    <n v="75"/>
    <s v="Backordered"/>
    <n v="27280"/>
  </r>
  <r>
    <x v="355"/>
    <x v="41"/>
    <x v="2"/>
    <s v="16-656-4821"/>
    <x v="228"/>
    <x v="36"/>
    <n v="95"/>
    <n v="22"/>
    <s v="Require"/>
    <n v="95"/>
    <s v="High Priority"/>
    <x v="66"/>
    <n v="239.4"/>
    <d v="2024-06-20T00:00:00"/>
    <d v="2024-05-14T00:00:00"/>
    <d v="2024-10-07T00:00:00"/>
    <n v="616"/>
    <n v="653"/>
    <n v="507"/>
    <s v="Expiring Soon"/>
    <s v="3 Logan Trail"/>
    <x v="67"/>
    <n v="11491.2"/>
    <n v="82"/>
    <s v="Discontinued"/>
    <n v="11251.800000000001"/>
  </r>
  <r>
    <x v="356"/>
    <x v="51"/>
    <x v="2"/>
    <s v="43-542-6868"/>
    <x v="229"/>
    <x v="85"/>
    <n v="3"/>
    <n v="33"/>
    <s v="Sufficient"/>
    <n v="0"/>
    <s v="Normal"/>
    <x v="7"/>
    <n v="51"/>
    <d v="2024-03-21T00:00:00"/>
    <d v="2024-09-14T00:00:00"/>
    <d v="2024-05-31T00:00:00"/>
    <n v="707"/>
    <n v="530"/>
    <n v="636"/>
    <s v="Safe"/>
    <s v="6 Rusk Pass"/>
    <x v="65"/>
    <n v="2499"/>
    <n v="17"/>
    <s v="Backordered"/>
    <n v="2448"/>
  </r>
  <r>
    <x v="357"/>
    <x v="107"/>
    <x v="4"/>
    <s v="82-482-3670"/>
    <x v="221"/>
    <x v="56"/>
    <n v="31"/>
    <n v="91"/>
    <s v="Sufficient"/>
    <n v="0"/>
    <s v="Normal"/>
    <x v="67"/>
    <n v="121.6"/>
    <d v="2024-06-19T00:00:00"/>
    <d v="2024-04-08T00:00:00"/>
    <d v="2024-10-10T00:00:00"/>
    <n v="617"/>
    <n v="689"/>
    <n v="504"/>
    <s v="Expiring Soon"/>
    <s v="3 Dottie Junction"/>
    <x v="1"/>
    <n v="10336"/>
    <n v="42"/>
    <s v="Discontinued"/>
    <n v="10214.4"/>
  </r>
  <r>
    <x v="358"/>
    <x v="68"/>
    <x v="4"/>
    <s v="81-927-7236"/>
    <x v="230"/>
    <x v="77"/>
    <n v="81"/>
    <n v="85"/>
    <s v="Require"/>
    <n v="81"/>
    <s v="High Priority"/>
    <x v="4"/>
    <n v="304"/>
    <d v="2024-04-03T00:00:00"/>
    <d v="2024-10-12T00:00:00"/>
    <d v="2024-09-08T00:00:00"/>
    <n v="694"/>
    <n v="502"/>
    <n v="536"/>
    <s v="Expiring Soon"/>
    <s v="069 Basil Center"/>
    <x v="29"/>
    <n v="19760"/>
    <n v="68"/>
    <s v="Active"/>
    <n v="19456"/>
  </r>
  <r>
    <x v="359"/>
    <x v="90"/>
    <x v="3"/>
    <s v="91-191-2324"/>
    <x v="231"/>
    <x v="25"/>
    <n v="95"/>
    <n v="82"/>
    <s v="Require"/>
    <n v="95"/>
    <s v="High Priority"/>
    <x v="42"/>
    <n v="500.5"/>
    <d v="2024-04-17T00:00:00"/>
    <d v="2024-10-19T00:00:00"/>
    <d v="2024-07-18T00:00:00"/>
    <n v="680"/>
    <n v="495"/>
    <n v="588"/>
    <s v="Safe"/>
    <s v="84575 Randy Point"/>
    <x v="18"/>
    <n v="14514.5"/>
    <n v="46"/>
    <s v="Backordered"/>
    <n v="14014"/>
  </r>
  <r>
    <x v="360"/>
    <x v="58"/>
    <x v="4"/>
    <s v="96-609-6152"/>
    <x v="107"/>
    <x v="27"/>
    <n v="14"/>
    <n v="77"/>
    <s v="Sufficient"/>
    <n v="0"/>
    <s v="Normal"/>
    <x v="6"/>
    <n v="45"/>
    <d v="2025-05-01T00:00:00"/>
    <d v="2024-12-05T00:00:00"/>
    <d v="2024-05-25T00:00:00"/>
    <n v="301"/>
    <n v="448"/>
    <n v="642"/>
    <s v="Safe"/>
    <s v="5 Forster Point"/>
    <x v="16"/>
    <n v="3510"/>
    <n v="4"/>
    <s v="Backordered"/>
    <n v="3465"/>
  </r>
  <r>
    <x v="361"/>
    <x v="111"/>
    <x v="0"/>
    <s v="23-109-2205"/>
    <x v="232"/>
    <x v="37"/>
    <n v="55"/>
    <n v="76"/>
    <s v="Require"/>
    <n v="55"/>
    <s v="Normal"/>
    <x v="15"/>
    <n v="255"/>
    <d v="2025-02-19T00:00:00"/>
    <d v="2024-09-26T00:00:00"/>
    <d v="2025-01-24T00:00:00"/>
    <n v="372"/>
    <n v="518"/>
    <n v="398"/>
    <s v="Expiring Soon"/>
    <s v="2582 Autumn Leaf Park"/>
    <x v="7"/>
    <n v="5355"/>
    <n v="13"/>
    <s v="Discontinued"/>
    <n v="5100"/>
  </r>
  <r>
    <x v="362"/>
    <x v="91"/>
    <x v="2"/>
    <s v="64-528-9996"/>
    <x v="233"/>
    <x v="75"/>
    <n v="12"/>
    <n v="73"/>
    <s v="Sufficient"/>
    <n v="0"/>
    <s v="Normal"/>
    <x v="15"/>
    <n v="340"/>
    <d v="2024-05-08T00:00:00"/>
    <d v="2025-11-01T00:00:00"/>
    <d v="2024-07-04T00:00:00"/>
    <n v="659"/>
    <n v="117"/>
    <n v="602"/>
    <s v="Safe"/>
    <s v="2696 Katie Road"/>
    <x v="45"/>
    <n v="28560"/>
    <n v="95"/>
    <s v="Backordered"/>
    <n v="28220"/>
  </r>
  <r>
    <x v="363"/>
    <x v="114"/>
    <x v="0"/>
    <s v="54-749-3622"/>
    <x v="92"/>
    <x v="29"/>
    <n v="6"/>
    <n v="64"/>
    <s v="Sufficient"/>
    <n v="0"/>
    <s v="Normal"/>
    <x v="29"/>
    <n v="460"/>
    <d v="2024-07-23T00:00:00"/>
    <d v="2024-06-23T00:00:00"/>
    <d v="2024-12-22T00:00:00"/>
    <n v="583"/>
    <n v="613"/>
    <n v="431"/>
    <s v="Expiring Soon"/>
    <s v="022 Prairie Rose Drive"/>
    <x v="13"/>
    <n v="28980"/>
    <n v="29"/>
    <s v="Discontinued"/>
    <n v="28520"/>
  </r>
  <r>
    <x v="364"/>
    <x v="3"/>
    <x v="0"/>
    <s v="02-057-9401"/>
    <x v="134"/>
    <x v="84"/>
    <n v="40"/>
    <n v="93"/>
    <s v="Sufficient"/>
    <n v="0"/>
    <s v="Normal"/>
    <x v="3"/>
    <n v="147"/>
    <d v="2025-02-19T00:00:00"/>
    <d v="2025-11-02T00:00:00"/>
    <d v="2024-10-20T00:00:00"/>
    <n v="372"/>
    <n v="116"/>
    <n v="494"/>
    <s v="Expiring Soon"/>
    <s v="848 Mariners Cove Junction"/>
    <x v="43"/>
    <n v="4410"/>
    <n v="53"/>
    <s v="Active"/>
    <n v="4263"/>
  </r>
  <r>
    <x v="365"/>
    <x v="31"/>
    <x v="2"/>
    <s v="96-786-0667"/>
    <x v="234"/>
    <x v="74"/>
    <n v="20"/>
    <n v="74"/>
    <s v="Sufficient"/>
    <n v="0"/>
    <s v="Normal"/>
    <x v="10"/>
    <n v="100"/>
    <d v="2025-02-13T00:00:00"/>
    <d v="2024-03-08T00:00:00"/>
    <d v="2024-10-05T00:00:00"/>
    <n v="378"/>
    <n v="720"/>
    <n v="509"/>
    <s v="Expiring Soon"/>
    <s v="6435 Burning Wood Drive"/>
    <x v="43"/>
    <n v="3000"/>
    <n v="57"/>
    <s v="Backordered"/>
    <n v="2900"/>
  </r>
  <r>
    <x v="366"/>
    <x v="115"/>
    <x v="6"/>
    <s v="91-859-1733"/>
    <x v="207"/>
    <x v="20"/>
    <n v="83"/>
    <n v="42"/>
    <s v="Sufficient"/>
    <n v="0"/>
    <s v="Normal"/>
    <x v="21"/>
    <n v="1320"/>
    <d v="2024-05-29T00:00:00"/>
    <d v="2024-09-09T00:00:00"/>
    <d v="2024-10-25T00:00:00"/>
    <n v="638"/>
    <n v="535"/>
    <n v="489"/>
    <s v="Expiring Soon"/>
    <s v="13 Loomis Alley"/>
    <x v="26"/>
    <n v="80520"/>
    <n v="59"/>
    <s v="Discontinued"/>
    <n v="79200"/>
  </r>
  <r>
    <x v="367"/>
    <x v="55"/>
    <x v="2"/>
    <s v="21-829-0398"/>
    <x v="234"/>
    <x v="11"/>
    <n v="16"/>
    <n v="69"/>
    <s v="Sufficient"/>
    <n v="0"/>
    <s v="Normal"/>
    <x v="27"/>
    <n v="31.2"/>
    <d v="2024-06-30T00:00:00"/>
    <d v="2024-03-26T00:00:00"/>
    <d v="2024-08-19T00:00:00"/>
    <n v="606"/>
    <n v="702"/>
    <n v="556"/>
    <s v="Safe"/>
    <s v="6891 Mandrake Park"/>
    <x v="44"/>
    <n v="1996.8"/>
    <n v="79"/>
    <s v="Discontinued"/>
    <n v="1965.6"/>
  </r>
  <r>
    <x v="368"/>
    <x v="43"/>
    <x v="1"/>
    <s v="29-359-0109"/>
    <x v="217"/>
    <x v="9"/>
    <n v="38"/>
    <n v="63"/>
    <s v="Sufficient"/>
    <n v="0"/>
    <s v="Normal"/>
    <x v="13"/>
    <n v="516"/>
    <d v="2024-03-31T00:00:00"/>
    <d v="2025-02-02T00:00:00"/>
    <d v="2024-04-09T00:00:00"/>
    <n v="697"/>
    <n v="389"/>
    <n v="688"/>
    <s v="Safe"/>
    <s v="0 Stoughton Terrace"/>
    <x v="74"/>
    <n v="45408"/>
    <n v="65"/>
    <s v="Backordered"/>
    <n v="44892"/>
  </r>
  <r>
    <x v="369"/>
    <x v="86"/>
    <x v="0"/>
    <s v="96-551-3929"/>
    <x v="92"/>
    <x v="29"/>
    <n v="20"/>
    <n v="30"/>
    <s v="Sufficient"/>
    <n v="0"/>
    <s v="Normal"/>
    <x v="6"/>
    <n v="115"/>
    <d v="2024-06-03T00:00:00"/>
    <d v="2024-02-29T00:00:00"/>
    <d v="2024-09-13T00:00:00"/>
    <n v="633"/>
    <n v="728"/>
    <n v="531"/>
    <s v="Expiring Soon"/>
    <s v="502 Sachs Circle"/>
    <x v="46"/>
    <n v="6210"/>
    <n v="24"/>
    <s v="Backordered"/>
    <n v="6095"/>
  </r>
  <r>
    <x v="370"/>
    <x v="78"/>
    <x v="2"/>
    <s v="58-536-6583"/>
    <x v="134"/>
    <x v="26"/>
    <n v="73"/>
    <n v="60"/>
    <s v="Require"/>
    <n v="73"/>
    <s v="High Priority"/>
    <x v="62"/>
    <n v="46.550000000000004"/>
    <d v="2024-12-03T00:00:00"/>
    <d v="2024-11-08T00:00:00"/>
    <d v="2024-06-12T00:00:00"/>
    <n v="450"/>
    <n v="475"/>
    <n v="624"/>
    <s v="Safe"/>
    <s v="85276 Lakewood Gardens Alley"/>
    <x v="73"/>
    <n v="3258.5000000000005"/>
    <n v="48"/>
    <s v="Backordered"/>
    <n v="3211.9500000000003"/>
  </r>
  <r>
    <x v="371"/>
    <x v="100"/>
    <x v="2"/>
    <s v="37-057-3553"/>
    <x v="3"/>
    <x v="33"/>
    <n v="100"/>
    <n v="94"/>
    <s v="Require"/>
    <n v="100"/>
    <s v="High Priority"/>
    <x v="4"/>
    <n v="244"/>
    <d v="2024-07-20T00:00:00"/>
    <d v="2025-01-14T00:00:00"/>
    <d v="2024-10-04T00:00:00"/>
    <n v="586"/>
    <n v="408"/>
    <n v="510"/>
    <s v="Expiring Soon"/>
    <s v="1034 2nd Point"/>
    <x v="50"/>
    <n v="18544"/>
    <n v="2"/>
    <s v="Backordered"/>
    <n v="18300"/>
  </r>
  <r>
    <x v="372"/>
    <x v="64"/>
    <x v="2"/>
    <s v="54-659-1177"/>
    <x v="235"/>
    <x v="9"/>
    <n v="40"/>
    <n v="30"/>
    <s v="Sufficient"/>
    <n v="0"/>
    <s v="Normal"/>
    <x v="11"/>
    <n v="301"/>
    <d v="2024-07-13T00:00:00"/>
    <d v="2024-02-10T00:00:00"/>
    <d v="2024-12-19T00:00:00"/>
    <n v="593"/>
    <n v="747"/>
    <n v="434"/>
    <s v="Expiring Soon"/>
    <s v="81071 West Alley"/>
    <x v="3"/>
    <n v="28595"/>
    <n v="26"/>
    <s v="Active"/>
    <n v="28294"/>
  </r>
  <r>
    <x v="373"/>
    <x v="85"/>
    <x v="1"/>
    <s v="07-471-0050"/>
    <x v="45"/>
    <x v="76"/>
    <n v="54"/>
    <n v="21"/>
    <s v="Sufficient"/>
    <n v="0"/>
    <s v="Normal"/>
    <x v="68"/>
    <n v="680"/>
    <d v="2024-08-24T00:00:00"/>
    <d v="2024-09-30T00:00:00"/>
    <d v="2024-04-16T00:00:00"/>
    <n v="551"/>
    <n v="514"/>
    <n v="681"/>
    <s v="Safe"/>
    <s v="226 Calypso Road"/>
    <x v="68"/>
    <n v="55080"/>
    <n v="37"/>
    <s v="Active"/>
    <n v="54400"/>
  </r>
  <r>
    <x v="374"/>
    <x v="85"/>
    <x v="1"/>
    <s v="64-807-5250"/>
    <x v="157"/>
    <x v="68"/>
    <n v="47"/>
    <n v="99"/>
    <s v="Require"/>
    <n v="47"/>
    <s v="Normal"/>
    <x v="12"/>
    <n v="272"/>
    <d v="2025-01-23T00:00:00"/>
    <d v="2024-03-07T00:00:00"/>
    <d v="2024-11-23T00:00:00"/>
    <n v="399"/>
    <n v="721"/>
    <n v="460"/>
    <s v="Expiring Soon"/>
    <s v="1223 Monument Drive"/>
    <x v="23"/>
    <n v="26384"/>
    <n v="47"/>
    <s v="Backordered"/>
    <n v="26112"/>
  </r>
  <r>
    <x v="375"/>
    <x v="85"/>
    <x v="1"/>
    <s v="92-296-1266"/>
    <x v="186"/>
    <x v="20"/>
    <n v="50"/>
    <n v="88"/>
    <s v="Sufficient"/>
    <n v="0"/>
    <s v="Normal"/>
    <x v="12"/>
    <n v="704"/>
    <d v="2024-08-23T00:00:00"/>
    <d v="2024-11-13T00:00:00"/>
    <d v="2024-11-03T00:00:00"/>
    <n v="552"/>
    <n v="470"/>
    <n v="480"/>
    <s v="Expiring Soon"/>
    <s v="20073 Northfield Way"/>
    <x v="16"/>
    <n v="54912"/>
    <n v="28"/>
    <s v="Discontinued"/>
    <n v="54208"/>
  </r>
  <r>
    <x v="376"/>
    <x v="67"/>
    <x v="4"/>
    <s v="42-254-7371"/>
    <x v="236"/>
    <x v="52"/>
    <n v="42"/>
    <n v="76"/>
    <s v="Sufficient"/>
    <n v="0"/>
    <s v="Normal"/>
    <x v="15"/>
    <n v="445"/>
    <d v="2024-12-15T00:00:00"/>
    <d v="2024-11-30T00:00:00"/>
    <d v="2024-12-10T00:00:00"/>
    <n v="438"/>
    <n v="453"/>
    <n v="443"/>
    <s v="Expiring Soon"/>
    <s v="163 Esch Pass"/>
    <x v="24"/>
    <n v="41830"/>
    <n v="81"/>
    <s v="Backordered"/>
    <n v="41385"/>
  </r>
  <r>
    <x v="377"/>
    <x v="114"/>
    <x v="0"/>
    <s v="56-231-2524"/>
    <x v="237"/>
    <x v="11"/>
    <n v="21"/>
    <n v="47"/>
    <s v="Sufficient"/>
    <n v="0"/>
    <s v="Normal"/>
    <x v="29"/>
    <n v="260"/>
    <d v="2024-03-08T00:00:00"/>
    <d v="2024-08-16T00:00:00"/>
    <d v="2024-05-02T00:00:00"/>
    <n v="720"/>
    <n v="559"/>
    <n v="665"/>
    <s v="Safe"/>
    <s v="5 Toban Circle"/>
    <x v="35"/>
    <n v="10400"/>
    <n v="59"/>
    <s v="Discontinued"/>
    <n v="10140"/>
  </r>
  <r>
    <x v="378"/>
    <x v="25"/>
    <x v="2"/>
    <s v="23-280-1300"/>
    <x v="208"/>
    <x v="11"/>
    <n v="95"/>
    <n v="36"/>
    <s v="Require"/>
    <n v="95"/>
    <s v="High Priority"/>
    <x v="0"/>
    <n v="117"/>
    <d v="2024-07-29T00:00:00"/>
    <d v="2025-06-01T00:00:00"/>
    <d v="2025-02-10T00:00:00"/>
    <n v="577"/>
    <n v="270"/>
    <n v="381"/>
    <s v="Expiring Soon"/>
    <s v="582 Dahle Center"/>
    <x v="57"/>
    <n v="10764"/>
    <n v="14"/>
    <s v="Active"/>
    <n v="10647"/>
  </r>
  <r>
    <x v="379"/>
    <x v="76"/>
    <x v="2"/>
    <s v="69-087-6645"/>
    <x v="213"/>
    <x v="4"/>
    <n v="38"/>
    <n v="24"/>
    <s v="Require"/>
    <n v="38"/>
    <s v="Normal"/>
    <x v="4"/>
    <n v="148"/>
    <d v="2024-06-15T00:00:00"/>
    <d v="2024-02-09T00:00:00"/>
    <d v="2024-08-20T00:00:00"/>
    <n v="621"/>
    <n v="748"/>
    <n v="555"/>
    <s v="Safe"/>
    <s v="0 Oak Valley Lane"/>
    <x v="47"/>
    <n v="13764"/>
    <n v="32"/>
    <s v="Active"/>
    <n v="13616"/>
  </r>
  <r>
    <x v="380"/>
    <x v="109"/>
    <x v="4"/>
    <s v="18-743-4684"/>
    <x v="129"/>
    <x v="77"/>
    <n v="98"/>
    <n v="41"/>
    <s v="Require"/>
    <n v="98"/>
    <s v="High Priority"/>
    <x v="5"/>
    <n v="133"/>
    <d v="2024-11-14T00:00:00"/>
    <d v="2024-05-23T00:00:00"/>
    <d v="2024-10-14T00:00:00"/>
    <n v="469"/>
    <n v="644"/>
    <n v="500"/>
    <s v="Expiring Soon"/>
    <s v="5551 Mallory Lane"/>
    <x v="4"/>
    <n v="8246"/>
    <n v="48"/>
    <s v="Backordered"/>
    <n v="8113"/>
  </r>
  <r>
    <x v="381"/>
    <x v="13"/>
    <x v="4"/>
    <s v="74-943-4552"/>
    <x v="193"/>
    <x v="76"/>
    <n v="43"/>
    <n v="80"/>
    <s v="Sufficient"/>
    <n v="0"/>
    <s v="Normal"/>
    <x v="11"/>
    <n v="560"/>
    <d v="2024-06-26T00:00:00"/>
    <d v="2024-05-09T00:00:00"/>
    <d v="2024-04-12T00:00:00"/>
    <n v="610"/>
    <n v="658"/>
    <n v="685"/>
    <s v="Safe"/>
    <s v="84 Washington Crossing"/>
    <x v="44"/>
    <n v="35840"/>
    <n v="53"/>
    <s v="Active"/>
    <n v="35280"/>
  </r>
  <r>
    <x v="382"/>
    <x v="116"/>
    <x v="2"/>
    <s v="20-608-1290"/>
    <x v="27"/>
    <x v="46"/>
    <n v="3"/>
    <n v="32"/>
    <s v="Sufficient"/>
    <n v="0"/>
    <s v="Normal"/>
    <x v="10"/>
    <n v="200"/>
    <d v="2024-08-19T00:00:00"/>
    <d v="2024-01-10T00:00:00"/>
    <d v="2025-02-10T00:00:00"/>
    <n v="556"/>
    <n v="778"/>
    <n v="381"/>
    <s v="Expiring Soon"/>
    <s v="41 Nelson Center"/>
    <x v="60"/>
    <n v="19600"/>
    <n v="91"/>
    <s v="Backordered"/>
    <n v="19400"/>
  </r>
  <r>
    <x v="383"/>
    <x v="37"/>
    <x v="4"/>
    <s v="50-214-3802"/>
    <x v="184"/>
    <x v="55"/>
    <n v="87"/>
    <n v="67"/>
    <s v="Require"/>
    <n v="87"/>
    <s v="High Priority"/>
    <x v="55"/>
    <n v="65.100000000000009"/>
    <d v="2025-03-01T00:00:00"/>
    <d v="2025-01-23T00:00:00"/>
    <d v="2024-03-31T00:00:00"/>
    <n v="362"/>
    <n v="399"/>
    <n v="697"/>
    <s v="Safe"/>
    <s v="285 East Plaza"/>
    <x v="44"/>
    <n v="4166.4000000000005"/>
    <n v="69"/>
    <s v="Discontinued"/>
    <n v="4101.3"/>
  </r>
  <r>
    <x v="384"/>
    <x v="117"/>
    <x v="3"/>
    <s v="16-776-9987"/>
    <x v="133"/>
    <x v="64"/>
    <n v="78"/>
    <n v="79"/>
    <s v="Require"/>
    <n v="78"/>
    <s v="High Priority"/>
    <x v="15"/>
    <n v="165"/>
    <d v="2024-05-11T00:00:00"/>
    <d v="2024-11-07T00:00:00"/>
    <d v="2024-04-21T00:00:00"/>
    <n v="656"/>
    <n v="476"/>
    <n v="676"/>
    <s v="Safe"/>
    <s v="95 Packers Lane"/>
    <x v="30"/>
    <n v="9900"/>
    <n v="25"/>
    <s v="Discontinued"/>
    <n v="9735"/>
  </r>
  <r>
    <x v="385"/>
    <x v="110"/>
    <x v="2"/>
    <s v="59-629-0798"/>
    <x v="189"/>
    <x v="9"/>
    <n v="63"/>
    <n v="99"/>
    <s v="Require"/>
    <n v="63"/>
    <s v="High Priority"/>
    <x v="16"/>
    <n v="150.5"/>
    <d v="2024-08-11T00:00:00"/>
    <d v="2024-12-13T00:00:00"/>
    <d v="2025-01-12T00:00:00"/>
    <n v="564"/>
    <n v="440"/>
    <n v="410"/>
    <s v="Expiring Soon"/>
    <s v="39 Dahle Alley"/>
    <x v="34"/>
    <n v="5869.5"/>
    <n v="77"/>
    <s v="Discontinued"/>
    <n v="5719"/>
  </r>
  <r>
    <x v="386"/>
    <x v="23"/>
    <x v="2"/>
    <s v="14-231-9135"/>
    <x v="144"/>
    <x v="68"/>
    <n v="1"/>
    <n v="79"/>
    <s v="Sufficient"/>
    <n v="0"/>
    <s v="Normal"/>
    <x v="69"/>
    <n v="210.8"/>
    <d v="2024-12-06T00:00:00"/>
    <d v="2024-12-20T00:00:00"/>
    <d v="2024-09-08T00:00:00"/>
    <n v="447"/>
    <n v="433"/>
    <n v="536"/>
    <s v="Expiring Soon"/>
    <s v="81533 John Wall Court"/>
    <x v="63"/>
    <n v="12226.400000000001"/>
    <n v="36"/>
    <s v="Discontinued"/>
    <n v="12015.600000000002"/>
  </r>
  <r>
    <x v="387"/>
    <x v="101"/>
    <x v="6"/>
    <s v="31-163-5871"/>
    <x v="172"/>
    <x v="45"/>
    <n v="25"/>
    <n v="94"/>
    <s v="Sufficient"/>
    <n v="0"/>
    <s v="Normal"/>
    <x v="53"/>
    <n v="615"/>
    <d v="2024-03-30T00:00:00"/>
    <d v="2024-03-16T00:00:00"/>
    <d v="2025-02-15T00:00:00"/>
    <n v="698"/>
    <n v="712"/>
    <n v="376"/>
    <s v="Expiring Soon"/>
    <s v="9 Cordelia Trail"/>
    <x v="15"/>
    <n v="40590"/>
    <n v="14"/>
    <s v="Backordered"/>
    <n v="39975"/>
  </r>
  <r>
    <x v="388"/>
    <x v="118"/>
    <x v="5"/>
    <s v="49-247-1217"/>
    <x v="208"/>
    <x v="85"/>
    <n v="63"/>
    <n v="3"/>
    <s v="Require"/>
    <n v="63"/>
    <s v="High Priority"/>
    <x v="16"/>
    <n v="59.5"/>
    <d v="2024-02-08T00:00:00"/>
    <d v="2024-08-24T00:00:00"/>
    <d v="2024-12-27T00:00:00"/>
    <n v="749"/>
    <n v="551"/>
    <n v="426"/>
    <s v="Expiring Soon"/>
    <s v="46 Delaware Place"/>
    <x v="47"/>
    <n v="5533.5"/>
    <n v="26"/>
    <s v="Backordered"/>
    <n v="5474"/>
  </r>
  <r>
    <x v="389"/>
    <x v="0"/>
    <x v="0"/>
    <s v="63-836-1262"/>
    <x v="209"/>
    <x v="80"/>
    <n v="81"/>
    <n v="54"/>
    <s v="Require"/>
    <n v="81"/>
    <s v="High Priority"/>
    <x v="30"/>
    <n v="171"/>
    <d v="2024-07-07T00:00:00"/>
    <d v="2024-12-20T00:00:00"/>
    <d v="2024-08-31T00:00:00"/>
    <n v="599"/>
    <n v="433"/>
    <n v="544"/>
    <s v="Expiring Soon"/>
    <s v="96629 Nova Plaza"/>
    <x v="21"/>
    <n v="12483"/>
    <n v="60"/>
    <s v="Discontinued"/>
    <n v="12312"/>
  </r>
  <r>
    <x v="390"/>
    <x v="73"/>
    <x v="6"/>
    <s v="71-676-6562"/>
    <x v="42"/>
    <x v="17"/>
    <n v="79"/>
    <n v="52"/>
    <s v="Require"/>
    <n v="79"/>
    <s v="High Priority"/>
    <x v="12"/>
    <n v="520"/>
    <d v="2024-12-05T00:00:00"/>
    <d v="2024-03-10T00:00:00"/>
    <d v="2024-05-30T00:00:00"/>
    <n v="448"/>
    <n v="718"/>
    <n v="637"/>
    <s v="Safe"/>
    <s v="8531 Manley Court"/>
    <x v="8"/>
    <n v="29120"/>
    <n v="94"/>
    <s v="Discontinued"/>
    <n v="28600"/>
  </r>
  <r>
    <x v="391"/>
    <x v="108"/>
    <x v="2"/>
    <s v="78-098-4468"/>
    <x v="55"/>
    <x v="1"/>
    <n v="28"/>
    <n v="6"/>
    <s v="Sufficient"/>
    <n v="0"/>
    <s v="Normal"/>
    <x v="0"/>
    <n v="202.5"/>
    <d v="2024-03-18T00:00:00"/>
    <d v="2025-01-23T00:00:00"/>
    <d v="2024-08-22T00:00:00"/>
    <n v="710"/>
    <n v="399"/>
    <n v="553"/>
    <s v="Safe"/>
    <s v="2 Sachtjen Park"/>
    <x v="41"/>
    <n v="7087.5"/>
    <n v="16"/>
    <s v="Discontinued"/>
    <n v="6885"/>
  </r>
  <r>
    <x v="392"/>
    <x v="7"/>
    <x v="4"/>
    <s v="04-456-0715"/>
    <x v="73"/>
    <x v="51"/>
    <n v="78"/>
    <n v="68"/>
    <s v="Require"/>
    <n v="78"/>
    <s v="High Priority"/>
    <x v="6"/>
    <n v="87.5"/>
    <d v="2024-12-04T00:00:00"/>
    <d v="2025-01-19T00:00:00"/>
    <d v="2024-07-04T00:00:00"/>
    <n v="449"/>
    <n v="403"/>
    <n v="602"/>
    <s v="Safe"/>
    <s v="27535 Morrow Avenue"/>
    <x v="3"/>
    <n v="8312.5"/>
    <n v="91"/>
    <s v="Discontinued"/>
    <n v="8225"/>
  </r>
  <r>
    <x v="393"/>
    <x v="14"/>
    <x v="0"/>
    <s v="19-978-0708"/>
    <x v="238"/>
    <x v="6"/>
    <n v="83"/>
    <n v="50"/>
    <s v="Sufficient"/>
    <n v="0"/>
    <s v="Normal"/>
    <x v="3"/>
    <n v="144"/>
    <d v="2024-04-10T00:00:00"/>
    <d v="2024-03-30T00:00:00"/>
    <d v="2024-05-30T00:00:00"/>
    <n v="687"/>
    <n v="698"/>
    <n v="637"/>
    <s v="Safe"/>
    <s v="3 Anthes Place"/>
    <x v="68"/>
    <n v="11664"/>
    <n v="89"/>
    <s v="Discontinued"/>
    <n v="11520"/>
  </r>
  <r>
    <x v="394"/>
    <x v="72"/>
    <x v="2"/>
    <s v="97-155-1262"/>
    <x v="48"/>
    <x v="61"/>
    <n v="75"/>
    <n v="13"/>
    <s v="Require"/>
    <n v="75"/>
    <s v="High Priority"/>
    <x v="15"/>
    <n v="280"/>
    <d v="2024-04-09T00:00:00"/>
    <d v="2024-04-04T00:00:00"/>
    <d v="2024-05-21T00:00:00"/>
    <n v="688"/>
    <n v="693"/>
    <n v="646"/>
    <s v="Safe"/>
    <s v="78884 Union Street"/>
    <x v="27"/>
    <n v="11760"/>
    <n v="53"/>
    <s v="Backordered"/>
    <n v="11480"/>
  </r>
  <r>
    <x v="395"/>
    <x v="47"/>
    <x v="4"/>
    <s v="82-552-6786"/>
    <x v="104"/>
    <x v="16"/>
    <n v="94"/>
    <n v="18"/>
    <s v="Require"/>
    <n v="94"/>
    <s v="High Priority"/>
    <x v="2"/>
    <n v="294"/>
    <d v="2024-12-12T00:00:00"/>
    <d v="2024-10-08T00:00:00"/>
    <d v="2024-04-16T00:00:00"/>
    <n v="441"/>
    <n v="506"/>
    <n v="681"/>
    <s v="Safe"/>
    <s v="15 Loomis Avenue"/>
    <x v="39"/>
    <n v="11172"/>
    <n v="11"/>
    <s v="Active"/>
    <n v="10878"/>
  </r>
  <r>
    <x v="396"/>
    <x v="21"/>
    <x v="0"/>
    <s v="91-216-7668"/>
    <x v="77"/>
    <x v="46"/>
    <n v="10"/>
    <n v="89"/>
    <s v="Sufficient"/>
    <n v="0"/>
    <s v="Normal"/>
    <x v="3"/>
    <n v="150"/>
    <d v="2024-04-23T00:00:00"/>
    <d v="2025-01-01T00:00:00"/>
    <d v="2024-06-21T00:00:00"/>
    <n v="674"/>
    <n v="421"/>
    <n v="615"/>
    <s v="Safe"/>
    <s v="4029 Lotheville Pass"/>
    <x v="50"/>
    <n v="11400"/>
    <n v="38"/>
    <s v="Backordered"/>
    <n v="11250"/>
  </r>
  <r>
    <x v="397"/>
    <x v="30"/>
    <x v="6"/>
    <s v="59-781-3399"/>
    <x v="239"/>
    <x v="2"/>
    <n v="81"/>
    <n v="99"/>
    <s v="Require"/>
    <n v="81"/>
    <s v="High Priority"/>
    <x v="18"/>
    <n v="270"/>
    <d v="2024-07-22T00:00:00"/>
    <d v="2025-01-30T00:00:00"/>
    <d v="2024-06-15T00:00:00"/>
    <n v="584"/>
    <n v="392"/>
    <n v="621"/>
    <s v="Safe"/>
    <s v="665 Sommers Circle"/>
    <x v="77"/>
    <n v="26730"/>
    <n v="3"/>
    <s v="Backordered"/>
    <n v="26460"/>
  </r>
  <r>
    <x v="398"/>
    <x v="108"/>
    <x v="2"/>
    <s v="95-721-9228"/>
    <x v="3"/>
    <x v="53"/>
    <n v="91"/>
    <n v="12"/>
    <s v="Require"/>
    <n v="91"/>
    <s v="High Priority"/>
    <x v="0"/>
    <n v="90"/>
    <d v="2024-11-26T00:00:00"/>
    <d v="2024-12-13T00:00:00"/>
    <d v="2024-12-01T00:00:00"/>
    <n v="457"/>
    <n v="440"/>
    <n v="452"/>
    <s v="Expiring Soon"/>
    <s v="11 Kedzie Avenue"/>
    <x v="41"/>
    <n v="3150"/>
    <n v="50"/>
    <s v="Active"/>
    <n v="3060"/>
  </r>
  <r>
    <x v="399"/>
    <x v="90"/>
    <x v="3"/>
    <s v="39-464-7300"/>
    <x v="240"/>
    <x v="42"/>
    <n v="15"/>
    <n v="16"/>
    <s v="Sufficient"/>
    <n v="0"/>
    <s v="Normal"/>
    <x v="42"/>
    <n v="552.5"/>
    <d v="2024-05-13T00:00:00"/>
    <d v="2025-02-19T00:00:00"/>
    <d v="2024-07-15T00:00:00"/>
    <n v="654"/>
    <n v="372"/>
    <n v="591"/>
    <s v="Safe"/>
    <s v="041 Paget Alley"/>
    <x v="17"/>
    <n v="25415"/>
    <n v="24"/>
    <s v="Discontinued"/>
    <n v="24862.5"/>
  </r>
  <r>
    <x v="400"/>
    <x v="18"/>
    <x v="2"/>
    <s v="30-942-0054"/>
    <x v="144"/>
    <x v="66"/>
    <n v="90"/>
    <n v="39"/>
    <s v="Require"/>
    <n v="90"/>
    <s v="High Priority"/>
    <x v="70"/>
    <n v="180.6"/>
    <d v="2024-10-20T00:00:00"/>
    <d v="2024-02-28T00:00:00"/>
    <d v="2024-09-07T00:00:00"/>
    <n v="494"/>
    <n v="729"/>
    <n v="537"/>
    <s v="Expiring Soon"/>
    <s v="77 Monterey Avenue"/>
    <x v="60"/>
    <n v="17698.8"/>
    <n v="85"/>
    <s v="Active"/>
    <n v="17518.2"/>
  </r>
  <r>
    <x v="401"/>
    <x v="40"/>
    <x v="5"/>
    <s v="42-201-4495"/>
    <x v="241"/>
    <x v="17"/>
    <n v="79"/>
    <n v="49"/>
    <s v="Require"/>
    <n v="79"/>
    <s v="High Priority"/>
    <x v="4"/>
    <n v="260"/>
    <d v="2024-02-04T00:00:00"/>
    <d v="2024-10-06T00:00:00"/>
    <d v="2024-10-17T00:00:00"/>
    <n v="753"/>
    <n v="508"/>
    <n v="497"/>
    <s v="Expiring Soon"/>
    <s v="338 Annamark Court"/>
    <x v="10"/>
    <n v="26000"/>
    <n v="9"/>
    <s v="Discontinued"/>
    <n v="25740"/>
  </r>
  <r>
    <x v="402"/>
    <x v="67"/>
    <x v="4"/>
    <s v="74-119-5491"/>
    <x v="149"/>
    <x v="38"/>
    <n v="98"/>
    <n v="92"/>
    <s v="Require"/>
    <n v="98"/>
    <s v="High Priority"/>
    <x v="15"/>
    <n v="335"/>
    <d v="2024-04-22T00:00:00"/>
    <d v="2024-08-31T00:00:00"/>
    <d v="2024-12-07T00:00:00"/>
    <n v="675"/>
    <n v="544"/>
    <n v="446"/>
    <s v="Expiring Soon"/>
    <s v="43 Heath Street"/>
    <x v="41"/>
    <n v="11725"/>
    <n v="98"/>
    <s v="Backordered"/>
    <n v="11390"/>
  </r>
  <r>
    <x v="403"/>
    <x v="47"/>
    <x v="4"/>
    <s v="40-002-8400"/>
    <x v="192"/>
    <x v="20"/>
    <n v="4"/>
    <n v="79"/>
    <s v="Sufficient"/>
    <n v="0"/>
    <s v="Normal"/>
    <x v="2"/>
    <n v="528"/>
    <d v="2024-04-24T00:00:00"/>
    <d v="2024-02-06T00:00:00"/>
    <d v="2024-08-14T00:00:00"/>
    <n v="673"/>
    <n v="751"/>
    <n v="561"/>
    <s v="Safe"/>
    <s v="126 Spohn Plaza"/>
    <x v="61"/>
    <n v="12144"/>
    <n v="39"/>
    <s v="Discontinued"/>
    <n v="11616"/>
  </r>
  <r>
    <x v="404"/>
    <x v="93"/>
    <x v="1"/>
    <s v="35-462-7569"/>
    <x v="242"/>
    <x v="39"/>
    <n v="77"/>
    <n v="78"/>
    <s v="Require"/>
    <n v="77"/>
    <s v="High Priority"/>
    <x v="29"/>
    <n v="140"/>
    <d v="2024-02-08T00:00:00"/>
    <d v="2024-08-28T00:00:00"/>
    <d v="2024-09-01T00:00:00"/>
    <n v="749"/>
    <n v="547"/>
    <n v="543"/>
    <s v="Expiring Soon"/>
    <s v="2374 Chive Court"/>
    <x v="0"/>
    <n v="4480"/>
    <n v="24"/>
    <s v="Discontinued"/>
    <n v="4340"/>
  </r>
  <r>
    <x v="405"/>
    <x v="70"/>
    <x v="6"/>
    <s v="22-940-6543"/>
    <x v="214"/>
    <x v="42"/>
    <n v="92"/>
    <n v="66"/>
    <s v="Require"/>
    <n v="92"/>
    <s v="High Priority"/>
    <x v="71"/>
    <n v="569.5"/>
    <d v="2024-03-28T00:00:00"/>
    <d v="2025-01-01T00:00:00"/>
    <d v="2024-05-03T00:00:00"/>
    <n v="700"/>
    <n v="421"/>
    <n v="664"/>
    <s v="Safe"/>
    <s v="6 Hanover Terrace"/>
    <x v="46"/>
    <n v="30753"/>
    <n v="85"/>
    <s v="Backordered"/>
    <n v="30183.5"/>
  </r>
  <r>
    <x v="406"/>
    <x v="13"/>
    <x v="4"/>
    <s v="45-997-6429"/>
    <x v="8"/>
    <x v="59"/>
    <n v="65"/>
    <n v="5"/>
    <s v="Sufficient"/>
    <n v="0"/>
    <s v="Normal"/>
    <x v="11"/>
    <n v="518"/>
    <d v="2025-01-30T00:00:00"/>
    <d v="2024-07-27T00:00:00"/>
    <d v="2024-03-16T00:00:00"/>
    <n v="392"/>
    <n v="579"/>
    <n v="712"/>
    <s v="Safe"/>
    <s v="6 Tony Junction"/>
    <x v="7"/>
    <n v="10878"/>
    <n v="42"/>
    <s v="Discontinued"/>
    <n v="10360"/>
  </r>
  <r>
    <x v="407"/>
    <x v="88"/>
    <x v="4"/>
    <s v="54-529-4459"/>
    <x v="243"/>
    <x v="55"/>
    <n v="28"/>
    <n v="72"/>
    <s v="Require"/>
    <n v="28"/>
    <s v="Normal"/>
    <x v="18"/>
    <n v="189"/>
    <d v="2025-01-28T00:00:00"/>
    <d v="2024-02-28T00:00:00"/>
    <d v="2024-02-25T00:00:00"/>
    <n v="394"/>
    <n v="729"/>
    <n v="732"/>
    <s v="Safe"/>
    <s v="710 Service Park"/>
    <x v="12"/>
    <n v="13041"/>
    <n v="51"/>
    <s v="Backordered"/>
    <n v="12852"/>
  </r>
  <r>
    <x v="408"/>
    <x v="56"/>
    <x v="5"/>
    <s v="88-647-5082"/>
    <x v="155"/>
    <x v="0"/>
    <n v="24"/>
    <n v="94"/>
    <s v="Require"/>
    <n v="24"/>
    <s v="Normal"/>
    <x v="2"/>
    <n v="132"/>
    <d v="2024-07-19T00:00:00"/>
    <d v="2024-07-21T00:00:00"/>
    <d v="2024-11-13T00:00:00"/>
    <n v="587"/>
    <n v="585"/>
    <n v="470"/>
    <s v="Expiring Soon"/>
    <s v="206 Pine View Junction"/>
    <x v="11"/>
    <n v="6204"/>
    <n v="71"/>
    <s v="Active"/>
    <n v="6072"/>
  </r>
  <r>
    <x v="409"/>
    <x v="47"/>
    <x v="4"/>
    <s v="27-838-4345"/>
    <x v="107"/>
    <x v="8"/>
    <n v="14"/>
    <n v="99"/>
    <s v="Sufficient"/>
    <n v="0"/>
    <s v="Normal"/>
    <x v="2"/>
    <n v="546"/>
    <d v="2025-10-02T00:00:00"/>
    <d v="2025-01-25T00:00:00"/>
    <d v="2025-01-22T00:00:00"/>
    <n v="147"/>
    <n v="397"/>
    <n v="400"/>
    <s v="Expiring Soon"/>
    <s v="05 Canary Circle"/>
    <x v="25"/>
    <n v="27300"/>
    <n v="5"/>
    <s v="Backordered"/>
    <n v="26754"/>
  </r>
  <r>
    <x v="410"/>
    <x v="38"/>
    <x v="5"/>
    <s v="32-506-0556"/>
    <x v="242"/>
    <x v="42"/>
    <n v="57"/>
    <n v="25"/>
    <s v="Sufficient"/>
    <n v="0"/>
    <s v="Normal"/>
    <x v="16"/>
    <n v="297.5"/>
    <d v="2025-02-18T00:00:00"/>
    <d v="2024-09-26T00:00:00"/>
    <d v="2024-06-20T00:00:00"/>
    <n v="373"/>
    <n v="518"/>
    <n v="616"/>
    <s v="Safe"/>
    <s v="7 Prairieview Place"/>
    <x v="43"/>
    <n v="8925"/>
    <n v="42"/>
    <s v="Discontinued"/>
    <n v="8627.5"/>
  </r>
  <r>
    <x v="411"/>
    <x v="57"/>
    <x v="2"/>
    <s v="83-936-5065"/>
    <x v="244"/>
    <x v="3"/>
    <n v="28"/>
    <n v="11"/>
    <s v="Require"/>
    <n v="28"/>
    <s v="Normal"/>
    <x v="7"/>
    <n v="36"/>
    <d v="2024-05-18T00:00:00"/>
    <d v="2025-05-01T00:00:00"/>
    <d v="2024-04-17T00:00:00"/>
    <n v="649"/>
    <n v="301"/>
    <n v="680"/>
    <s v="Safe"/>
    <s v="6 Anthes Court"/>
    <x v="17"/>
    <n v="1656"/>
    <n v="88"/>
    <s v="Backordered"/>
    <n v="1620"/>
  </r>
  <r>
    <x v="412"/>
    <x v="75"/>
    <x v="2"/>
    <s v="24-087-5935"/>
    <x v="245"/>
    <x v="9"/>
    <n v="65"/>
    <n v="66"/>
    <s v="Require"/>
    <n v="65"/>
    <s v="High Priority"/>
    <x v="2"/>
    <n v="258"/>
    <d v="2024-12-21T00:00:00"/>
    <d v="2024-03-09T00:00:00"/>
    <d v="2025-01-16T00:00:00"/>
    <n v="432"/>
    <n v="719"/>
    <n v="406"/>
    <s v="Expiring Soon"/>
    <s v="7 Schiller Court"/>
    <x v="16"/>
    <n v="20124"/>
    <n v="73"/>
    <s v="Backordered"/>
    <n v="19866"/>
  </r>
  <r>
    <x v="413"/>
    <x v="109"/>
    <x v="4"/>
    <s v="84-472-8001"/>
    <x v="174"/>
    <x v="40"/>
    <n v="92"/>
    <n v="28"/>
    <s v="Require"/>
    <n v="92"/>
    <s v="High Priority"/>
    <x v="5"/>
    <n v="161"/>
    <d v="2025-01-21T00:00:00"/>
    <d v="2024-10-09T00:00:00"/>
    <d v="2024-12-22T00:00:00"/>
    <n v="401"/>
    <n v="505"/>
    <n v="431"/>
    <s v="Expiring Soon"/>
    <s v="44249 Sutteridge Crossing"/>
    <x v="25"/>
    <n v="8050"/>
    <n v="67"/>
    <s v="Discontinued"/>
    <n v="7889"/>
  </r>
  <r>
    <x v="414"/>
    <x v="94"/>
    <x v="2"/>
    <s v="61-755-4469"/>
    <x v="246"/>
    <x v="65"/>
    <n v="85"/>
    <n v="94"/>
    <s v="Require"/>
    <n v="85"/>
    <s v="High Priority"/>
    <x v="7"/>
    <n v="69"/>
    <d v="2024-12-10T00:00:00"/>
    <d v="2024-07-23T00:00:00"/>
    <d v="2025-01-28T00:00:00"/>
    <n v="443"/>
    <n v="583"/>
    <n v="394"/>
    <s v="Expiring Soon"/>
    <s v="848 Old Gate Parkway"/>
    <x v="57"/>
    <n v="6348"/>
    <n v="72"/>
    <s v="Backordered"/>
    <n v="6279"/>
  </r>
  <r>
    <x v="415"/>
    <x v="9"/>
    <x v="4"/>
    <s v="45-471-5053"/>
    <x v="247"/>
    <x v="25"/>
    <n v="1"/>
    <n v="41"/>
    <s v="Sufficient"/>
    <n v="0"/>
    <s v="Normal"/>
    <x v="8"/>
    <n v="77"/>
    <d v="2024-05-11T00:00:00"/>
    <d v="2025-05-02T00:00:00"/>
    <d v="2024-03-21T00:00:00"/>
    <n v="656"/>
    <n v="300"/>
    <n v="707"/>
    <s v="Safe"/>
    <s v="9 Clemons Hill"/>
    <x v="63"/>
    <n v="4466"/>
    <n v="55"/>
    <s v="Discontinued"/>
    <n v="4389"/>
  </r>
  <r>
    <x v="416"/>
    <x v="116"/>
    <x v="2"/>
    <s v="09-153-0763"/>
    <x v="132"/>
    <x v="17"/>
    <n v="10"/>
    <n v="81"/>
    <s v="Sufficient"/>
    <n v="0"/>
    <s v="Normal"/>
    <x v="10"/>
    <n v="130"/>
    <d v="2024-08-27T00:00:00"/>
    <d v="2025-12-02T00:00:00"/>
    <d v="2024-05-08T00:00:00"/>
    <n v="548"/>
    <n v="86"/>
    <n v="659"/>
    <s v="Safe"/>
    <s v="15 Veith Circle"/>
    <x v="75"/>
    <n v="9230"/>
    <n v="61"/>
    <s v="Backordered"/>
    <n v="9100"/>
  </r>
  <r>
    <x v="417"/>
    <x v="74"/>
    <x v="2"/>
    <s v="38-790-7081"/>
    <x v="190"/>
    <x v="45"/>
    <n v="29"/>
    <n v="62"/>
    <s v="Sufficient"/>
    <n v="0"/>
    <s v="Normal"/>
    <x v="72"/>
    <n v="1255.42"/>
    <d v="2024-08-08T00:00:00"/>
    <d v="2024-03-18T00:00:00"/>
    <d v="2024-12-09T00:00:00"/>
    <n v="567"/>
    <n v="710"/>
    <n v="444"/>
    <s v="Expiring Soon"/>
    <s v="154 Delladonna Hill"/>
    <x v="76"/>
    <n v="96667.340000000011"/>
    <n v="27"/>
    <s v="Backordered"/>
    <n v="95411.920000000013"/>
  </r>
  <r>
    <x v="418"/>
    <x v="15"/>
    <x v="4"/>
    <s v="79-086-1717"/>
    <x v="178"/>
    <x v="53"/>
    <n v="17"/>
    <n v="71"/>
    <s v="Sufficient"/>
    <n v="0"/>
    <s v="Normal"/>
    <x v="12"/>
    <n v="160"/>
    <d v="2024-10-22T00:00:00"/>
    <d v="2025-07-01T00:00:00"/>
    <d v="2024-11-16T00:00:00"/>
    <n v="492"/>
    <n v="240"/>
    <n v="467"/>
    <s v="Expiring Soon"/>
    <s v="80729 Homewood Plaza"/>
    <x v="25"/>
    <n v="8000"/>
    <n v="65"/>
    <s v="Active"/>
    <n v="7840"/>
  </r>
  <r>
    <x v="419"/>
    <x v="88"/>
    <x v="4"/>
    <s v="18-682-7828"/>
    <x v="9"/>
    <x v="22"/>
    <n v="65"/>
    <n v="94"/>
    <s v="Require"/>
    <n v="65"/>
    <s v="High Priority"/>
    <x v="18"/>
    <n v="279"/>
    <d v="2024-03-12T00:00:00"/>
    <d v="2024-10-17T00:00:00"/>
    <d v="2024-03-06T00:00:00"/>
    <n v="716"/>
    <n v="497"/>
    <n v="722"/>
    <s v="Safe"/>
    <s v="1 Merchant Circle"/>
    <x v="13"/>
    <n v="17577"/>
    <n v="7"/>
    <s v="Backordered"/>
    <n v="17298"/>
  </r>
  <r>
    <x v="420"/>
    <x v="37"/>
    <x v="4"/>
    <s v="10-008-6747"/>
    <x v="248"/>
    <x v="80"/>
    <n v="75"/>
    <n v="35"/>
    <s v="Require"/>
    <n v="75"/>
    <s v="High Priority"/>
    <x v="23"/>
    <n v="104.39999999999999"/>
    <d v="2024-04-13T00:00:00"/>
    <d v="2024-06-17T00:00:00"/>
    <d v="2024-11-23T00:00:00"/>
    <n v="684"/>
    <n v="619"/>
    <n v="460"/>
    <s v="Expiring Soon"/>
    <s v="70862 Lighthouse Bay Junction"/>
    <x v="51"/>
    <n v="2714.3999999999996"/>
    <n v="41"/>
    <s v="Discontinued"/>
    <n v="2609.9999999999995"/>
  </r>
  <r>
    <x v="421"/>
    <x v="46"/>
    <x v="1"/>
    <s v="55-773-9118"/>
    <x v="70"/>
    <x v="43"/>
    <n v="20"/>
    <n v="17"/>
    <s v="Sufficient"/>
    <n v="0"/>
    <s v="Normal"/>
    <x v="15"/>
    <n v="295"/>
    <d v="2024-06-12T00:00:00"/>
    <d v="2024-06-30T00:00:00"/>
    <d v="2024-06-12T00:00:00"/>
    <n v="624"/>
    <n v="606"/>
    <n v="624"/>
    <s v="Safe"/>
    <s v="96 American Ash Center"/>
    <x v="78"/>
    <n v="13275"/>
    <n v="15"/>
    <s v="Discontinued"/>
    <n v="12980"/>
  </r>
  <r>
    <x v="422"/>
    <x v="3"/>
    <x v="0"/>
    <s v="88-615-2915"/>
    <x v="47"/>
    <x v="73"/>
    <n v="10"/>
    <n v="80"/>
    <s v="Sufficient"/>
    <n v="0"/>
    <s v="Normal"/>
    <x v="3"/>
    <n v="16.5"/>
    <d v="2024-05-06T00:00:00"/>
    <d v="2024-09-27T00:00:00"/>
    <d v="2024-08-02T00:00:00"/>
    <n v="661"/>
    <n v="517"/>
    <n v="573"/>
    <s v="Safe"/>
    <s v="49263 Graceland Pass"/>
    <x v="67"/>
    <n v="792"/>
    <n v="65"/>
    <s v="Discontinued"/>
    <n v="775.5"/>
  </r>
  <r>
    <x v="423"/>
    <x v="36"/>
    <x v="1"/>
    <s v="33-523-9077"/>
    <x v="249"/>
    <x v="35"/>
    <n v="77"/>
    <n v="32"/>
    <s v="Require"/>
    <n v="77"/>
    <s v="High Priority"/>
    <x v="73"/>
    <n v="372"/>
    <d v="2024-03-18T00:00:00"/>
    <d v="2024-10-06T00:00:00"/>
    <d v="2024-03-04T00:00:00"/>
    <n v="710"/>
    <n v="508"/>
    <n v="724"/>
    <s v="Safe"/>
    <s v="094 Carberry Lane"/>
    <x v="62"/>
    <n v="29760"/>
    <n v="42"/>
    <s v="Discontinued"/>
    <n v="29388"/>
  </r>
  <r>
    <x v="424"/>
    <x v="30"/>
    <x v="6"/>
    <s v="24-568-9517"/>
    <x v="250"/>
    <x v="31"/>
    <n v="80"/>
    <n v="87"/>
    <s v="Require"/>
    <n v="80"/>
    <s v="High Priority"/>
    <x v="18"/>
    <n v="675"/>
    <d v="2024-06-07T00:00:00"/>
    <d v="2024-03-10T00:00:00"/>
    <d v="2024-08-24T00:00:00"/>
    <n v="629"/>
    <n v="718"/>
    <n v="551"/>
    <s v="Safe"/>
    <s v="1 Monica Lane"/>
    <x v="65"/>
    <n v="33075"/>
    <n v="40"/>
    <s v="Backordered"/>
    <n v="32400"/>
  </r>
  <r>
    <x v="425"/>
    <x v="36"/>
    <x v="1"/>
    <s v="14-713-5795"/>
    <x v="15"/>
    <x v="73"/>
    <n v="72"/>
    <n v="5"/>
    <s v="Require"/>
    <n v="72"/>
    <s v="High Priority"/>
    <x v="21"/>
    <n v="165"/>
    <d v="2024-08-07T00:00:00"/>
    <d v="2024-11-10T00:00:00"/>
    <d v="2025-02-11T00:00:00"/>
    <n v="568"/>
    <n v="473"/>
    <n v="380"/>
    <s v="Expiring Soon"/>
    <s v="5 Anderson Trail"/>
    <x v="72"/>
    <n v="14685"/>
    <n v="4"/>
    <s v="Active"/>
    <n v="14520"/>
  </r>
  <r>
    <x v="426"/>
    <x v="95"/>
    <x v="6"/>
    <s v="19-418-7213"/>
    <x v="228"/>
    <x v="34"/>
    <n v="64"/>
    <n v="36"/>
    <s v="Require"/>
    <n v="64"/>
    <s v="High Priority"/>
    <x v="29"/>
    <n v="600"/>
    <d v="2024-02-09T00:00:00"/>
    <d v="2024-02-25T00:00:00"/>
    <d v="2025-02-15T00:00:00"/>
    <n v="748"/>
    <n v="732"/>
    <n v="376"/>
    <s v="Expiring Soon"/>
    <s v="709 Vidon Avenue"/>
    <x v="5"/>
    <n v="20400"/>
    <n v="48"/>
    <s v="Discontinued"/>
    <n v="19800"/>
  </r>
  <r>
    <x v="427"/>
    <x v="35"/>
    <x v="2"/>
    <s v="75-849-4524"/>
    <x v="201"/>
    <x v="8"/>
    <n v="6"/>
    <n v="37"/>
    <s v="Sufficient"/>
    <n v="0"/>
    <s v="Normal"/>
    <x v="28"/>
    <n v="218.4"/>
    <d v="2024-01-05T00:00:00"/>
    <d v="2024-07-08T00:00:00"/>
    <d v="2024-08-06T00:00:00"/>
    <n v="783"/>
    <n v="598"/>
    <n v="569"/>
    <s v="Safe"/>
    <s v="5141 Anniversary Crossing"/>
    <x v="39"/>
    <n v="8299.2000000000007"/>
    <n v="70"/>
    <s v="Backordered"/>
    <n v="8080.8000000000011"/>
  </r>
  <r>
    <x v="428"/>
    <x v="7"/>
    <x v="4"/>
    <s v="28-461-1136"/>
    <x v="251"/>
    <x v="9"/>
    <n v="78"/>
    <n v="85"/>
    <s v="Require"/>
    <n v="78"/>
    <s v="High Priority"/>
    <x v="6"/>
    <n v="107.5"/>
    <d v="2024-09-03T00:00:00"/>
    <d v="2024-08-30T00:00:00"/>
    <d v="2024-06-22T00:00:00"/>
    <n v="541"/>
    <n v="545"/>
    <n v="614"/>
    <s v="Safe"/>
    <s v="587 Vermont Terrace"/>
    <x v="67"/>
    <n v="5160"/>
    <n v="98"/>
    <s v="Backordered"/>
    <n v="5052.5"/>
  </r>
  <r>
    <x v="429"/>
    <x v="14"/>
    <x v="0"/>
    <s v="75-906-1086"/>
    <x v="126"/>
    <x v="71"/>
    <n v="60"/>
    <n v="36"/>
    <s v="Require"/>
    <n v="60"/>
    <s v="Normal"/>
    <x v="3"/>
    <n v="37.5"/>
    <d v="2025-02-16T00:00:00"/>
    <d v="2024-08-26T00:00:00"/>
    <d v="2024-10-30T00:00:00"/>
    <n v="375"/>
    <n v="549"/>
    <n v="484"/>
    <s v="Expiring Soon"/>
    <s v="149 Valley Edge Point"/>
    <x v="2"/>
    <n v="1162.5"/>
    <n v="41"/>
    <s v="Backordered"/>
    <n v="1125"/>
  </r>
  <r>
    <x v="430"/>
    <x v="20"/>
    <x v="4"/>
    <s v="98-304-8407"/>
    <x v="216"/>
    <x v="6"/>
    <n v="9"/>
    <n v="57"/>
    <s v="Sufficient"/>
    <n v="0"/>
    <s v="Normal"/>
    <x v="74"/>
    <n v="1132.8000000000002"/>
    <d v="2025-01-26T00:00:00"/>
    <d v="2024-06-16T00:00:00"/>
    <d v="2024-08-06T00:00:00"/>
    <n v="396"/>
    <n v="620"/>
    <n v="569"/>
    <s v="Safe"/>
    <s v="89 Springs Alley"/>
    <x v="16"/>
    <n v="88358.400000000009"/>
    <n v="67"/>
    <s v="Active"/>
    <n v="87225.600000000006"/>
  </r>
  <r>
    <x v="431"/>
    <x v="101"/>
    <x v="6"/>
    <s v="50-305-3936"/>
    <x v="252"/>
    <x v="2"/>
    <n v="29"/>
    <n v="70"/>
    <s v="Sufficient"/>
    <n v="0"/>
    <s v="Normal"/>
    <x v="53"/>
    <n v="225"/>
    <d v="2024-06-22T00:00:00"/>
    <d v="2024-10-13T00:00:00"/>
    <d v="2024-09-20T00:00:00"/>
    <n v="614"/>
    <n v="501"/>
    <n v="524"/>
    <s v="Expiring Soon"/>
    <s v="0743 4th Place"/>
    <x v="62"/>
    <n v="18000"/>
    <n v="43"/>
    <s v="Backordered"/>
    <n v="17775"/>
  </r>
  <r>
    <x v="432"/>
    <x v="54"/>
    <x v="0"/>
    <s v="61-867-3019"/>
    <x v="253"/>
    <x v="61"/>
    <n v="4"/>
    <n v="74"/>
    <s v="Sufficient"/>
    <n v="0"/>
    <s v="Normal"/>
    <x v="0"/>
    <n v="252"/>
    <d v="2024-03-15T00:00:00"/>
    <d v="2024-04-07T00:00:00"/>
    <d v="2024-09-22T00:00:00"/>
    <n v="713"/>
    <n v="690"/>
    <n v="522"/>
    <s v="Expiring Soon"/>
    <s v="21625 Schlimgen Park"/>
    <x v="26"/>
    <n v="15372"/>
    <n v="73"/>
    <s v="Active"/>
    <n v="15120"/>
  </r>
  <r>
    <x v="433"/>
    <x v="118"/>
    <x v="5"/>
    <s v="22-083-3504"/>
    <x v="96"/>
    <x v="8"/>
    <n v="71"/>
    <n v="17"/>
    <s v="Sufficient"/>
    <n v="0"/>
    <s v="Normal"/>
    <x v="16"/>
    <n v="318.5"/>
    <d v="2025-10-01T00:00:00"/>
    <d v="2024-01-08T00:00:00"/>
    <d v="2024-06-03T00:00:00"/>
    <n v="148"/>
    <n v="780"/>
    <n v="633"/>
    <s v="Safe"/>
    <s v="31208 Westerfield Way"/>
    <x v="49"/>
    <n v="23569"/>
    <n v="57"/>
    <s v="Active"/>
    <n v="23250.5"/>
  </r>
  <r>
    <x v="434"/>
    <x v="10"/>
    <x v="0"/>
    <s v="27-060-9944"/>
    <x v="153"/>
    <x v="15"/>
    <n v="64"/>
    <n v="78"/>
    <s v="Require"/>
    <n v="64"/>
    <s v="High Priority"/>
    <x v="10"/>
    <n v="54"/>
    <d v="2024-08-17T00:00:00"/>
    <d v="2024-04-05T00:00:00"/>
    <d v="2024-05-23T00:00:00"/>
    <n v="558"/>
    <n v="692"/>
    <n v="644"/>
    <s v="Safe"/>
    <s v="322 Birchwood Center"/>
    <x v="42"/>
    <n v="3078"/>
    <n v="4"/>
    <s v="Active"/>
    <n v="3024"/>
  </r>
  <r>
    <x v="435"/>
    <x v="83"/>
    <x v="4"/>
    <s v="89-976-4338"/>
    <x v="85"/>
    <x v="44"/>
    <n v="90"/>
    <n v="70"/>
    <s v="Require"/>
    <n v="90"/>
    <s v="High Priority"/>
    <x v="62"/>
    <n v="68.600000000000009"/>
    <d v="2024-05-11T00:00:00"/>
    <d v="2025-02-14T00:00:00"/>
    <d v="2025-01-28T00:00:00"/>
    <n v="656"/>
    <n v="377"/>
    <n v="394"/>
    <s v="Expiring Soon"/>
    <s v="84336 Haas Place"/>
    <x v="50"/>
    <n v="5213.6000000000004"/>
    <n v="78"/>
    <s v="Active"/>
    <n v="5145"/>
  </r>
  <r>
    <x v="436"/>
    <x v="84"/>
    <x v="4"/>
    <s v="89-048-3542"/>
    <x v="23"/>
    <x v="40"/>
    <n v="67"/>
    <n v="51"/>
    <s v="Sufficient"/>
    <n v="0"/>
    <s v="Normal"/>
    <x v="4"/>
    <n v="368"/>
    <d v="2024-05-04T00:00:00"/>
    <d v="2024-09-12T00:00:00"/>
    <d v="2024-05-19T00:00:00"/>
    <n v="663"/>
    <n v="532"/>
    <n v="648"/>
    <s v="Safe"/>
    <s v="68086 Crowley Circle"/>
    <x v="61"/>
    <n v="8464"/>
    <n v="78"/>
    <s v="Discontinued"/>
    <n v="8096"/>
  </r>
  <r>
    <x v="437"/>
    <x v="82"/>
    <x v="6"/>
    <s v="58-657-7257"/>
    <x v="170"/>
    <x v="4"/>
    <n v="33"/>
    <n v="80"/>
    <s v="Sufficient"/>
    <n v="0"/>
    <s v="Normal"/>
    <x v="39"/>
    <n v="666"/>
    <d v="2024-12-21T00:00:00"/>
    <d v="2024-10-05T00:00:00"/>
    <d v="2024-05-04T00:00:00"/>
    <n v="432"/>
    <n v="509"/>
    <n v="663"/>
    <s v="Safe"/>
    <s v="11263 Kipling Hill"/>
    <x v="9"/>
    <n v="17982"/>
    <n v="73"/>
    <s v="Backordered"/>
    <n v="17316"/>
  </r>
  <r>
    <x v="438"/>
    <x v="86"/>
    <x v="0"/>
    <s v="58-053-4926"/>
    <x v="254"/>
    <x v="44"/>
    <n v="24"/>
    <n v="97"/>
    <s v="Sufficient"/>
    <n v="0"/>
    <s v="Normal"/>
    <x v="6"/>
    <n v="70"/>
    <d v="2024-09-22T00:00:00"/>
    <d v="2024-12-05T00:00:00"/>
    <d v="2024-07-09T00:00:00"/>
    <n v="522"/>
    <n v="448"/>
    <n v="597"/>
    <s v="Safe"/>
    <s v="00029 Fisk Point"/>
    <x v="19"/>
    <n v="5740"/>
    <n v="5"/>
    <s v="Discontinued"/>
    <n v="5670"/>
  </r>
  <r>
    <x v="439"/>
    <x v="70"/>
    <x v="6"/>
    <s v="68-230-9130"/>
    <x v="2"/>
    <x v="2"/>
    <n v="42"/>
    <n v="8"/>
    <s v="Require"/>
    <n v="42"/>
    <s v="Normal"/>
    <x v="11"/>
    <n v="210"/>
    <d v="2024-02-05T00:00:00"/>
    <d v="2025-06-01T00:00:00"/>
    <d v="2024-07-11T00:00:00"/>
    <n v="752"/>
    <n v="270"/>
    <n v="595"/>
    <s v="Safe"/>
    <s v="57 Eastwood Junction"/>
    <x v="67"/>
    <n v="10080"/>
    <n v="23"/>
    <s v="Active"/>
    <n v="9870"/>
  </r>
  <r>
    <x v="440"/>
    <x v="1"/>
    <x v="1"/>
    <s v="91-788-3177"/>
    <x v="149"/>
    <x v="84"/>
    <n v="83"/>
    <n v="5"/>
    <s v="Sufficient"/>
    <n v="0"/>
    <s v="Normal"/>
    <x v="1"/>
    <n v="1960"/>
    <d v="2024-06-07T00:00:00"/>
    <d v="2025-01-31T00:00:00"/>
    <d v="2024-12-26T00:00:00"/>
    <n v="629"/>
    <n v="391"/>
    <n v="427"/>
    <s v="Expiring Soon"/>
    <s v="321 Barby Parkway"/>
    <x v="34"/>
    <n v="76440"/>
    <n v="79"/>
    <s v="Active"/>
    <n v="74480"/>
  </r>
  <r>
    <x v="441"/>
    <x v="35"/>
    <x v="2"/>
    <s v="63-683-7396"/>
    <x v="84"/>
    <x v="17"/>
    <n v="88"/>
    <n v="20"/>
    <s v="Require"/>
    <n v="88"/>
    <s v="High Priority"/>
    <x v="6"/>
    <n v="162.5"/>
    <d v="2025-01-28T00:00:00"/>
    <d v="2024-11-20T00:00:00"/>
    <d v="2024-07-29T00:00:00"/>
    <n v="394"/>
    <n v="463"/>
    <n v="577"/>
    <s v="Safe"/>
    <s v="71796 Waubesa Terrace"/>
    <x v="72"/>
    <n v="14462.5"/>
    <n v="37"/>
    <s v="Backordered"/>
    <n v="14300"/>
  </r>
  <r>
    <x v="442"/>
    <x v="66"/>
    <x v="0"/>
    <s v="32-458-6452"/>
    <x v="187"/>
    <x v="83"/>
    <n v="3"/>
    <n v="21"/>
    <s v="Sufficient"/>
    <n v="0"/>
    <s v="Normal"/>
    <x v="10"/>
    <n v="84"/>
    <d v="2024-09-19T00:00:00"/>
    <d v="2025-01-27T00:00:00"/>
    <d v="2024-09-25T00:00:00"/>
    <n v="525"/>
    <n v="395"/>
    <n v="519"/>
    <s v="Expiring Soon"/>
    <s v="289 Longview Point"/>
    <x v="41"/>
    <n v="2940"/>
    <n v="22"/>
    <s v="Active"/>
    <n v="2856"/>
  </r>
  <r>
    <x v="443"/>
    <x v="35"/>
    <x v="2"/>
    <s v="26-796-0872"/>
    <x v="255"/>
    <x v="21"/>
    <n v="60"/>
    <n v="54"/>
    <s v="Sufficient"/>
    <n v="0"/>
    <s v="Normal"/>
    <x v="6"/>
    <n v="157.5"/>
    <d v="2024-12-26T00:00:00"/>
    <d v="2024-05-21T00:00:00"/>
    <d v="2024-04-15T00:00:00"/>
    <n v="427"/>
    <n v="646"/>
    <n v="682"/>
    <s v="Safe"/>
    <s v="31057 Roth Place"/>
    <x v="55"/>
    <n v="5197.5"/>
    <n v="31"/>
    <s v="Backordered"/>
    <n v="5040"/>
  </r>
  <r>
    <x v="444"/>
    <x v="50"/>
    <x v="2"/>
    <s v="57-591-6452"/>
    <x v="215"/>
    <x v="42"/>
    <n v="54"/>
    <n v="18"/>
    <s v="Sufficient"/>
    <n v="0"/>
    <s v="Normal"/>
    <x v="4"/>
    <n v="340"/>
    <d v="2024-07-28T00:00:00"/>
    <d v="2024-10-23T00:00:00"/>
    <d v="2024-07-13T00:00:00"/>
    <n v="578"/>
    <n v="491"/>
    <n v="593"/>
    <s v="Safe"/>
    <s v="2 School Drive"/>
    <x v="1"/>
    <n v="28900"/>
    <n v="44"/>
    <s v="Discontinued"/>
    <n v="28560"/>
  </r>
  <r>
    <x v="445"/>
    <x v="9"/>
    <x v="4"/>
    <s v="70-444-9176"/>
    <x v="119"/>
    <x v="7"/>
    <n v="75"/>
    <n v="72"/>
    <s v="Require"/>
    <n v="75"/>
    <s v="High Priority"/>
    <x v="8"/>
    <n v="44"/>
    <d v="2024-12-14T00:00:00"/>
    <d v="2024-11-29T00:00:00"/>
    <d v="2024-08-02T00:00:00"/>
    <n v="439"/>
    <n v="454"/>
    <n v="573"/>
    <s v="Safe"/>
    <s v="35598 Fuller Terrace"/>
    <x v="40"/>
    <n v="4224"/>
    <n v="38"/>
    <s v="Discontinued"/>
    <n v="4180"/>
  </r>
  <r>
    <x v="446"/>
    <x v="4"/>
    <x v="2"/>
    <s v="06-569-4690"/>
    <x v="24"/>
    <x v="11"/>
    <n v="69"/>
    <n v="90"/>
    <s v="Require"/>
    <n v="69"/>
    <s v="High Priority"/>
    <x v="4"/>
    <n v="104"/>
    <d v="2024-12-12T00:00:00"/>
    <d v="2024-08-06T00:00:00"/>
    <d v="2024-07-19T00:00:00"/>
    <n v="441"/>
    <n v="569"/>
    <n v="587"/>
    <s v="Safe"/>
    <s v="46758 Hallows Center"/>
    <x v="11"/>
    <n v="4888"/>
    <n v="35"/>
    <s v="Active"/>
    <n v="4784"/>
  </r>
  <r>
    <x v="447"/>
    <x v="111"/>
    <x v="0"/>
    <s v="89-468-2696"/>
    <x v="128"/>
    <x v="16"/>
    <n v="59"/>
    <n v="73"/>
    <s v="Require"/>
    <n v="59"/>
    <s v="Normal"/>
    <x v="15"/>
    <n v="245"/>
    <d v="2024-04-18T00:00:00"/>
    <d v="2024-06-04T00:00:00"/>
    <d v="2024-05-26T00:00:00"/>
    <n v="679"/>
    <n v="632"/>
    <n v="641"/>
    <s v="Safe"/>
    <s v="08492 Gateway Terrace"/>
    <x v="47"/>
    <n v="22785"/>
    <n v="45"/>
    <s v="Discontinued"/>
    <n v="22540"/>
  </r>
  <r>
    <x v="448"/>
    <x v="75"/>
    <x v="2"/>
    <s v="29-156-0691"/>
    <x v="120"/>
    <x v="43"/>
    <n v="79"/>
    <n v="87"/>
    <s v="Require"/>
    <n v="79"/>
    <s v="High Priority"/>
    <x v="2"/>
    <n v="354"/>
    <d v="2024-03-09T00:00:00"/>
    <d v="2024-03-10T00:00:00"/>
    <d v="2024-07-31T00:00:00"/>
    <n v="719"/>
    <n v="718"/>
    <n v="575"/>
    <s v="Safe"/>
    <s v="31892 Pennsylvania Street"/>
    <x v="11"/>
    <n v="16638"/>
    <n v="18"/>
    <s v="Active"/>
    <n v="16284"/>
  </r>
  <r>
    <x v="449"/>
    <x v="21"/>
    <x v="0"/>
    <s v="22-836-5101"/>
    <x v="200"/>
    <x v="26"/>
    <n v="81"/>
    <n v="33"/>
    <s v="Require"/>
    <n v="81"/>
    <s v="High Priority"/>
    <x v="3"/>
    <n v="28.5"/>
    <d v="2024-06-29T00:00:00"/>
    <d v="2025-02-22T00:00:00"/>
    <d v="2024-12-24T00:00:00"/>
    <n v="607"/>
    <n v="369"/>
    <n v="429"/>
    <s v="Expiring Soon"/>
    <s v="461 Bluejay Circle"/>
    <x v="34"/>
    <n v="1111.5"/>
    <n v="85"/>
    <s v="Backordered"/>
    <n v="1083"/>
  </r>
  <r>
    <x v="450"/>
    <x v="51"/>
    <x v="2"/>
    <s v="27-557-2375"/>
    <x v="42"/>
    <x v="28"/>
    <n v="41"/>
    <n v="63"/>
    <s v="Sufficient"/>
    <n v="0"/>
    <s v="Normal"/>
    <x v="7"/>
    <n v="141"/>
    <d v="2024-04-15T00:00:00"/>
    <d v="2024-01-06T00:00:00"/>
    <d v="2025-01-09T00:00:00"/>
    <n v="682"/>
    <n v="782"/>
    <n v="413"/>
    <s v="Expiring Soon"/>
    <s v="55 Morning Terrace"/>
    <x v="34"/>
    <n v="5499"/>
    <n v="54"/>
    <s v="Active"/>
    <n v="5358"/>
  </r>
  <r>
    <x v="451"/>
    <x v="103"/>
    <x v="2"/>
    <s v="02-530-5932"/>
    <x v="234"/>
    <x v="84"/>
    <n v="62"/>
    <n v="97"/>
    <s v="Sufficient"/>
    <n v="0"/>
    <s v="Normal"/>
    <x v="57"/>
    <n v="539"/>
    <d v="2024-03-30T00:00:00"/>
    <d v="2024-08-25T00:00:00"/>
    <d v="2025-02-09T00:00:00"/>
    <n v="698"/>
    <n v="550"/>
    <n v="382"/>
    <s v="Expiring Soon"/>
    <s v="9469 Bayside Plaza"/>
    <x v="22"/>
    <n v="31801"/>
    <n v="19"/>
    <s v="Active"/>
    <n v="31262"/>
  </r>
  <r>
    <x v="452"/>
    <x v="94"/>
    <x v="2"/>
    <s v="26-860-4618"/>
    <x v="256"/>
    <x v="37"/>
    <n v="72"/>
    <n v="85"/>
    <s v="Require"/>
    <n v="72"/>
    <s v="High Priority"/>
    <x v="7"/>
    <n v="153"/>
    <d v="2024-03-23T00:00:00"/>
    <d v="2024-04-14T00:00:00"/>
    <d v="2024-10-23T00:00:00"/>
    <n v="705"/>
    <n v="683"/>
    <n v="491"/>
    <s v="Expiring Soon"/>
    <s v="16730 Luster Alley"/>
    <x v="61"/>
    <n v="3519"/>
    <n v="17"/>
    <s v="Active"/>
    <n v="3366"/>
  </r>
  <r>
    <x v="453"/>
    <x v="95"/>
    <x v="6"/>
    <s v="89-959-2254"/>
    <x v="111"/>
    <x v="46"/>
    <n v="99"/>
    <n v="8"/>
    <s v="Sufficient"/>
    <n v="0"/>
    <s v="Normal"/>
    <x v="29"/>
    <n v="1000"/>
    <d v="2025-02-19T00:00:00"/>
    <d v="2024-10-26T00:00:00"/>
    <d v="2024-12-07T00:00:00"/>
    <n v="372"/>
    <n v="488"/>
    <n v="446"/>
    <s v="Expiring Soon"/>
    <s v="498 Delladonna Drive"/>
    <x v="46"/>
    <n v="54000"/>
    <n v="92"/>
    <s v="Discontinued"/>
    <n v="53000"/>
  </r>
  <r>
    <x v="454"/>
    <x v="109"/>
    <x v="4"/>
    <s v="31-524-1628"/>
    <x v="0"/>
    <x v="5"/>
    <n v="50"/>
    <n v="56"/>
    <s v="Sufficient"/>
    <n v="0"/>
    <s v="Normal"/>
    <x v="75"/>
    <n v="93.5"/>
    <d v="2024-01-06T00:00:00"/>
    <d v="2024-09-11T00:00:00"/>
    <d v="2024-10-25T00:00:00"/>
    <n v="782"/>
    <n v="533"/>
    <n v="489"/>
    <s v="Expiring Soon"/>
    <s v="14042 Dottie Avenue"/>
    <x v="4"/>
    <n v="5797"/>
    <n v="26"/>
    <s v="Backordered"/>
    <n v="5703.5"/>
  </r>
  <r>
    <x v="455"/>
    <x v="68"/>
    <x v="4"/>
    <s v="80-068-0825"/>
    <x v="257"/>
    <x v="39"/>
    <n v="87"/>
    <n v="8"/>
    <s v="Require"/>
    <n v="87"/>
    <s v="High Priority"/>
    <x v="4"/>
    <n v="56"/>
    <d v="2024-10-03T00:00:00"/>
    <d v="2024-11-11T00:00:00"/>
    <d v="2025-01-30T00:00:00"/>
    <n v="511"/>
    <n v="472"/>
    <n v="392"/>
    <s v="Expiring Soon"/>
    <s v="4929 Westend Point"/>
    <x v="54"/>
    <n v="5040"/>
    <n v="14"/>
    <s v="Active"/>
    <n v="4984"/>
  </r>
  <r>
    <x v="456"/>
    <x v="22"/>
    <x v="4"/>
    <s v="84-498-3849"/>
    <x v="51"/>
    <x v="50"/>
    <n v="33"/>
    <n v="88"/>
    <s v="Require"/>
    <n v="33"/>
    <s v="Normal"/>
    <x v="14"/>
    <n v="23.200000000000003"/>
    <d v="2024-07-19T00:00:00"/>
    <d v="2024-08-23T00:00:00"/>
    <d v="2024-05-15T00:00:00"/>
    <n v="587"/>
    <n v="552"/>
    <n v="652"/>
    <s v="Safe"/>
    <s v="868 Swallow Point"/>
    <x v="25"/>
    <n v="1160.0000000000002"/>
    <n v="35"/>
    <s v="Discontinued"/>
    <n v="1136.8000000000002"/>
  </r>
  <r>
    <x v="457"/>
    <x v="61"/>
    <x v="5"/>
    <s v="58-087-3463"/>
    <x v="161"/>
    <x v="46"/>
    <n v="1"/>
    <n v="26"/>
    <s v="Sufficient"/>
    <n v="0"/>
    <s v="Normal"/>
    <x v="15"/>
    <n v="500"/>
    <d v="2024-02-08T00:00:00"/>
    <d v="2024-03-21T00:00:00"/>
    <d v="2024-07-19T00:00:00"/>
    <n v="749"/>
    <n v="707"/>
    <n v="587"/>
    <s v="Safe"/>
    <s v="7561 5th Terrace"/>
    <x v="11"/>
    <n v="23500"/>
    <n v="79"/>
    <s v="Active"/>
    <n v="23000"/>
  </r>
  <r>
    <x v="458"/>
    <x v="47"/>
    <x v="4"/>
    <s v="97-055-2756"/>
    <x v="178"/>
    <x v="16"/>
    <n v="28"/>
    <n v="74"/>
    <s v="Sufficient"/>
    <n v="0"/>
    <s v="Normal"/>
    <x v="2"/>
    <n v="294"/>
    <d v="2025-09-01T00:00:00"/>
    <d v="2025-01-14T00:00:00"/>
    <d v="2024-04-25T00:00:00"/>
    <n v="178"/>
    <n v="408"/>
    <n v="672"/>
    <s v="Safe"/>
    <s v="2003 Delladonna Pass"/>
    <x v="73"/>
    <n v="20580"/>
    <n v="38"/>
    <s v="Discontinued"/>
    <n v="20286"/>
  </r>
  <r>
    <x v="459"/>
    <x v="87"/>
    <x v="3"/>
    <s v="19-809-5654"/>
    <x v="205"/>
    <x v="31"/>
    <n v="61"/>
    <n v="19"/>
    <s v="Sufficient"/>
    <n v="0"/>
    <s v="Normal"/>
    <x v="10"/>
    <n v="150"/>
    <d v="2025-02-23T00:00:00"/>
    <d v="2025-01-29T00:00:00"/>
    <d v="2024-10-02T00:00:00"/>
    <n v="368"/>
    <n v="393"/>
    <n v="512"/>
    <s v="Expiring Soon"/>
    <s v="29815 Bonner Trail"/>
    <x v="33"/>
    <n v="11850"/>
    <n v="69"/>
    <s v="Backordered"/>
    <n v="11700"/>
  </r>
  <r>
    <x v="460"/>
    <x v="52"/>
    <x v="4"/>
    <s v="75-985-6744"/>
    <x v="258"/>
    <x v="45"/>
    <n v="12"/>
    <n v="94"/>
    <s v="Sufficient"/>
    <n v="0"/>
    <s v="Normal"/>
    <x v="76"/>
    <n v="336.2"/>
    <d v="2024-02-28T00:00:00"/>
    <d v="2024-06-20T00:00:00"/>
    <d v="2025-01-21T00:00:00"/>
    <n v="729"/>
    <n v="616"/>
    <n v="401"/>
    <s v="Expiring Soon"/>
    <s v="2 Canary Street"/>
    <x v="12"/>
    <n v="23197.8"/>
    <n v="93"/>
    <s v="Active"/>
    <n v="22861.599999999999"/>
  </r>
  <r>
    <x v="461"/>
    <x v="67"/>
    <x v="4"/>
    <s v="65-403-0311"/>
    <x v="1"/>
    <x v="75"/>
    <n v="82"/>
    <n v="58"/>
    <s v="Require"/>
    <n v="82"/>
    <s v="High Priority"/>
    <x v="44"/>
    <n v="326.39999999999998"/>
    <d v="2024-08-04T00:00:00"/>
    <d v="2024-08-24T00:00:00"/>
    <d v="2024-04-05T00:00:00"/>
    <n v="571"/>
    <n v="551"/>
    <n v="692"/>
    <s v="Safe"/>
    <s v="6172 Hovde Circle"/>
    <x v="54"/>
    <n v="29375.999999999996"/>
    <n v="2"/>
    <s v="Backordered"/>
    <n v="29049.599999999995"/>
  </r>
  <r>
    <x v="462"/>
    <x v="6"/>
    <x v="3"/>
    <s v="62-599-8388"/>
    <x v="259"/>
    <x v="67"/>
    <n v="96"/>
    <n v="85"/>
    <s v="Require"/>
    <n v="96"/>
    <s v="High Priority"/>
    <x v="6"/>
    <n v="175"/>
    <d v="2024-02-26T00:00:00"/>
    <d v="2024-03-09T00:00:00"/>
    <d v="2024-10-27T00:00:00"/>
    <n v="731"/>
    <n v="719"/>
    <n v="487"/>
    <s v="Expiring Soon"/>
    <s v="32468 Utah Pass"/>
    <x v="5"/>
    <n v="5950"/>
    <n v="3"/>
    <s v="Active"/>
    <n v="5775"/>
  </r>
  <r>
    <x v="463"/>
    <x v="115"/>
    <x v="6"/>
    <s v="99-680-2351"/>
    <x v="154"/>
    <x v="16"/>
    <n v="48"/>
    <n v="62"/>
    <s v="Sufficient"/>
    <n v="0"/>
    <s v="Normal"/>
    <x v="21"/>
    <n v="735"/>
    <d v="2024-09-16T00:00:00"/>
    <d v="2024-02-25T00:00:00"/>
    <d v="2024-08-14T00:00:00"/>
    <n v="528"/>
    <n v="732"/>
    <n v="561"/>
    <s v="Safe"/>
    <s v="1247 Hoard Hill"/>
    <x v="40"/>
    <n v="70560"/>
    <n v="37"/>
    <s v="Active"/>
    <n v="69825"/>
  </r>
  <r>
    <x v="464"/>
    <x v="101"/>
    <x v="6"/>
    <s v="36-138-9045"/>
    <x v="260"/>
    <x v="52"/>
    <n v="26"/>
    <n v="36"/>
    <s v="Sufficient"/>
    <n v="0"/>
    <s v="Normal"/>
    <x v="53"/>
    <n v="667.5"/>
    <d v="2024-10-24T00:00:00"/>
    <d v="2024-07-30T00:00:00"/>
    <d v="2024-06-14T00:00:00"/>
    <n v="490"/>
    <n v="576"/>
    <n v="622"/>
    <s v="Safe"/>
    <s v="85953 Clyde Gallagher Drive"/>
    <x v="67"/>
    <n v="32040"/>
    <n v="94"/>
    <s v="Active"/>
    <n v="31372.5"/>
  </r>
  <r>
    <x v="465"/>
    <x v="62"/>
    <x v="4"/>
    <s v="38-643-1626"/>
    <x v="163"/>
    <x v="20"/>
    <n v="53"/>
    <n v="44"/>
    <s v="Sufficient"/>
    <n v="0"/>
    <s v="Normal"/>
    <x v="18"/>
    <n v="792"/>
    <d v="2025-04-01T00:00:00"/>
    <d v="2024-12-24T00:00:00"/>
    <d v="2025-02-06T00:00:00"/>
    <n v="331"/>
    <n v="429"/>
    <n v="385"/>
    <s v="Expiring Soon"/>
    <s v="29817 Coleman Drive"/>
    <x v="8"/>
    <n v="44352"/>
    <n v="14"/>
    <s v="Discontinued"/>
    <n v="43560"/>
  </r>
  <r>
    <x v="466"/>
    <x v="85"/>
    <x v="1"/>
    <s v="01-665-0053"/>
    <x v="159"/>
    <x v="30"/>
    <n v="88"/>
    <n v="100"/>
    <s v="Require"/>
    <n v="88"/>
    <s v="High Priority"/>
    <x v="12"/>
    <n v="312"/>
    <d v="2024-11-25T00:00:00"/>
    <d v="2025-01-30T00:00:00"/>
    <d v="2024-05-15T00:00:00"/>
    <n v="458"/>
    <n v="392"/>
    <n v="652"/>
    <s v="Safe"/>
    <s v="7 Hallows Alley"/>
    <x v="64"/>
    <n v="8736"/>
    <n v="18"/>
    <s v="Backordered"/>
    <n v="8424"/>
  </r>
  <r>
    <x v="467"/>
    <x v="78"/>
    <x v="2"/>
    <s v="87-546-9674"/>
    <x v="94"/>
    <x v="89"/>
    <n v="91"/>
    <n v="94"/>
    <s v="Require"/>
    <n v="91"/>
    <s v="High Priority"/>
    <x v="6"/>
    <n v="217.5"/>
    <d v="2024-04-07T00:00:00"/>
    <d v="2024-09-25T00:00:00"/>
    <d v="2024-06-25T00:00:00"/>
    <n v="690"/>
    <n v="519"/>
    <n v="611"/>
    <s v="Safe"/>
    <s v="52 Victoria Plaza"/>
    <x v="11"/>
    <n v="10222.5"/>
    <n v="4"/>
    <s v="Discontinued"/>
    <n v="10005"/>
  </r>
  <r>
    <x v="468"/>
    <x v="24"/>
    <x v="5"/>
    <s v="29-273-1595"/>
    <x v="80"/>
    <x v="81"/>
    <n v="50"/>
    <n v="43"/>
    <s v="Sufficient"/>
    <n v="0"/>
    <s v="Normal"/>
    <x v="15"/>
    <n v="465"/>
    <d v="2024-06-27T00:00:00"/>
    <d v="2024-05-16T00:00:00"/>
    <d v="2024-10-09T00:00:00"/>
    <n v="609"/>
    <n v="651"/>
    <n v="505"/>
    <s v="Expiring Soon"/>
    <s v="3 Melrose Trail"/>
    <x v="50"/>
    <n v="35340"/>
    <n v="35"/>
    <s v="Discontinued"/>
    <n v="34875"/>
  </r>
  <r>
    <x v="469"/>
    <x v="89"/>
    <x v="4"/>
    <s v="99-570-8162"/>
    <x v="261"/>
    <x v="65"/>
    <n v="21"/>
    <n v="59"/>
    <s v="Sufficient"/>
    <n v="0"/>
    <s v="Normal"/>
    <x v="28"/>
    <n v="55.199999999999996"/>
    <d v="2024-08-15T00:00:00"/>
    <d v="2024-10-03T00:00:00"/>
    <d v="2024-10-07T00:00:00"/>
    <n v="560"/>
    <n v="511"/>
    <n v="507"/>
    <s v="Expiring Soon"/>
    <s v="231 Merry Pass"/>
    <x v="68"/>
    <n v="4471.2"/>
    <n v="8"/>
    <s v="Active"/>
    <n v="4416"/>
  </r>
  <r>
    <x v="470"/>
    <x v="113"/>
    <x v="5"/>
    <s v="66-174-9633"/>
    <x v="262"/>
    <x v="14"/>
    <n v="34"/>
    <n v="21"/>
    <s v="Sufficient"/>
    <n v="0"/>
    <s v="Normal"/>
    <x v="57"/>
    <n v="517"/>
    <d v="2024-03-18T00:00:00"/>
    <d v="2024-03-20T00:00:00"/>
    <d v="2024-11-01T00:00:00"/>
    <n v="710"/>
    <n v="708"/>
    <n v="482"/>
    <s v="Expiring Soon"/>
    <s v="79 Ronald Regan Avenue"/>
    <x v="49"/>
    <n v="38258"/>
    <n v="70"/>
    <s v="Backordered"/>
    <n v="37741"/>
  </r>
  <r>
    <x v="471"/>
    <x v="99"/>
    <x v="5"/>
    <s v="78-024-3286"/>
    <x v="110"/>
    <x v="54"/>
    <n v="43"/>
    <n v="91"/>
    <s v="Require"/>
    <n v="43"/>
    <s v="Normal"/>
    <x v="4"/>
    <n v="152"/>
    <d v="2024-04-20T00:00:00"/>
    <d v="2024-08-18T00:00:00"/>
    <d v="2025-02-18T00:00:00"/>
    <n v="677"/>
    <n v="557"/>
    <n v="373"/>
    <s v="Expiring Soon"/>
    <s v="83894 Delaware Plaza"/>
    <x v="53"/>
    <n v="10944"/>
    <n v="64"/>
    <s v="Active"/>
    <n v="10792"/>
  </r>
  <r>
    <x v="472"/>
    <x v="107"/>
    <x v="4"/>
    <s v="97-821-7402"/>
    <x v="117"/>
    <x v="73"/>
    <n v="9"/>
    <n v="65"/>
    <s v="Sufficient"/>
    <n v="0"/>
    <s v="Normal"/>
    <x v="10"/>
    <n v="22"/>
    <d v="2024-10-13T00:00:00"/>
    <d v="2024-04-12T00:00:00"/>
    <d v="2024-06-10T00:00:00"/>
    <n v="501"/>
    <n v="685"/>
    <n v="626"/>
    <s v="Safe"/>
    <s v="579 Schlimgen Alley"/>
    <x v="67"/>
    <n v="1056"/>
    <n v="96"/>
    <s v="Discontinued"/>
    <n v="1034"/>
  </r>
  <r>
    <x v="473"/>
    <x v="48"/>
    <x v="1"/>
    <s v="64-831-3071"/>
    <x v="240"/>
    <x v="34"/>
    <n v="27"/>
    <n v="58"/>
    <s v="Sufficient"/>
    <n v="0"/>
    <s v="Normal"/>
    <x v="77"/>
    <n v="1518"/>
    <d v="2024-12-26T00:00:00"/>
    <d v="2024-06-27T00:00:00"/>
    <d v="2024-11-19T00:00:00"/>
    <n v="427"/>
    <n v="609"/>
    <n v="464"/>
    <s v="Expiring Soon"/>
    <s v="9559 Muir Trail"/>
    <x v="31"/>
    <n v="65274"/>
    <n v="91"/>
    <s v="Active"/>
    <n v="63756"/>
  </r>
  <r>
    <x v="474"/>
    <x v="80"/>
    <x v="3"/>
    <s v="42-523-1857"/>
    <x v="52"/>
    <x v="74"/>
    <n v="36"/>
    <n v="81"/>
    <s v="Sufficient"/>
    <n v="0"/>
    <s v="Normal"/>
    <x v="29"/>
    <n v="500"/>
    <d v="2024-09-26T00:00:00"/>
    <d v="2024-12-05T00:00:00"/>
    <d v="2024-06-04T00:00:00"/>
    <n v="518"/>
    <n v="448"/>
    <n v="632"/>
    <s v="Safe"/>
    <s v="938 Garrison Court"/>
    <x v="9"/>
    <n v="13500"/>
    <n v="6"/>
    <s v="Discontinued"/>
    <n v="13000"/>
  </r>
  <r>
    <x v="475"/>
    <x v="7"/>
    <x v="4"/>
    <s v="93-699-8001"/>
    <x v="157"/>
    <x v="82"/>
    <n v="3"/>
    <n v="49"/>
    <s v="Sufficient"/>
    <n v="0"/>
    <s v="Normal"/>
    <x v="6"/>
    <n v="225"/>
    <d v="2024-06-05T00:00:00"/>
    <d v="2024-03-05T00:00:00"/>
    <d v="2025-02-13T00:00:00"/>
    <n v="631"/>
    <n v="723"/>
    <n v="378"/>
    <s v="Expiring Soon"/>
    <s v="4 Nelson Alley"/>
    <x v="32"/>
    <n v="11475"/>
    <n v="87"/>
    <s v="Discontinued"/>
    <n v="11250"/>
  </r>
  <r>
    <x v="476"/>
    <x v="54"/>
    <x v="0"/>
    <s v="75-365-7696"/>
    <x v="209"/>
    <x v="66"/>
    <n v="80"/>
    <n v="80"/>
    <s v="Sufficient"/>
    <n v="0"/>
    <s v="Normal"/>
    <x v="0"/>
    <n v="387"/>
    <d v="2024-03-18T00:00:00"/>
    <d v="2024-05-13T00:00:00"/>
    <d v="2024-05-20T00:00:00"/>
    <n v="710"/>
    <n v="654"/>
    <n v="647"/>
    <s v="Safe"/>
    <s v="87 Corben Street"/>
    <x v="70"/>
    <n v="8514"/>
    <n v="67"/>
    <s v="Discontinued"/>
    <n v="8127"/>
  </r>
  <r>
    <x v="477"/>
    <x v="78"/>
    <x v="2"/>
    <s v="39-299-6093"/>
    <x v="114"/>
    <x v="66"/>
    <n v="66"/>
    <n v="24"/>
    <s v="Sufficient"/>
    <n v="0"/>
    <s v="Normal"/>
    <x v="6"/>
    <n v="215"/>
    <d v="2024-07-29T00:00:00"/>
    <d v="2025-04-02T00:00:00"/>
    <d v="2025-01-20T00:00:00"/>
    <n v="577"/>
    <n v="330"/>
    <n v="402"/>
    <s v="Expiring Soon"/>
    <s v="39014 Randy Court"/>
    <x v="43"/>
    <n v="6450"/>
    <n v="6"/>
    <s v="Discontinued"/>
    <n v="6235"/>
  </r>
  <r>
    <x v="478"/>
    <x v="69"/>
    <x v="0"/>
    <s v="18-065-8014"/>
    <x v="32"/>
    <x v="13"/>
    <n v="17"/>
    <n v="90"/>
    <s v="Sufficient"/>
    <n v="0"/>
    <s v="Normal"/>
    <x v="32"/>
    <n v="513"/>
    <d v="2025-01-23T00:00:00"/>
    <d v="2024-07-08T00:00:00"/>
    <d v="2025-02-08T00:00:00"/>
    <n v="399"/>
    <n v="598"/>
    <n v="383"/>
    <s v="Expiring Soon"/>
    <s v="879 Amoth Terrace"/>
    <x v="30"/>
    <n v="30780"/>
    <n v="20"/>
    <s v="Active"/>
    <n v="30267"/>
  </r>
  <r>
    <x v="479"/>
    <x v="94"/>
    <x v="2"/>
    <s v="96-393-1428"/>
    <x v="215"/>
    <x v="15"/>
    <n v="64"/>
    <n v="43"/>
    <s v="Require"/>
    <n v="64"/>
    <s v="High Priority"/>
    <x v="7"/>
    <n v="81"/>
    <d v="2024-11-14T00:00:00"/>
    <d v="2024-11-30T00:00:00"/>
    <d v="2024-03-22T00:00:00"/>
    <n v="469"/>
    <n v="453"/>
    <n v="706"/>
    <s v="Safe"/>
    <s v="20 Nelson Way"/>
    <x v="73"/>
    <n v="5670"/>
    <n v="58"/>
    <s v="Discontinued"/>
    <n v="5589"/>
  </r>
  <r>
    <x v="480"/>
    <x v="11"/>
    <x v="5"/>
    <s v="45-912-2948"/>
    <x v="224"/>
    <x v="74"/>
    <n v="58"/>
    <n v="78"/>
    <s v="Require"/>
    <n v="58"/>
    <s v="Normal"/>
    <x v="7"/>
    <n v="150"/>
    <d v="2024-10-14T00:00:00"/>
    <d v="2024-04-17T00:00:00"/>
    <d v="2024-05-29T00:00:00"/>
    <n v="500"/>
    <n v="680"/>
    <n v="638"/>
    <s v="Safe"/>
    <s v="85 Lunder Court"/>
    <x v="48"/>
    <n v="12450"/>
    <n v="49"/>
    <s v="Active"/>
    <n v="12300"/>
  </r>
  <r>
    <x v="481"/>
    <x v="31"/>
    <x v="2"/>
    <s v="14-486-5626"/>
    <x v="160"/>
    <x v="75"/>
    <n v="10"/>
    <n v="29"/>
    <s v="Sufficient"/>
    <n v="0"/>
    <s v="Normal"/>
    <x v="10"/>
    <n v="136"/>
    <d v="2024-10-31T00:00:00"/>
    <d v="2024-07-06T00:00:00"/>
    <d v="2024-03-23T00:00:00"/>
    <n v="483"/>
    <n v="600"/>
    <n v="705"/>
    <s v="Safe"/>
    <s v="03 Roth Court"/>
    <x v="36"/>
    <n v="5032"/>
    <n v="11"/>
    <s v="Discontinued"/>
    <n v="4896"/>
  </r>
  <r>
    <x v="482"/>
    <x v="40"/>
    <x v="5"/>
    <s v="18-110-8314"/>
    <x v="134"/>
    <x v="0"/>
    <n v="60"/>
    <n v="73"/>
    <s v="Require"/>
    <n v="60"/>
    <s v="Normal"/>
    <x v="38"/>
    <n v="92.4"/>
    <d v="2024-09-07T00:00:00"/>
    <d v="2024-08-11T00:00:00"/>
    <d v="2024-07-12T00:00:00"/>
    <n v="537"/>
    <n v="564"/>
    <n v="594"/>
    <s v="Safe"/>
    <s v="56830 Fremont Road"/>
    <x v="4"/>
    <n v="5728.8"/>
    <n v="3"/>
    <s v="Backordered"/>
    <n v="5636.4000000000005"/>
  </r>
  <r>
    <x v="483"/>
    <x v="62"/>
    <x v="4"/>
    <s v="41-825-5869"/>
    <x v="174"/>
    <x v="74"/>
    <n v="14"/>
    <n v="6"/>
    <s v="Sufficient"/>
    <n v="0"/>
    <s v="Normal"/>
    <x v="56"/>
    <n v="459.99999999999994"/>
    <d v="2024-02-06T00:00:00"/>
    <d v="2024-12-19T00:00:00"/>
    <d v="2024-09-08T00:00:00"/>
    <n v="751"/>
    <n v="434"/>
    <n v="536"/>
    <s v="Expiring Soon"/>
    <s v="01 Gateway Plaza"/>
    <x v="30"/>
    <n v="27599.999999999996"/>
    <n v="72"/>
    <s v="Backordered"/>
    <n v="27139.999999999996"/>
  </r>
  <r>
    <x v="484"/>
    <x v="53"/>
    <x v="2"/>
    <s v="68-596-5506"/>
    <x v="263"/>
    <x v="11"/>
    <n v="12"/>
    <n v="43"/>
    <s v="Sufficient"/>
    <n v="0"/>
    <s v="Normal"/>
    <x v="78"/>
    <n v="114.4"/>
    <d v="2025-01-17T00:00:00"/>
    <d v="2024-09-16T00:00:00"/>
    <d v="2025-02-24T00:00:00"/>
    <n v="405"/>
    <n v="528"/>
    <n v="367"/>
    <s v="Expiring Soon"/>
    <s v="4 6th Plaza"/>
    <x v="21"/>
    <n v="8351.2000000000007"/>
    <n v="20"/>
    <s v="Backordered"/>
    <n v="8236.8000000000011"/>
  </r>
  <r>
    <x v="485"/>
    <x v="48"/>
    <x v="1"/>
    <s v="96-405-4286"/>
    <x v="264"/>
    <x v="10"/>
    <n v="31"/>
    <n v="24"/>
    <s v="Sufficient"/>
    <n v="0"/>
    <s v="Normal"/>
    <x v="25"/>
    <n v="1550"/>
    <d v="2024-04-30T00:00:00"/>
    <d v="2024-10-06T00:00:00"/>
    <d v="2025-02-06T00:00:00"/>
    <n v="667"/>
    <n v="508"/>
    <n v="385"/>
    <s v="Expiring Soon"/>
    <s v="99 Duke Lane"/>
    <x v="72"/>
    <n v="137950"/>
    <n v="100"/>
    <s v="Backordered"/>
    <n v="136400"/>
  </r>
  <r>
    <x v="486"/>
    <x v="50"/>
    <x v="2"/>
    <s v="98-677-4279"/>
    <x v="49"/>
    <x v="70"/>
    <n v="72"/>
    <n v="6"/>
    <s v="Sufficient"/>
    <n v="0"/>
    <s v="Normal"/>
    <x v="4"/>
    <n v="316"/>
    <d v="2024-11-07T00:00:00"/>
    <d v="2024-06-05T00:00:00"/>
    <d v="2024-05-01T00:00:00"/>
    <n v="476"/>
    <n v="631"/>
    <n v="666"/>
    <s v="Safe"/>
    <s v="7 Heffernan Drive"/>
    <x v="6"/>
    <n v="21172"/>
    <n v="63"/>
    <s v="Active"/>
    <n v="20856"/>
  </r>
  <r>
    <x v="487"/>
    <x v="76"/>
    <x v="2"/>
    <s v="51-213-5660"/>
    <x v="229"/>
    <x v="49"/>
    <n v="90"/>
    <n v="77"/>
    <s v="Require"/>
    <n v="90"/>
    <s v="High Priority"/>
    <x v="4"/>
    <n v="292"/>
    <d v="2024-02-26T00:00:00"/>
    <d v="2024-08-15T00:00:00"/>
    <d v="2024-03-06T00:00:00"/>
    <n v="731"/>
    <n v="560"/>
    <n v="722"/>
    <s v="Safe"/>
    <s v="7 Roxbury Circle"/>
    <x v="71"/>
    <n v="21900"/>
    <n v="19"/>
    <s v="Backordered"/>
    <n v="21608"/>
  </r>
  <r>
    <x v="488"/>
    <x v="45"/>
    <x v="2"/>
    <s v="40-436-0171"/>
    <x v="133"/>
    <x v="27"/>
    <n v="50"/>
    <n v="77"/>
    <s v="Require"/>
    <n v="50"/>
    <s v="Normal"/>
    <x v="79"/>
    <n v="26.099999999999998"/>
    <d v="2024-03-11T00:00:00"/>
    <d v="2024-08-30T00:00:00"/>
    <d v="2025-02-19T00:00:00"/>
    <n v="717"/>
    <n v="545"/>
    <n v="372"/>
    <s v="Expiring Soon"/>
    <s v="7744 Oxford Pass"/>
    <x v="37"/>
    <n v="1148.3999999999999"/>
    <n v="19"/>
    <s v="Active"/>
    <n v="1122.3"/>
  </r>
  <r>
    <x v="489"/>
    <x v="100"/>
    <x v="2"/>
    <s v="91-127-7174"/>
    <x v="99"/>
    <x v="70"/>
    <n v="74"/>
    <n v="87"/>
    <s v="Sufficient"/>
    <n v="0"/>
    <s v="Normal"/>
    <x v="4"/>
    <n v="316"/>
    <d v="2024-07-08T00:00:00"/>
    <d v="2024-09-04T00:00:00"/>
    <d v="2024-10-18T00:00:00"/>
    <n v="598"/>
    <n v="540"/>
    <n v="496"/>
    <s v="Expiring Soon"/>
    <s v="17 Reinke Circle"/>
    <x v="62"/>
    <n v="25280"/>
    <n v="26"/>
    <s v="Backordered"/>
    <n v="24964"/>
  </r>
  <r>
    <x v="490"/>
    <x v="1"/>
    <x v="1"/>
    <s v="45-903-0036"/>
    <x v="43"/>
    <x v="65"/>
    <n v="13"/>
    <n v="15"/>
    <s v="Sufficient"/>
    <n v="0"/>
    <s v="Normal"/>
    <x v="1"/>
    <n v="460"/>
    <d v="2024-03-27T00:00:00"/>
    <d v="2024-05-21T00:00:00"/>
    <d v="2024-11-21T00:00:00"/>
    <n v="701"/>
    <n v="646"/>
    <n v="462"/>
    <s v="Expiring Soon"/>
    <s v="60094 Goodland Junction"/>
    <x v="2"/>
    <n v="14260"/>
    <n v="28"/>
    <s v="Backordered"/>
    <n v="13800"/>
  </r>
  <r>
    <x v="491"/>
    <x v="102"/>
    <x v="4"/>
    <s v="09-489-6314"/>
    <x v="265"/>
    <x v="27"/>
    <n v="64"/>
    <n v="86"/>
    <s v="Require"/>
    <n v="64"/>
    <s v="High Priority"/>
    <x v="8"/>
    <n v="18"/>
    <d v="2024-09-13T00:00:00"/>
    <d v="2024-09-06T00:00:00"/>
    <d v="2024-11-09T00:00:00"/>
    <n v="531"/>
    <n v="538"/>
    <n v="474"/>
    <s v="Expiring Soon"/>
    <s v="53 Homewood Alley"/>
    <x v="21"/>
    <n v="1314"/>
    <n v="38"/>
    <s v="Active"/>
    <n v="1296"/>
  </r>
  <r>
    <x v="492"/>
    <x v="97"/>
    <x v="3"/>
    <s v="46-041-1131"/>
    <x v="135"/>
    <x v="35"/>
    <n v="35"/>
    <n v="14"/>
    <s v="Require"/>
    <n v="35"/>
    <s v="Normal"/>
    <x v="6"/>
    <n v="60"/>
    <d v="2024-04-05T00:00:00"/>
    <d v="2024-06-24T00:00:00"/>
    <d v="2024-12-01T00:00:00"/>
    <n v="692"/>
    <n v="612"/>
    <n v="452"/>
    <s v="Expiring Soon"/>
    <s v="7 Rutledge Pass"/>
    <x v="56"/>
    <n v="5460"/>
    <n v="71"/>
    <s v="Backordered"/>
    <n v="5400"/>
  </r>
  <r>
    <x v="493"/>
    <x v="94"/>
    <x v="2"/>
    <s v="72-013-2438"/>
    <x v="106"/>
    <x v="58"/>
    <n v="41"/>
    <n v="30"/>
    <s v="Sufficient"/>
    <n v="0"/>
    <s v="Normal"/>
    <x v="7"/>
    <n v="159"/>
    <d v="2024-03-16T00:00:00"/>
    <d v="2025-01-13T00:00:00"/>
    <d v="2024-09-19T00:00:00"/>
    <n v="712"/>
    <n v="409"/>
    <n v="525"/>
    <s v="Expiring Soon"/>
    <s v="50687 Porter Park"/>
    <x v="38"/>
    <n v="3816"/>
    <n v="77"/>
    <s v="Discontinued"/>
    <n v="3657"/>
  </r>
  <r>
    <x v="494"/>
    <x v="109"/>
    <x v="4"/>
    <s v="57-133-8386"/>
    <x v="76"/>
    <x v="42"/>
    <n v="83"/>
    <n v="13"/>
    <s v="Sufficient"/>
    <n v="0"/>
    <s v="Normal"/>
    <x v="5"/>
    <n v="148.75"/>
    <d v="2024-05-04T00:00:00"/>
    <d v="2024-03-17T00:00:00"/>
    <d v="2025-02-02T00:00:00"/>
    <n v="663"/>
    <n v="711"/>
    <n v="389"/>
    <s v="Expiring Soon"/>
    <s v="897 Independence Circle"/>
    <x v="65"/>
    <n v="7288.75"/>
    <n v="75"/>
    <s v="Backordered"/>
    <n v="7140"/>
  </r>
  <r>
    <x v="495"/>
    <x v="90"/>
    <x v="3"/>
    <s v="63-231-2829"/>
    <x v="202"/>
    <x v="72"/>
    <n v="34"/>
    <n v="57"/>
    <s v="Require"/>
    <n v="34"/>
    <s v="Normal"/>
    <x v="42"/>
    <n v="97.5"/>
    <d v="2024-08-22T00:00:00"/>
    <d v="2025-12-01T00:00:00"/>
    <d v="2025-01-16T00:00:00"/>
    <n v="553"/>
    <n v="87"/>
    <n v="406"/>
    <s v="Expiring Soon"/>
    <s v="49476 Tony Hill"/>
    <x v="65"/>
    <n v="4777.5"/>
    <n v="96"/>
    <s v="Discontinued"/>
    <n v="4680"/>
  </r>
  <r>
    <x v="496"/>
    <x v="95"/>
    <x v="6"/>
    <s v="26-135-6134"/>
    <x v="155"/>
    <x v="57"/>
    <n v="49"/>
    <n v="41"/>
    <s v="Sufficient"/>
    <n v="0"/>
    <s v="Normal"/>
    <x v="29"/>
    <n v="660"/>
    <d v="2024-06-27T00:00:00"/>
    <d v="2024-08-10T00:00:00"/>
    <d v="2024-07-26T00:00:00"/>
    <n v="609"/>
    <n v="565"/>
    <n v="580"/>
    <s v="Safe"/>
    <s v="290 Rusk Avenue"/>
    <x v="9"/>
    <n v="17820"/>
    <n v="37"/>
    <s v="Discontinued"/>
    <n v="17160"/>
  </r>
  <r>
    <x v="497"/>
    <x v="6"/>
    <x v="3"/>
    <s v="37-630-2250"/>
    <x v="258"/>
    <x v="85"/>
    <n v="63"/>
    <n v="66"/>
    <s v="Require"/>
    <n v="63"/>
    <s v="High Priority"/>
    <x v="6"/>
    <n v="42.5"/>
    <d v="2025-01-25T00:00:00"/>
    <d v="2025-01-24T00:00:00"/>
    <d v="2024-11-21T00:00:00"/>
    <n v="397"/>
    <n v="398"/>
    <n v="462"/>
    <s v="Expiring Soon"/>
    <s v="931 Browning Center"/>
    <x v="61"/>
    <n v="977.5"/>
    <n v="46"/>
    <s v="Backordered"/>
    <n v="935"/>
  </r>
  <r>
    <x v="498"/>
    <x v="103"/>
    <x v="2"/>
    <s v="57-204-2098"/>
    <x v="167"/>
    <x v="48"/>
    <n v="61"/>
    <n v="77"/>
    <s v="Require"/>
    <n v="61"/>
    <s v="High Priority"/>
    <x v="57"/>
    <n v="71.5"/>
    <d v="2024-07-22T00:00:00"/>
    <d v="2025-02-21T00:00:00"/>
    <d v="2025-01-29T00:00:00"/>
    <n v="584"/>
    <n v="370"/>
    <n v="393"/>
    <s v="Expiring Soon"/>
    <s v="622 Buena Vista Trail"/>
    <x v="27"/>
    <n v="3003"/>
    <n v="18"/>
    <s v="Backordered"/>
    <n v="2931.5"/>
  </r>
  <r>
    <x v="499"/>
    <x v="99"/>
    <x v="5"/>
    <s v="39-284-1614"/>
    <x v="174"/>
    <x v="68"/>
    <n v="49"/>
    <n v="27"/>
    <s v="Require"/>
    <n v="49"/>
    <s v="Normal"/>
    <x v="4"/>
    <n v="136"/>
    <d v="2024-09-03T00:00:00"/>
    <d v="2024-11-24T00:00:00"/>
    <d v="2025-02-13T00:00:00"/>
    <n v="541"/>
    <n v="459"/>
    <n v="378"/>
    <s v="Expiring Soon"/>
    <s v="983 Sommers Circle"/>
    <x v="16"/>
    <n v="10608"/>
    <n v="20"/>
    <s v="Discontinued"/>
    <n v="10472"/>
  </r>
  <r>
    <x v="500"/>
    <x v="15"/>
    <x v="4"/>
    <s v="14-190-2260"/>
    <x v="266"/>
    <x v="42"/>
    <n v="89"/>
    <n v="41"/>
    <s v="Require"/>
    <n v="89"/>
    <s v="High Priority"/>
    <x v="12"/>
    <n v="680"/>
    <d v="2024-04-22T00:00:00"/>
    <d v="2024-07-04T00:00:00"/>
    <d v="2025-02-15T00:00:00"/>
    <n v="675"/>
    <n v="602"/>
    <n v="376"/>
    <s v="Expiring Soon"/>
    <s v="3 Fairfield Center"/>
    <x v="58"/>
    <n v="46240"/>
    <n v="93"/>
    <s v="Discontinued"/>
    <n v="45560"/>
  </r>
  <r>
    <x v="501"/>
    <x v="19"/>
    <x v="2"/>
    <s v="64-489-8494"/>
    <x v="134"/>
    <x v="3"/>
    <n v="95"/>
    <n v="49"/>
    <s v="Require"/>
    <n v="95"/>
    <s v="High Priority"/>
    <x v="8"/>
    <n v="12"/>
    <d v="2024-09-06T00:00:00"/>
    <d v="2024-06-13T00:00:00"/>
    <d v="2024-11-10T00:00:00"/>
    <n v="538"/>
    <n v="623"/>
    <n v="473"/>
    <s v="Expiring Soon"/>
    <s v="84305 Fair Oaks Plaza"/>
    <x v="28"/>
    <n v="300"/>
    <n v="23"/>
    <s v="Backordered"/>
    <n v="288"/>
  </r>
  <r>
    <x v="502"/>
    <x v="24"/>
    <x v="5"/>
    <s v="90-447-5123"/>
    <x v="175"/>
    <x v="45"/>
    <n v="6"/>
    <n v="53"/>
    <s v="Sufficient"/>
    <n v="0"/>
    <s v="Normal"/>
    <x v="15"/>
    <n v="410"/>
    <d v="2024-07-11T00:00:00"/>
    <d v="2024-04-29T00:00:00"/>
    <d v="2024-05-09T00:00:00"/>
    <n v="595"/>
    <n v="668"/>
    <n v="658"/>
    <s v="Safe"/>
    <s v="6 Lillian Junction"/>
    <x v="7"/>
    <n v="8610"/>
    <n v="58"/>
    <s v="Active"/>
    <n v="8200"/>
  </r>
  <r>
    <x v="503"/>
    <x v="40"/>
    <x v="5"/>
    <s v="34-161-7429"/>
    <x v="267"/>
    <x v="86"/>
    <n v="97"/>
    <n v="44"/>
    <s v="Require"/>
    <n v="97"/>
    <s v="High Priority"/>
    <x v="4"/>
    <n v="284"/>
    <d v="2024-11-27T00:00:00"/>
    <d v="2024-02-26T00:00:00"/>
    <d v="2024-07-07T00:00:00"/>
    <n v="456"/>
    <n v="731"/>
    <n v="599"/>
    <s v="Safe"/>
    <s v="44 Thompson Terrace"/>
    <x v="63"/>
    <n v="16472"/>
    <n v="14"/>
    <s v="Discontinued"/>
    <n v="16188"/>
  </r>
  <r>
    <x v="504"/>
    <x v="49"/>
    <x v="4"/>
    <s v="94-453-3755"/>
    <x v="54"/>
    <x v="62"/>
    <n v="17"/>
    <n v="26"/>
    <s v="Sufficient"/>
    <n v="0"/>
    <s v="Normal"/>
    <x v="11"/>
    <n v="406"/>
    <d v="2024-06-23T00:00:00"/>
    <d v="2024-07-07T00:00:00"/>
    <d v="2025-01-03T00:00:00"/>
    <n v="613"/>
    <n v="599"/>
    <n v="419"/>
    <s v="Expiring Soon"/>
    <s v="63464 Jana Court"/>
    <x v="4"/>
    <n v="25172"/>
    <n v="89"/>
    <s v="Backordered"/>
    <n v="24766"/>
  </r>
  <r>
    <x v="505"/>
    <x v="66"/>
    <x v="0"/>
    <s v="56-110-5754"/>
    <x v="86"/>
    <x v="72"/>
    <n v="76"/>
    <n v="81"/>
    <s v="Require"/>
    <n v="76"/>
    <s v="High Priority"/>
    <x v="10"/>
    <n v="30"/>
    <d v="2024-11-16T00:00:00"/>
    <d v="2024-06-17T00:00:00"/>
    <d v="2025-02-06T00:00:00"/>
    <n v="467"/>
    <n v="619"/>
    <n v="385"/>
    <s v="Expiring Soon"/>
    <s v="04 Blaine Lane"/>
    <x v="54"/>
    <n v="2700"/>
    <n v="26"/>
    <s v="Backordered"/>
    <n v="2670"/>
  </r>
  <r>
    <x v="506"/>
    <x v="27"/>
    <x v="2"/>
    <s v="11-445-3951"/>
    <x v="188"/>
    <x v="75"/>
    <n v="25"/>
    <n v="16"/>
    <s v="Sufficient"/>
    <n v="0"/>
    <s v="Normal"/>
    <x v="16"/>
    <n v="238"/>
    <d v="2024-04-04T00:00:00"/>
    <d v="2024-08-19T00:00:00"/>
    <d v="2024-06-27T00:00:00"/>
    <n v="693"/>
    <n v="556"/>
    <n v="609"/>
    <s v="Safe"/>
    <s v="0584 Lindbergh Alley"/>
    <x v="28"/>
    <n v="5950"/>
    <n v="83"/>
    <s v="Active"/>
    <n v="5712"/>
  </r>
  <r>
    <x v="507"/>
    <x v="10"/>
    <x v="0"/>
    <s v="41-644-3129"/>
    <x v="268"/>
    <x v="48"/>
    <n v="32"/>
    <n v="79"/>
    <s v="Require"/>
    <n v="32"/>
    <s v="Normal"/>
    <x v="10"/>
    <n v="26"/>
    <d v="2024-07-05T00:00:00"/>
    <d v="2025-02-16T00:00:00"/>
    <d v="2024-10-11T00:00:00"/>
    <n v="601"/>
    <n v="375"/>
    <n v="503"/>
    <s v="Expiring Soon"/>
    <s v="2693 6th Court"/>
    <x v="39"/>
    <n v="988"/>
    <n v="61"/>
    <s v="Discontinued"/>
    <n v="962"/>
  </r>
  <r>
    <x v="508"/>
    <x v="90"/>
    <x v="3"/>
    <s v="95-715-6047"/>
    <x v="253"/>
    <x v="1"/>
    <n v="7"/>
    <n v="58"/>
    <s v="Sufficient"/>
    <n v="0"/>
    <s v="Normal"/>
    <x v="42"/>
    <n v="292.5"/>
    <d v="2024-02-09T00:00:00"/>
    <d v="2024-05-04T00:00:00"/>
    <d v="2024-08-26T00:00:00"/>
    <n v="748"/>
    <n v="663"/>
    <n v="549"/>
    <s v="Expiring Soon"/>
    <s v="0313 Rockefeller Street"/>
    <x v="52"/>
    <n v="25155"/>
    <n v="77"/>
    <s v="Discontinued"/>
    <n v="24862.5"/>
  </r>
  <r>
    <x v="509"/>
    <x v="7"/>
    <x v="4"/>
    <s v="19-098-2529"/>
    <x v="14"/>
    <x v="69"/>
    <n v="22"/>
    <n v="74"/>
    <s v="Sufficient"/>
    <n v="0"/>
    <s v="Normal"/>
    <x v="62"/>
    <n v="98"/>
    <d v="2024-03-22T00:00:00"/>
    <d v="2024-09-23T00:00:00"/>
    <d v="2024-03-16T00:00:00"/>
    <n v="706"/>
    <n v="521"/>
    <n v="712"/>
    <s v="Safe"/>
    <s v="49646 Derek Lane"/>
    <x v="50"/>
    <n v="7448"/>
    <n v="70"/>
    <s v="Backordered"/>
    <n v="7350"/>
  </r>
  <r>
    <x v="510"/>
    <x v="36"/>
    <x v="1"/>
    <s v="35-370-7603"/>
    <x v="269"/>
    <x v="10"/>
    <n v="23"/>
    <n v="25"/>
    <s v="Sufficient"/>
    <n v="0"/>
    <s v="Normal"/>
    <x v="73"/>
    <n v="961"/>
    <d v="2024-07-23T00:00:00"/>
    <d v="2024-04-29T00:00:00"/>
    <d v="2024-03-08T00:00:00"/>
    <n v="583"/>
    <n v="668"/>
    <n v="720"/>
    <s v="Safe"/>
    <s v="0 Oneill Hill"/>
    <x v="5"/>
    <n v="32674"/>
    <n v="68"/>
    <s v="Discontinued"/>
    <n v="31713"/>
  </r>
  <r>
    <x v="511"/>
    <x v="59"/>
    <x v="3"/>
    <s v="19-893-7698"/>
    <x v="270"/>
    <x v="70"/>
    <n v="3"/>
    <n v="36"/>
    <s v="Sufficient"/>
    <n v="0"/>
    <s v="Normal"/>
    <x v="4"/>
    <n v="316"/>
    <d v="2024-08-16T00:00:00"/>
    <d v="2025-01-25T00:00:00"/>
    <d v="2024-08-30T00:00:00"/>
    <n v="559"/>
    <n v="397"/>
    <n v="545"/>
    <s v="Expiring Soon"/>
    <s v="76 Independence Drive"/>
    <x v="17"/>
    <n v="14536"/>
    <n v="29"/>
    <s v="Discontinued"/>
    <n v="14220"/>
  </r>
  <r>
    <x v="512"/>
    <x v="57"/>
    <x v="2"/>
    <s v="69-472-4067"/>
    <x v="122"/>
    <x v="31"/>
    <n v="91"/>
    <n v="68"/>
    <s v="Require"/>
    <n v="91"/>
    <s v="High Priority"/>
    <x v="7"/>
    <n v="225"/>
    <d v="2024-10-31T00:00:00"/>
    <d v="2024-04-23T00:00:00"/>
    <d v="2024-12-10T00:00:00"/>
    <n v="483"/>
    <n v="674"/>
    <n v="443"/>
    <s v="Expiring Soon"/>
    <s v="7182 Summit Court"/>
    <x v="40"/>
    <n v="21600"/>
    <n v="73"/>
    <s v="Backordered"/>
    <n v="21375"/>
  </r>
  <r>
    <x v="513"/>
    <x v="69"/>
    <x v="0"/>
    <s v="67-541-7091"/>
    <x v="271"/>
    <x v="77"/>
    <n v="8"/>
    <n v="2"/>
    <s v="Sufficient"/>
    <n v="0"/>
    <s v="Normal"/>
    <x v="32"/>
    <n v="722"/>
    <d v="2024-04-10T00:00:00"/>
    <d v="2024-08-11T00:00:00"/>
    <d v="2024-05-28T00:00:00"/>
    <n v="687"/>
    <n v="564"/>
    <n v="639"/>
    <s v="Safe"/>
    <s v="4627 Amoth Circle"/>
    <x v="38"/>
    <n v="17328"/>
    <n v="53"/>
    <s v="Active"/>
    <n v="16606"/>
  </r>
  <r>
    <x v="514"/>
    <x v="79"/>
    <x v="3"/>
    <s v="40-443-3362"/>
    <x v="97"/>
    <x v="6"/>
    <n v="51"/>
    <n v="40"/>
    <s v="Sufficient"/>
    <n v="0"/>
    <s v="Normal"/>
    <x v="20"/>
    <n v="220.79999999999998"/>
    <d v="2024-03-16T00:00:00"/>
    <d v="2024-04-05T00:00:00"/>
    <d v="2024-11-26T00:00:00"/>
    <n v="712"/>
    <n v="692"/>
    <n v="457"/>
    <s v="Expiring Soon"/>
    <s v="3 Oakridge Parkway"/>
    <x v="26"/>
    <n v="13468.8"/>
    <n v="4"/>
    <s v="Discontinued"/>
    <n v="13248"/>
  </r>
  <r>
    <x v="515"/>
    <x v="79"/>
    <x v="3"/>
    <s v="50-862-4552"/>
    <x v="272"/>
    <x v="79"/>
    <n v="17"/>
    <n v="27"/>
    <s v="Sufficient"/>
    <n v="0"/>
    <s v="Normal"/>
    <x v="20"/>
    <n v="158.69999999999999"/>
    <d v="2025-01-14T00:00:00"/>
    <d v="2024-06-18T00:00:00"/>
    <d v="2024-05-29T00:00:00"/>
    <n v="408"/>
    <n v="618"/>
    <n v="638"/>
    <s v="Safe"/>
    <s v="17640 Cottonwood Place"/>
    <x v="33"/>
    <n v="12537.3"/>
    <n v="75"/>
    <s v="Backordered"/>
    <n v="12378.599999999999"/>
  </r>
  <r>
    <x v="516"/>
    <x v="37"/>
    <x v="4"/>
    <s v="25-190-3172"/>
    <x v="141"/>
    <x v="32"/>
    <n v="71"/>
    <n v="86"/>
    <s v="Require"/>
    <n v="71"/>
    <s v="High Priority"/>
    <x v="7"/>
    <n v="144"/>
    <d v="2024-04-29T00:00:00"/>
    <d v="2024-02-07T00:00:00"/>
    <d v="2024-08-29T00:00:00"/>
    <n v="668"/>
    <n v="750"/>
    <n v="546"/>
    <s v="Expiring Soon"/>
    <s v="51205 Rieder Junction"/>
    <x v="3"/>
    <n v="13680"/>
    <n v="3"/>
    <s v="Discontinued"/>
    <n v="13536"/>
  </r>
  <r>
    <x v="517"/>
    <x v="58"/>
    <x v="4"/>
    <s v="62-766-8232"/>
    <x v="273"/>
    <x v="45"/>
    <n v="3"/>
    <n v="82"/>
    <s v="Sufficient"/>
    <n v="0"/>
    <s v="Normal"/>
    <x v="28"/>
    <n v="196.79999999999998"/>
    <d v="2024-03-10T00:00:00"/>
    <d v="2024-10-12T00:00:00"/>
    <d v="2024-08-26T00:00:00"/>
    <n v="718"/>
    <n v="502"/>
    <n v="549"/>
    <s v="Expiring Soon"/>
    <s v="09189 2nd Drive"/>
    <x v="67"/>
    <n v="9446.4"/>
    <n v="31"/>
    <s v="Active"/>
    <n v="9249.6"/>
  </r>
  <r>
    <x v="518"/>
    <x v="32"/>
    <x v="2"/>
    <s v="62-044-8874"/>
    <x v="14"/>
    <x v="9"/>
    <n v="21"/>
    <n v="31"/>
    <s v="Sufficient"/>
    <n v="0"/>
    <s v="Normal"/>
    <x v="6"/>
    <n v="107.5"/>
    <d v="2025-02-19T00:00:00"/>
    <d v="2024-06-25T00:00:00"/>
    <d v="2025-01-17T00:00:00"/>
    <n v="372"/>
    <n v="611"/>
    <n v="405"/>
    <s v="Expiring Soon"/>
    <s v="76106 Anthes Junction"/>
    <x v="70"/>
    <n v="2365"/>
    <n v="25"/>
    <s v="Backordered"/>
    <n v="2257.5"/>
  </r>
  <r>
    <x v="519"/>
    <x v="43"/>
    <x v="1"/>
    <s v="67-404-3362"/>
    <x v="160"/>
    <x v="82"/>
    <n v="68"/>
    <n v="74"/>
    <s v="Sufficient"/>
    <n v="0"/>
    <s v="Normal"/>
    <x v="13"/>
    <n v="1080"/>
    <d v="2024-02-04T00:00:00"/>
    <d v="2024-11-26T00:00:00"/>
    <d v="2024-10-30T00:00:00"/>
    <n v="753"/>
    <n v="457"/>
    <n v="484"/>
    <s v="Expiring Soon"/>
    <s v="35 Golf Course Alley"/>
    <x v="68"/>
    <n v="87480"/>
    <n v="26"/>
    <s v="Backordered"/>
    <n v="86400"/>
  </r>
  <r>
    <x v="520"/>
    <x v="102"/>
    <x v="4"/>
    <s v="16-019-7101"/>
    <x v="274"/>
    <x v="48"/>
    <n v="39"/>
    <n v="98"/>
    <s v="Require"/>
    <n v="39"/>
    <s v="Normal"/>
    <x v="80"/>
    <n v="11.700000000000001"/>
    <d v="2024-02-06T00:00:00"/>
    <d v="2024-05-11T00:00:00"/>
    <d v="2024-09-18T00:00:00"/>
    <n v="751"/>
    <n v="656"/>
    <n v="526"/>
    <s v="Expiring Soon"/>
    <s v="36483 Burning Wood Pass"/>
    <x v="17"/>
    <n v="538.20000000000005"/>
    <n v="46"/>
    <s v="Backordered"/>
    <n v="526.5"/>
  </r>
  <r>
    <x v="521"/>
    <x v="19"/>
    <x v="2"/>
    <s v="29-521-7910"/>
    <x v="18"/>
    <x v="10"/>
    <n v="79"/>
    <n v="95"/>
    <s v="Require"/>
    <n v="79"/>
    <s v="High Priority"/>
    <x v="8"/>
    <n v="62"/>
    <d v="2024-05-16T00:00:00"/>
    <d v="2024-06-07T00:00:00"/>
    <d v="2024-12-30T00:00:00"/>
    <n v="651"/>
    <n v="629"/>
    <n v="423"/>
    <s v="Expiring Soon"/>
    <s v="9 Holmberg Circle"/>
    <x v="5"/>
    <n v="2108"/>
    <n v="12"/>
    <s v="Active"/>
    <n v="2046"/>
  </r>
  <r>
    <x v="522"/>
    <x v="111"/>
    <x v="0"/>
    <s v="23-274-3305"/>
    <x v="208"/>
    <x v="85"/>
    <n v="85"/>
    <n v="74"/>
    <s v="Require"/>
    <n v="85"/>
    <s v="High Priority"/>
    <x v="15"/>
    <n v="85"/>
    <d v="2024-01-05T00:00:00"/>
    <d v="2025-01-29T00:00:00"/>
    <d v="2024-03-30T00:00:00"/>
    <n v="783"/>
    <n v="393"/>
    <n v="698"/>
    <s v="Safe"/>
    <s v="38583 2nd Pass"/>
    <x v="50"/>
    <n v="6460"/>
    <n v="89"/>
    <s v="Active"/>
    <n v="6375"/>
  </r>
  <r>
    <x v="523"/>
    <x v="90"/>
    <x v="3"/>
    <s v="40-773-7065"/>
    <x v="219"/>
    <x v="46"/>
    <n v="86"/>
    <n v="94"/>
    <s v="Sufficient"/>
    <n v="0"/>
    <s v="Normal"/>
    <x v="42"/>
    <n v="650"/>
    <d v="2024-11-08T00:00:00"/>
    <d v="2024-12-04T00:00:00"/>
    <d v="2024-06-04T00:00:00"/>
    <n v="475"/>
    <n v="449"/>
    <n v="632"/>
    <s v="Safe"/>
    <s v="4 Browning Terrace"/>
    <x v="76"/>
    <n v="50050"/>
    <n v="57"/>
    <s v="Active"/>
    <n v="49400"/>
  </r>
  <r>
    <x v="524"/>
    <x v="5"/>
    <x v="0"/>
    <s v="28-436-5158"/>
    <x v="223"/>
    <x v="13"/>
    <n v="69"/>
    <n v="68"/>
    <s v="Require"/>
    <n v="69"/>
    <s v="High Priority"/>
    <x v="5"/>
    <n v="94.5"/>
    <d v="2024-07-24T00:00:00"/>
    <d v="2024-05-11T00:00:00"/>
    <d v="2024-05-13T00:00:00"/>
    <n v="582"/>
    <n v="656"/>
    <n v="654"/>
    <s v="Safe"/>
    <s v="21629 Burrows Pass"/>
    <x v="76"/>
    <n v="7276.5"/>
    <n v="56"/>
    <s v="Discontinued"/>
    <n v="7182"/>
  </r>
  <r>
    <x v="525"/>
    <x v="68"/>
    <x v="4"/>
    <s v="27-996-8883"/>
    <x v="127"/>
    <x v="84"/>
    <n v="24"/>
    <n v="4"/>
    <s v="Sufficient"/>
    <n v="0"/>
    <s v="Normal"/>
    <x v="76"/>
    <n v="401.79999999999995"/>
    <d v="2024-08-03T00:00:00"/>
    <d v="2024-12-21T00:00:00"/>
    <d v="2024-05-23T00:00:00"/>
    <n v="572"/>
    <n v="432"/>
    <n v="644"/>
    <s v="Safe"/>
    <s v="9 Meadow Ridge Center"/>
    <x v="72"/>
    <n v="35760.199999999997"/>
    <n v="80"/>
    <s v="Active"/>
    <n v="35358.399999999994"/>
  </r>
  <r>
    <x v="526"/>
    <x v="29"/>
    <x v="1"/>
    <s v="74-062-7176"/>
    <x v="275"/>
    <x v="53"/>
    <n v="9"/>
    <n v="12"/>
    <s v="Sufficient"/>
    <n v="0"/>
    <s v="Normal"/>
    <x v="81"/>
    <n v="610"/>
    <d v="2024-06-26T00:00:00"/>
    <d v="2025-02-22T00:00:00"/>
    <d v="2024-03-16T00:00:00"/>
    <n v="610"/>
    <n v="369"/>
    <n v="712"/>
    <s v="Safe"/>
    <s v="428 Oriole Avenue"/>
    <x v="17"/>
    <n v="28060"/>
    <n v="32"/>
    <s v="Discontinued"/>
    <n v="27450"/>
  </r>
  <r>
    <x v="527"/>
    <x v="30"/>
    <x v="6"/>
    <s v="68-885-5553"/>
    <x v="159"/>
    <x v="9"/>
    <n v="7"/>
    <n v="63"/>
    <s v="Sufficient"/>
    <n v="0"/>
    <s v="Normal"/>
    <x v="18"/>
    <n v="387"/>
    <d v="2024-09-26T00:00:00"/>
    <d v="2024-07-24T00:00:00"/>
    <d v="2024-03-08T00:00:00"/>
    <n v="518"/>
    <n v="582"/>
    <n v="720"/>
    <s v="Safe"/>
    <s v="21379 Stoughton Junction"/>
    <x v="15"/>
    <n v="25542"/>
    <n v="71"/>
    <s v="Active"/>
    <n v="25155"/>
  </r>
  <r>
    <x v="528"/>
    <x v="43"/>
    <x v="1"/>
    <s v="83-076-5024"/>
    <x v="75"/>
    <x v="50"/>
    <n v="91"/>
    <n v="48"/>
    <s v="Require"/>
    <n v="91"/>
    <s v="High Priority"/>
    <x v="13"/>
    <n v="348"/>
    <d v="2024-05-10T00:00:00"/>
    <d v="2024-10-07T00:00:00"/>
    <d v="2024-08-16T00:00:00"/>
    <n v="657"/>
    <n v="507"/>
    <n v="559"/>
    <s v="Safe"/>
    <s v="744 Lakewood Gardens Crossing"/>
    <x v="64"/>
    <n v="9744"/>
    <n v="40"/>
    <s v="Active"/>
    <n v="9396"/>
  </r>
  <r>
    <x v="529"/>
    <x v="103"/>
    <x v="2"/>
    <s v="93-180-4005"/>
    <x v="111"/>
    <x v="4"/>
    <n v="45"/>
    <n v="62"/>
    <s v="Require"/>
    <n v="45"/>
    <s v="Normal"/>
    <x v="57"/>
    <n v="203.5"/>
    <d v="2024-08-12T00:00:00"/>
    <d v="2025-12-01T00:00:00"/>
    <d v="2024-04-20T00:00:00"/>
    <n v="563"/>
    <n v="87"/>
    <n v="677"/>
    <s v="Safe"/>
    <s v="84239 Meadow Vale Trail"/>
    <x v="5"/>
    <n v="6919"/>
    <n v="23"/>
    <s v="Backordered"/>
    <n v="6715.5"/>
  </r>
  <r>
    <x v="530"/>
    <x v="88"/>
    <x v="4"/>
    <s v="41-978-3326"/>
    <x v="276"/>
    <x v="42"/>
    <n v="28"/>
    <n v="32"/>
    <s v="Sufficient"/>
    <n v="0"/>
    <s v="Normal"/>
    <x v="65"/>
    <n v="756.5"/>
    <d v="2025-01-17T00:00:00"/>
    <d v="2024-06-25T00:00:00"/>
    <d v="2025-01-28T00:00:00"/>
    <n v="405"/>
    <n v="611"/>
    <n v="394"/>
    <s v="Expiring Soon"/>
    <s v="2835 Schlimgen Parkway"/>
    <x v="42"/>
    <n v="43120.5"/>
    <n v="41"/>
    <s v="Backordered"/>
    <n v="42364"/>
  </r>
  <r>
    <x v="531"/>
    <x v="96"/>
    <x v="0"/>
    <s v="64-396-5538"/>
    <x v="121"/>
    <x v="11"/>
    <n v="67"/>
    <n v="46"/>
    <s v="Require"/>
    <n v="67"/>
    <s v="High Priority"/>
    <x v="78"/>
    <n v="114.4"/>
    <d v="2024-08-12T00:00:00"/>
    <d v="2024-12-09T00:00:00"/>
    <d v="2024-04-04T00:00:00"/>
    <n v="563"/>
    <n v="444"/>
    <n v="693"/>
    <s v="Safe"/>
    <s v="4784 Farmco Alley"/>
    <x v="46"/>
    <n v="6177.6"/>
    <n v="46"/>
    <s v="Backordered"/>
    <n v="6063.2000000000007"/>
  </r>
  <r>
    <x v="532"/>
    <x v="48"/>
    <x v="1"/>
    <s v="56-965-0404"/>
    <x v="3"/>
    <x v="8"/>
    <n v="78"/>
    <n v="61"/>
    <s v="Sufficient"/>
    <n v="0"/>
    <s v="Normal"/>
    <x v="25"/>
    <n v="2275"/>
    <d v="2024-05-05T00:00:00"/>
    <d v="2024-10-27T00:00:00"/>
    <d v="2024-08-10T00:00:00"/>
    <n v="662"/>
    <n v="487"/>
    <n v="565"/>
    <s v="Safe"/>
    <s v="5501 Fuller Way"/>
    <x v="13"/>
    <n v="143325"/>
    <n v="15"/>
    <s v="Backordered"/>
    <n v="141050"/>
  </r>
  <r>
    <x v="533"/>
    <x v="47"/>
    <x v="4"/>
    <s v="05-719-6858"/>
    <x v="116"/>
    <x v="74"/>
    <n v="46"/>
    <n v="38"/>
    <s v="Sufficient"/>
    <n v="0"/>
    <s v="Normal"/>
    <x v="69"/>
    <n v="310"/>
    <d v="2024-01-10T00:00:00"/>
    <d v="2024-03-07T00:00:00"/>
    <d v="2024-07-31T00:00:00"/>
    <n v="778"/>
    <n v="721"/>
    <n v="575"/>
    <s v="Safe"/>
    <s v="10342 Division Place"/>
    <x v="74"/>
    <n v="27280"/>
    <n v="70"/>
    <s v="Active"/>
    <n v="26970"/>
  </r>
  <r>
    <x v="534"/>
    <x v="17"/>
    <x v="6"/>
    <s v="85-211-5357"/>
    <x v="144"/>
    <x v="84"/>
    <n v="65"/>
    <n v="76"/>
    <s v="Sufficient"/>
    <n v="0"/>
    <s v="Normal"/>
    <x v="13"/>
    <n v="1176"/>
    <d v="2024-09-27T00:00:00"/>
    <d v="2024-07-19T00:00:00"/>
    <d v="2024-06-27T00:00:00"/>
    <n v="517"/>
    <n v="587"/>
    <n v="609"/>
    <s v="Safe"/>
    <s v="96420 Briar Crest Lane"/>
    <x v="4"/>
    <n v="72912"/>
    <n v="47"/>
    <s v="Active"/>
    <n v="71736"/>
  </r>
  <r>
    <x v="535"/>
    <x v="9"/>
    <x v="4"/>
    <s v="47-687-2255"/>
    <x v="48"/>
    <x v="4"/>
    <n v="53"/>
    <n v="61"/>
    <s v="Require"/>
    <n v="53"/>
    <s v="Normal"/>
    <x v="8"/>
    <n v="37"/>
    <d v="2024-03-04T00:00:00"/>
    <d v="2024-07-17T00:00:00"/>
    <d v="2024-03-21T00:00:00"/>
    <n v="724"/>
    <n v="589"/>
    <n v="707"/>
    <s v="Safe"/>
    <s v="45190 Fordem Court"/>
    <x v="54"/>
    <n v="3330"/>
    <n v="89"/>
    <s v="Backordered"/>
    <n v="3293"/>
  </r>
  <r>
    <x v="536"/>
    <x v="42"/>
    <x v="5"/>
    <s v="56-439-3559"/>
    <x v="131"/>
    <x v="87"/>
    <n v="68"/>
    <n v="68"/>
    <s v="Sufficient"/>
    <n v="0"/>
    <s v="Normal"/>
    <x v="6"/>
    <n v="195"/>
    <d v="2024-12-09T00:00:00"/>
    <d v="2024-05-03T00:00:00"/>
    <d v="2024-12-25T00:00:00"/>
    <n v="444"/>
    <n v="664"/>
    <n v="428"/>
    <s v="Expiring Soon"/>
    <s v="3 Monument Street"/>
    <x v="72"/>
    <n v="17355"/>
    <n v="24"/>
    <s v="Backordered"/>
    <n v="17160"/>
  </r>
  <r>
    <x v="537"/>
    <x v="78"/>
    <x v="2"/>
    <s v="10-540-5841"/>
    <x v="26"/>
    <x v="32"/>
    <n v="27"/>
    <n v="73"/>
    <s v="Sufficient"/>
    <n v="0"/>
    <s v="Normal"/>
    <x v="82"/>
    <n v="122.39999999999999"/>
    <d v="2025-01-13T00:00:00"/>
    <d v="2024-12-04T00:00:00"/>
    <d v="2024-05-30T00:00:00"/>
    <n v="409"/>
    <n v="449"/>
    <n v="637"/>
    <s v="Safe"/>
    <s v="843 Pepper Wood Hill"/>
    <x v="20"/>
    <n v="6364.7999999999993"/>
    <n v="97"/>
    <s v="Discontinued"/>
    <n v="6242.4"/>
  </r>
  <r>
    <x v="538"/>
    <x v="1"/>
    <x v="1"/>
    <s v="04-866-2231"/>
    <x v="277"/>
    <x v="59"/>
    <n v="10"/>
    <n v="74"/>
    <s v="Sufficient"/>
    <n v="0"/>
    <s v="Normal"/>
    <x v="1"/>
    <n v="1480"/>
    <d v="2024-07-27T00:00:00"/>
    <d v="2024-02-10T00:00:00"/>
    <d v="2024-03-20T00:00:00"/>
    <n v="579"/>
    <n v="747"/>
    <n v="708"/>
    <s v="Safe"/>
    <s v="5 Killdeer Trail"/>
    <x v="10"/>
    <n v="148000"/>
    <n v="66"/>
    <s v="Backordered"/>
    <n v="146520"/>
  </r>
  <r>
    <x v="539"/>
    <x v="27"/>
    <x v="2"/>
    <s v="07-055-5188"/>
    <x v="185"/>
    <x v="27"/>
    <n v="7"/>
    <n v="58"/>
    <s v="Sufficient"/>
    <n v="0"/>
    <s v="Normal"/>
    <x v="16"/>
    <n v="63"/>
    <d v="2024-11-26T00:00:00"/>
    <d v="2024-05-08T00:00:00"/>
    <d v="2024-06-26T00:00:00"/>
    <n v="457"/>
    <n v="659"/>
    <n v="610"/>
    <s v="Safe"/>
    <s v="1 Pleasure Hill"/>
    <x v="74"/>
    <n v="5544"/>
    <n v="96"/>
    <s v="Discontinued"/>
    <n v="5481"/>
  </r>
  <r>
    <x v="540"/>
    <x v="78"/>
    <x v="2"/>
    <s v="22-307-4653"/>
    <x v="86"/>
    <x v="12"/>
    <n v="66"/>
    <n v="69"/>
    <s v="Sufficient"/>
    <n v="0"/>
    <s v="Normal"/>
    <x v="83"/>
    <n v="235.6"/>
    <d v="2024-08-06T00:00:00"/>
    <d v="2024-03-28T00:00:00"/>
    <d v="2025-02-04T00:00:00"/>
    <n v="569"/>
    <n v="700"/>
    <n v="387"/>
    <s v="Expiring Soon"/>
    <s v="880 Calypso Road"/>
    <x v="57"/>
    <n v="21675.200000000001"/>
    <n v="72"/>
    <s v="Backordered"/>
    <n v="21439.600000000002"/>
  </r>
  <r>
    <x v="541"/>
    <x v="89"/>
    <x v="4"/>
    <s v="72-024-1595"/>
    <x v="188"/>
    <x v="30"/>
    <n v="93"/>
    <n v="57"/>
    <s v="Require"/>
    <n v="93"/>
    <s v="High Priority"/>
    <x v="6"/>
    <n v="97.5"/>
    <d v="2024-04-06T00:00:00"/>
    <d v="2024-05-28T00:00:00"/>
    <d v="2025-01-03T00:00:00"/>
    <n v="691"/>
    <n v="639"/>
    <n v="419"/>
    <s v="Expiring Soon"/>
    <s v="6810 Aberg Junction"/>
    <x v="51"/>
    <n v="2535"/>
    <n v="44"/>
    <s v="Backordered"/>
    <n v="2437.5"/>
  </r>
  <r>
    <x v="542"/>
    <x v="57"/>
    <x v="2"/>
    <s v="42-976-2737"/>
    <x v="278"/>
    <x v="32"/>
    <n v="72"/>
    <n v="55"/>
    <s v="Require"/>
    <n v="72"/>
    <s v="High Priority"/>
    <x v="7"/>
    <n v="144"/>
    <d v="2024-09-18T00:00:00"/>
    <d v="2024-12-05T00:00:00"/>
    <d v="2024-06-30T00:00:00"/>
    <n v="526"/>
    <n v="448"/>
    <n v="606"/>
    <s v="Safe"/>
    <s v="39 Dovetail Terrace"/>
    <x v="32"/>
    <n v="7344"/>
    <n v="41"/>
    <s v="Active"/>
    <n v="7200"/>
  </r>
  <r>
    <x v="543"/>
    <x v="12"/>
    <x v="2"/>
    <s v="08-912-0895"/>
    <x v="134"/>
    <x v="62"/>
    <n v="15"/>
    <n v="87"/>
    <s v="Sufficient"/>
    <n v="0"/>
    <s v="Normal"/>
    <x v="51"/>
    <n v="342.20000000000005"/>
    <d v="2024-10-07T00:00:00"/>
    <d v="2024-06-30T00:00:00"/>
    <d v="2024-07-29T00:00:00"/>
    <n v="507"/>
    <n v="606"/>
    <n v="577"/>
    <s v="Safe"/>
    <s v="3 Buhler Place"/>
    <x v="20"/>
    <n v="17794.400000000001"/>
    <n v="81"/>
    <s v="Backordered"/>
    <n v="17452.2"/>
  </r>
  <r>
    <x v="544"/>
    <x v="8"/>
    <x v="4"/>
    <s v="42-638-2086"/>
    <x v="104"/>
    <x v="30"/>
    <n v="55"/>
    <n v="39"/>
    <s v="Require"/>
    <n v="55"/>
    <s v="Normal"/>
    <x v="7"/>
    <n v="117"/>
    <d v="2024-08-15T00:00:00"/>
    <d v="2024-07-07T00:00:00"/>
    <d v="2024-06-20T00:00:00"/>
    <n v="560"/>
    <n v="599"/>
    <n v="616"/>
    <s v="Safe"/>
    <s v="7 Hooker Way"/>
    <x v="11"/>
    <n v="5499"/>
    <n v="59"/>
    <s v="Backordered"/>
    <n v="5382"/>
  </r>
  <r>
    <x v="545"/>
    <x v="108"/>
    <x v="2"/>
    <s v="75-286-4153"/>
    <x v="53"/>
    <x v="36"/>
    <n v="28"/>
    <n v="29"/>
    <s v="Sufficient"/>
    <n v="0"/>
    <s v="Normal"/>
    <x v="78"/>
    <n v="369.6"/>
    <d v="2025-09-02T00:00:00"/>
    <d v="2025-02-15T00:00:00"/>
    <d v="2024-12-14T00:00:00"/>
    <n v="177"/>
    <n v="376"/>
    <n v="439"/>
    <s v="Expiring Soon"/>
    <s v="227 Tennyson Plaza"/>
    <x v="46"/>
    <n v="19958.400000000001"/>
    <n v="32"/>
    <s v="Discontinued"/>
    <n v="19588.800000000003"/>
  </r>
  <r>
    <x v="546"/>
    <x v="44"/>
    <x v="6"/>
    <s v="34-389-9922"/>
    <x v="35"/>
    <x v="2"/>
    <n v="55"/>
    <n v="4"/>
    <s v="Require"/>
    <n v="55"/>
    <s v="Normal"/>
    <x v="2"/>
    <n v="180"/>
    <d v="2024-08-25T00:00:00"/>
    <d v="2024-07-28T00:00:00"/>
    <d v="2025-01-31T00:00:00"/>
    <n v="550"/>
    <n v="578"/>
    <n v="391"/>
    <s v="Expiring Soon"/>
    <s v="05944 Scott Parkway"/>
    <x v="8"/>
    <n v="10080"/>
    <n v="31"/>
    <s v="Active"/>
    <n v="9900"/>
  </r>
  <r>
    <x v="547"/>
    <x v="90"/>
    <x v="3"/>
    <s v="17-359-2527"/>
    <x v="125"/>
    <x v="39"/>
    <n v="84"/>
    <n v="15"/>
    <s v="Require"/>
    <n v="84"/>
    <s v="High Priority"/>
    <x v="42"/>
    <n v="91"/>
    <d v="2025-01-28T00:00:00"/>
    <d v="2025-07-02T00:00:00"/>
    <d v="2024-12-12T00:00:00"/>
    <n v="394"/>
    <n v="239"/>
    <n v="441"/>
    <s v="Expiring Soon"/>
    <s v="545 Farwell Lane"/>
    <x v="32"/>
    <n v="4641"/>
    <n v="73"/>
    <s v="Active"/>
    <n v="4550"/>
  </r>
  <r>
    <x v="548"/>
    <x v="86"/>
    <x v="0"/>
    <s v="44-388-2451"/>
    <x v="121"/>
    <x v="55"/>
    <n v="15"/>
    <n v="27"/>
    <s v="Sufficient"/>
    <n v="0"/>
    <s v="Normal"/>
    <x v="6"/>
    <n v="52.5"/>
    <d v="2025-05-02T00:00:00"/>
    <d v="2024-11-10T00:00:00"/>
    <d v="2024-08-08T00:00:00"/>
    <n v="300"/>
    <n v="473"/>
    <n v="567"/>
    <s v="Safe"/>
    <s v="42 Mandrake Alley"/>
    <x v="36"/>
    <n v="1942.5"/>
    <n v="41"/>
    <s v="Active"/>
    <n v="1890"/>
  </r>
  <r>
    <x v="549"/>
    <x v="65"/>
    <x v="0"/>
    <s v="85-473-1534"/>
    <x v="279"/>
    <x v="85"/>
    <n v="19"/>
    <n v="74"/>
    <s v="Require"/>
    <n v="19"/>
    <s v="Normal"/>
    <x v="30"/>
    <n v="80.75"/>
    <d v="2024-04-10T00:00:00"/>
    <d v="2024-08-12T00:00:00"/>
    <d v="2024-07-23T00:00:00"/>
    <n v="687"/>
    <n v="563"/>
    <n v="583"/>
    <s v="Safe"/>
    <s v="2 Miller Lane"/>
    <x v="63"/>
    <n v="4683.5"/>
    <n v="27"/>
    <s v="Discontinued"/>
    <n v="4602.75"/>
  </r>
  <r>
    <x v="550"/>
    <x v="78"/>
    <x v="2"/>
    <s v="55-838-9088"/>
    <x v="77"/>
    <x v="68"/>
    <n v="92"/>
    <n v="26"/>
    <s v="Require"/>
    <n v="92"/>
    <s v="High Priority"/>
    <x v="6"/>
    <n v="85"/>
    <d v="2024-01-09T00:00:00"/>
    <d v="2024-10-04T00:00:00"/>
    <d v="2024-12-27T00:00:00"/>
    <n v="779"/>
    <n v="510"/>
    <n v="426"/>
    <s v="Expiring Soon"/>
    <s v="01 Northfield Road"/>
    <x v="64"/>
    <n v="2380"/>
    <n v="71"/>
    <s v="Active"/>
    <n v="2295"/>
  </r>
  <r>
    <x v="551"/>
    <x v="65"/>
    <x v="0"/>
    <s v="05-050-4384"/>
    <x v="14"/>
    <x v="61"/>
    <n v="48"/>
    <n v="82"/>
    <s v="Sufficient"/>
    <n v="0"/>
    <s v="Normal"/>
    <x v="30"/>
    <n v="266"/>
    <d v="2024-10-18T00:00:00"/>
    <d v="2024-12-21T00:00:00"/>
    <d v="2025-01-11T00:00:00"/>
    <n v="496"/>
    <n v="432"/>
    <n v="411"/>
    <s v="Expiring Soon"/>
    <s v="97 Utah Lane"/>
    <x v="75"/>
    <n v="18886"/>
    <n v="65"/>
    <s v="Backordered"/>
    <n v="18620"/>
  </r>
  <r>
    <x v="552"/>
    <x v="4"/>
    <x v="2"/>
    <s v="65-611-4749"/>
    <x v="257"/>
    <x v="56"/>
    <n v="71"/>
    <n v="69"/>
    <s v="Require"/>
    <n v="71"/>
    <s v="High Priority"/>
    <x v="61"/>
    <n v="249.6"/>
    <d v="2024-10-10T00:00:00"/>
    <d v="2024-06-14T00:00:00"/>
    <d v="2024-10-10T00:00:00"/>
    <n v="504"/>
    <n v="622"/>
    <n v="504"/>
    <s v="Expiring Soon"/>
    <s v="2 Scofield Street"/>
    <x v="30"/>
    <n v="14976"/>
    <n v="67"/>
    <s v="Active"/>
    <n v="14726.4"/>
  </r>
  <r>
    <x v="553"/>
    <x v="103"/>
    <x v="2"/>
    <s v="17-807-6972"/>
    <x v="210"/>
    <x v="89"/>
    <n v="62"/>
    <n v="2"/>
    <s v="Sufficient"/>
    <n v="0"/>
    <s v="Normal"/>
    <x v="57"/>
    <n v="478.5"/>
    <d v="2024-09-07T00:00:00"/>
    <d v="2024-03-25T00:00:00"/>
    <d v="2024-09-30T00:00:00"/>
    <n v="537"/>
    <n v="703"/>
    <n v="514"/>
    <s v="Expiring Soon"/>
    <s v="10 Golf Course Hill"/>
    <x v="70"/>
    <n v="10527"/>
    <n v="38"/>
    <s v="Backordered"/>
    <n v="10048.5"/>
  </r>
  <r>
    <x v="554"/>
    <x v="108"/>
    <x v="2"/>
    <s v="72-306-8602"/>
    <x v="50"/>
    <x v="35"/>
    <n v="25"/>
    <n v="52"/>
    <s v="Require"/>
    <n v="25"/>
    <s v="Normal"/>
    <x v="0"/>
    <n v="108"/>
    <d v="2024-05-25T00:00:00"/>
    <d v="2024-05-23T00:00:00"/>
    <d v="2024-09-17T00:00:00"/>
    <n v="642"/>
    <n v="644"/>
    <n v="527"/>
    <s v="Expiring Soon"/>
    <s v="851 Hollow Ridge Center"/>
    <x v="38"/>
    <n v="2592"/>
    <n v="77"/>
    <s v="Backordered"/>
    <n v="2484"/>
  </r>
  <r>
    <x v="555"/>
    <x v="0"/>
    <x v="0"/>
    <s v="76-712-0418"/>
    <x v="86"/>
    <x v="28"/>
    <n v="1"/>
    <n v="60"/>
    <s v="Sufficient"/>
    <n v="0"/>
    <s v="Normal"/>
    <x v="38"/>
    <n v="197.4"/>
    <d v="2025-01-29T00:00:00"/>
    <d v="2024-05-19T00:00:00"/>
    <d v="2024-04-18T00:00:00"/>
    <n v="393"/>
    <n v="648"/>
    <n v="679"/>
    <s v="Safe"/>
    <s v="9 Burrows Junction"/>
    <x v="0"/>
    <n v="6316.8"/>
    <n v="87"/>
    <s v="Discontinued"/>
    <n v="6119.4000000000005"/>
  </r>
  <r>
    <x v="556"/>
    <x v="99"/>
    <x v="5"/>
    <s v="12-140-7809"/>
    <x v="155"/>
    <x v="33"/>
    <n v="8"/>
    <n v="45"/>
    <s v="Sufficient"/>
    <n v="0"/>
    <s v="Normal"/>
    <x v="4"/>
    <n v="244"/>
    <d v="2024-06-20T00:00:00"/>
    <d v="2024-09-27T00:00:00"/>
    <d v="2024-09-17T00:00:00"/>
    <n v="616"/>
    <n v="517"/>
    <n v="527"/>
    <s v="Expiring Soon"/>
    <s v="30590 Bowman Alley"/>
    <x v="21"/>
    <n v="17812"/>
    <n v="64"/>
    <s v="Discontinued"/>
    <n v="17568"/>
  </r>
  <r>
    <x v="557"/>
    <x v="11"/>
    <x v="5"/>
    <s v="61-912-9541"/>
    <x v="61"/>
    <x v="32"/>
    <n v="2"/>
    <n v="16"/>
    <s v="Sufficient"/>
    <n v="0"/>
    <s v="Normal"/>
    <x v="47"/>
    <n v="134.39999999999998"/>
    <d v="2024-03-26T00:00:00"/>
    <d v="2024-11-24T00:00:00"/>
    <d v="2024-06-08T00:00:00"/>
    <n v="702"/>
    <n v="459"/>
    <n v="628"/>
    <s v="Safe"/>
    <s v="76 Shelley Pass"/>
    <x v="9"/>
    <n v="3628.7999999999993"/>
    <n v="1"/>
    <s v="Discontinued"/>
    <n v="3494.3999999999992"/>
  </r>
  <r>
    <x v="558"/>
    <x v="61"/>
    <x v="5"/>
    <s v="88-428-6227"/>
    <x v="75"/>
    <x v="4"/>
    <n v="96"/>
    <n v="82"/>
    <s v="Require"/>
    <n v="96"/>
    <s v="High Priority"/>
    <x v="15"/>
    <n v="185"/>
    <d v="2024-06-10T00:00:00"/>
    <d v="2025-01-14T00:00:00"/>
    <d v="2024-12-06T00:00:00"/>
    <n v="626"/>
    <n v="408"/>
    <n v="447"/>
    <s v="Expiring Soon"/>
    <s v="0 Larry Terrace"/>
    <x v="41"/>
    <n v="6475"/>
    <n v="23"/>
    <s v="Backordered"/>
    <n v="6290"/>
  </r>
  <r>
    <x v="559"/>
    <x v="1"/>
    <x v="1"/>
    <s v="64-361-4238"/>
    <x v="240"/>
    <x v="1"/>
    <n v="36"/>
    <n v="97"/>
    <s v="Sufficient"/>
    <n v="0"/>
    <s v="Normal"/>
    <x v="1"/>
    <n v="900"/>
    <d v="2024-12-27T00:00:00"/>
    <d v="2024-05-26T00:00:00"/>
    <d v="2025-01-25T00:00:00"/>
    <n v="426"/>
    <n v="641"/>
    <n v="397"/>
    <s v="Expiring Soon"/>
    <s v="760 Butternut Plaza"/>
    <x v="66"/>
    <n v="32400"/>
    <n v="6"/>
    <s v="Active"/>
    <n v="31500"/>
  </r>
  <r>
    <x v="560"/>
    <x v="14"/>
    <x v="0"/>
    <s v="14-009-8505"/>
    <x v="149"/>
    <x v="89"/>
    <n v="97"/>
    <n v="28"/>
    <s v="Require"/>
    <n v="97"/>
    <s v="High Priority"/>
    <x v="3"/>
    <n v="130.5"/>
    <d v="2024-12-06T00:00:00"/>
    <d v="2024-09-23T00:00:00"/>
    <d v="2024-04-18T00:00:00"/>
    <n v="447"/>
    <n v="521"/>
    <n v="679"/>
    <s v="Safe"/>
    <s v="26160 Independence Alley"/>
    <x v="63"/>
    <n v="7569"/>
    <n v="21"/>
    <s v="Active"/>
    <n v="7438.5"/>
  </r>
  <r>
    <x v="561"/>
    <x v="69"/>
    <x v="0"/>
    <s v="03-257-4437"/>
    <x v="146"/>
    <x v="4"/>
    <n v="47"/>
    <n v="34"/>
    <s v="Require"/>
    <n v="47"/>
    <s v="Normal"/>
    <x v="32"/>
    <n v="351.5"/>
    <d v="2024-07-30T00:00:00"/>
    <d v="2024-10-31T00:00:00"/>
    <d v="2024-07-20T00:00:00"/>
    <n v="576"/>
    <n v="483"/>
    <n v="586"/>
    <s v="Safe"/>
    <s v="153 Caliangt Plaza"/>
    <x v="39"/>
    <n v="13357"/>
    <n v="89"/>
    <s v="Backordered"/>
    <n v="13005.5"/>
  </r>
  <r>
    <x v="562"/>
    <x v="93"/>
    <x v="1"/>
    <s v="13-109-8639"/>
    <x v="48"/>
    <x v="43"/>
    <n v="62"/>
    <n v="57"/>
    <s v="Require"/>
    <n v="62"/>
    <s v="High Priority"/>
    <x v="84"/>
    <n v="607.70000000000005"/>
    <d v="2024-11-09T00:00:00"/>
    <d v="2024-07-16T00:00:00"/>
    <d v="2024-02-25T00:00:00"/>
    <n v="474"/>
    <n v="590"/>
    <n v="732"/>
    <s v="Safe"/>
    <s v="0 Ohio Hill"/>
    <x v="54"/>
    <n v="54693.000000000007"/>
    <n v="94"/>
    <s v="Backordered"/>
    <n v="54085.30000000001"/>
  </r>
  <r>
    <x v="563"/>
    <x v="75"/>
    <x v="2"/>
    <s v="20-103-9525"/>
    <x v="280"/>
    <x v="10"/>
    <n v="40"/>
    <n v="86"/>
    <s v="Sufficient"/>
    <n v="0"/>
    <s v="Normal"/>
    <x v="2"/>
    <n v="372"/>
    <d v="2024-07-15T00:00:00"/>
    <d v="2024-11-16T00:00:00"/>
    <d v="2024-06-05T00:00:00"/>
    <n v="591"/>
    <n v="467"/>
    <n v="631"/>
    <s v="Safe"/>
    <s v="4 Esch Point"/>
    <x v="78"/>
    <n v="16740"/>
    <n v="86"/>
    <s v="Backordered"/>
    <n v="16368"/>
  </r>
  <r>
    <x v="564"/>
    <x v="109"/>
    <x v="4"/>
    <s v="19-875-5642"/>
    <x v="242"/>
    <x v="21"/>
    <n v="12"/>
    <n v="82"/>
    <s v="Sufficient"/>
    <n v="0"/>
    <s v="Normal"/>
    <x v="75"/>
    <n v="107.1"/>
    <d v="2024-09-23T00:00:00"/>
    <d v="2024-01-07T00:00:00"/>
    <d v="2024-05-23T00:00:00"/>
    <n v="521"/>
    <n v="781"/>
    <n v="644"/>
    <s v="Safe"/>
    <s v="8 Kensington Place"/>
    <x v="8"/>
    <n v="5997.5999999999995"/>
    <n v="31"/>
    <s v="Backordered"/>
    <n v="5890.4999999999991"/>
  </r>
  <r>
    <x v="565"/>
    <x v="103"/>
    <x v="2"/>
    <s v="23-482-0516"/>
    <x v="40"/>
    <x v="54"/>
    <n v="72"/>
    <n v="39"/>
    <s v="Require"/>
    <n v="72"/>
    <s v="High Priority"/>
    <x v="57"/>
    <n v="209"/>
    <d v="2024-10-07T00:00:00"/>
    <d v="2024-06-24T00:00:00"/>
    <d v="2024-10-10T00:00:00"/>
    <n v="507"/>
    <n v="612"/>
    <n v="504"/>
    <s v="Expiring Soon"/>
    <s v="23704 Algoma Park"/>
    <x v="22"/>
    <n v="12331"/>
    <n v="8"/>
    <s v="Active"/>
    <n v="12122"/>
  </r>
  <r>
    <x v="566"/>
    <x v="101"/>
    <x v="6"/>
    <s v="26-454-7297"/>
    <x v="281"/>
    <x v="77"/>
    <n v="21"/>
    <n v="3"/>
    <s v="Sufficient"/>
    <n v="0"/>
    <s v="Normal"/>
    <x v="53"/>
    <n v="570"/>
    <d v="2025-01-21T00:00:00"/>
    <d v="2024-10-08T00:00:00"/>
    <d v="2024-03-14T00:00:00"/>
    <n v="401"/>
    <n v="506"/>
    <n v="714"/>
    <s v="Safe"/>
    <s v="08545 Lillian Street"/>
    <x v="2"/>
    <n v="17670"/>
    <n v="47"/>
    <s v="Discontinued"/>
    <n v="17100"/>
  </r>
  <r>
    <x v="567"/>
    <x v="22"/>
    <x v="4"/>
    <s v="72-784-3292"/>
    <x v="116"/>
    <x v="68"/>
    <n v="94"/>
    <n v="69"/>
    <s v="Require"/>
    <n v="94"/>
    <s v="High Priority"/>
    <x v="14"/>
    <n v="27.200000000000003"/>
    <d v="2025-03-01T00:00:00"/>
    <d v="2024-12-03T00:00:00"/>
    <d v="2024-07-17T00:00:00"/>
    <n v="362"/>
    <n v="450"/>
    <n v="589"/>
    <s v="Safe"/>
    <s v="59 Veith Center"/>
    <x v="40"/>
    <n v="2611.2000000000003"/>
    <n v="30"/>
    <s v="Backordered"/>
    <n v="2584.0000000000005"/>
  </r>
  <r>
    <x v="568"/>
    <x v="51"/>
    <x v="2"/>
    <s v="11-742-5033"/>
    <x v="282"/>
    <x v="71"/>
    <n v="62"/>
    <n v="11"/>
    <s v="Require"/>
    <n v="62"/>
    <s v="High Priority"/>
    <x v="7"/>
    <n v="75"/>
    <d v="2024-01-10T00:00:00"/>
    <d v="2024-01-12T00:00:00"/>
    <d v="2024-09-07T00:00:00"/>
    <n v="778"/>
    <n v="776"/>
    <n v="537"/>
    <s v="Expiring Soon"/>
    <s v="52 Namekagon Junction"/>
    <x v="42"/>
    <n v="4275"/>
    <n v="98"/>
    <s v="Backordered"/>
    <n v="4200"/>
  </r>
  <r>
    <x v="569"/>
    <x v="89"/>
    <x v="4"/>
    <s v="89-992-6472"/>
    <x v="283"/>
    <x v="66"/>
    <n v="16"/>
    <n v="37"/>
    <s v="Sufficient"/>
    <n v="0"/>
    <s v="Normal"/>
    <x v="6"/>
    <n v="215"/>
    <d v="2024-03-27T00:00:00"/>
    <d v="2024-09-05T00:00:00"/>
    <d v="2024-12-20T00:00:00"/>
    <n v="701"/>
    <n v="539"/>
    <n v="433"/>
    <s v="Expiring Soon"/>
    <s v="93321 Kennedy Point"/>
    <x v="5"/>
    <n v="7310"/>
    <n v="66"/>
    <s v="Active"/>
    <n v="7095"/>
  </r>
  <r>
    <x v="570"/>
    <x v="24"/>
    <x v="5"/>
    <s v="06-286-2758"/>
    <x v="250"/>
    <x v="41"/>
    <n v="21"/>
    <n v="47"/>
    <s v="Sufficient"/>
    <n v="0"/>
    <s v="Normal"/>
    <x v="15"/>
    <n v="205"/>
    <d v="2024-07-03T00:00:00"/>
    <d v="2025-01-01T00:00:00"/>
    <d v="2024-04-26T00:00:00"/>
    <n v="603"/>
    <n v="421"/>
    <n v="671"/>
    <s v="Safe"/>
    <s v="9269 Main Trail"/>
    <x v="25"/>
    <n v="10250"/>
    <n v="99"/>
    <s v="Active"/>
    <n v="10045"/>
  </r>
  <r>
    <x v="571"/>
    <x v="78"/>
    <x v="2"/>
    <s v="86-173-6891"/>
    <x v="284"/>
    <x v="25"/>
    <n v="54"/>
    <n v="10"/>
    <s v="Sufficient"/>
    <n v="0"/>
    <s v="Normal"/>
    <x v="6"/>
    <n v="192.5"/>
    <d v="2024-07-27T00:00:00"/>
    <d v="2024-02-10T00:00:00"/>
    <d v="2024-12-22T00:00:00"/>
    <n v="579"/>
    <n v="747"/>
    <n v="431"/>
    <s v="Expiring Soon"/>
    <s v="05 Bartelt Street"/>
    <x v="44"/>
    <n v="12320"/>
    <n v="73"/>
    <s v="Active"/>
    <n v="12127.5"/>
  </r>
  <r>
    <x v="572"/>
    <x v="9"/>
    <x v="4"/>
    <s v="78-203-1075"/>
    <x v="275"/>
    <x v="41"/>
    <n v="61"/>
    <n v="69"/>
    <s v="Require"/>
    <n v="61"/>
    <s v="High Priority"/>
    <x v="8"/>
    <n v="41"/>
    <d v="2024-07-26T00:00:00"/>
    <d v="2025-03-02T00:00:00"/>
    <d v="2024-07-27T00:00:00"/>
    <n v="580"/>
    <n v="361"/>
    <n v="579"/>
    <s v="Safe"/>
    <s v="30880 Barnett Junction"/>
    <x v="43"/>
    <n v="1230"/>
    <n v="100"/>
    <s v="Discontinued"/>
    <n v="1189"/>
  </r>
  <r>
    <x v="573"/>
    <x v="41"/>
    <x v="2"/>
    <s v="86-079-1525"/>
    <x v="72"/>
    <x v="7"/>
    <n v="8"/>
    <n v="52"/>
    <s v="Sufficient"/>
    <n v="0"/>
    <s v="Normal"/>
    <x v="85"/>
    <n v="129.80000000000001"/>
    <d v="2024-11-05T00:00:00"/>
    <d v="2024-10-12T00:00:00"/>
    <d v="2024-08-04T00:00:00"/>
    <n v="478"/>
    <n v="502"/>
    <n v="571"/>
    <s v="Safe"/>
    <s v="43211 Anzinger Drive"/>
    <x v="27"/>
    <n v="5451.6"/>
    <n v="66"/>
    <s v="Active"/>
    <n v="5321.8"/>
  </r>
  <r>
    <x v="574"/>
    <x v="80"/>
    <x v="3"/>
    <s v="54-919-9424"/>
    <x v="253"/>
    <x v="58"/>
    <n v="89"/>
    <n v="100"/>
    <s v="Require"/>
    <n v="89"/>
    <s v="High Priority"/>
    <x v="29"/>
    <n v="530"/>
    <d v="2024-01-07T00:00:00"/>
    <d v="2024-06-04T00:00:00"/>
    <d v="2024-10-06T00:00:00"/>
    <n v="781"/>
    <n v="632"/>
    <n v="508"/>
    <s v="Expiring Soon"/>
    <s v="3622 Anhalt Lane"/>
    <x v="70"/>
    <n v="11660"/>
    <n v="83"/>
    <s v="Backordered"/>
    <n v="11130"/>
  </r>
  <r>
    <x v="575"/>
    <x v="61"/>
    <x v="5"/>
    <s v="78-888-6073"/>
    <x v="23"/>
    <x v="75"/>
    <n v="29"/>
    <n v="100"/>
    <s v="Sufficient"/>
    <n v="0"/>
    <s v="Normal"/>
    <x v="15"/>
    <n v="340"/>
    <d v="2024-11-13T00:00:00"/>
    <d v="2024-09-27T00:00:00"/>
    <d v="2024-07-16T00:00:00"/>
    <n v="470"/>
    <n v="517"/>
    <n v="590"/>
    <s v="Safe"/>
    <s v="481 Mifflin Hill"/>
    <x v="73"/>
    <n v="23800"/>
    <n v="26"/>
    <s v="Backordered"/>
    <n v="23460"/>
  </r>
  <r>
    <x v="576"/>
    <x v="15"/>
    <x v="4"/>
    <s v="86-487-3354"/>
    <x v="103"/>
    <x v="6"/>
    <n v="34"/>
    <n v="57"/>
    <s v="Sufficient"/>
    <n v="0"/>
    <s v="Normal"/>
    <x v="12"/>
    <n v="768"/>
    <d v="2024-11-23T00:00:00"/>
    <d v="2024-10-20T00:00:00"/>
    <d v="2024-06-19T00:00:00"/>
    <n v="460"/>
    <n v="494"/>
    <n v="617"/>
    <s v="Safe"/>
    <s v="3831 Goodland Road"/>
    <x v="75"/>
    <n v="54528"/>
    <n v="17"/>
    <s v="Discontinued"/>
    <n v="53760"/>
  </r>
  <r>
    <x v="577"/>
    <x v="64"/>
    <x v="2"/>
    <s v="91-632-7343"/>
    <x v="40"/>
    <x v="64"/>
    <n v="4"/>
    <n v="31"/>
    <s v="Sufficient"/>
    <n v="0"/>
    <s v="Normal"/>
    <x v="11"/>
    <n v="231"/>
    <d v="2024-03-13T00:00:00"/>
    <d v="2025-12-01T00:00:00"/>
    <d v="2024-06-14T00:00:00"/>
    <n v="715"/>
    <n v="87"/>
    <n v="622"/>
    <s v="Safe"/>
    <s v="4374 Corry Terrace"/>
    <x v="17"/>
    <n v="10626"/>
    <n v="92"/>
    <s v="Active"/>
    <n v="10395"/>
  </r>
  <r>
    <x v="578"/>
    <x v="78"/>
    <x v="2"/>
    <s v="53-243-7800"/>
    <x v="230"/>
    <x v="64"/>
    <n v="89"/>
    <n v="15"/>
    <s v="Require"/>
    <n v="89"/>
    <s v="High Priority"/>
    <x v="6"/>
    <n v="82.5"/>
    <d v="2024-08-27T00:00:00"/>
    <d v="2024-06-20T00:00:00"/>
    <d v="2024-10-28T00:00:00"/>
    <n v="548"/>
    <n v="616"/>
    <n v="486"/>
    <s v="Expiring Soon"/>
    <s v="1 Hudson Hill"/>
    <x v="54"/>
    <n v="7425"/>
    <n v="52"/>
    <s v="Discontinued"/>
    <n v="7342.5"/>
  </r>
  <r>
    <x v="579"/>
    <x v="94"/>
    <x v="2"/>
    <s v="23-688-6256"/>
    <x v="285"/>
    <x v="82"/>
    <n v="17"/>
    <n v="17"/>
    <s v="Sufficient"/>
    <n v="0"/>
    <s v="Normal"/>
    <x v="7"/>
    <n v="270"/>
    <d v="2024-03-31T00:00:00"/>
    <d v="2024-03-09T00:00:00"/>
    <d v="2024-03-10T00:00:00"/>
    <n v="697"/>
    <n v="719"/>
    <n v="718"/>
    <s v="Safe"/>
    <s v="402 Kings Road"/>
    <x v="19"/>
    <n v="22140"/>
    <n v="84"/>
    <s v="Backordered"/>
    <n v="21870"/>
  </r>
  <r>
    <x v="580"/>
    <x v="104"/>
    <x v="0"/>
    <s v="33-733-7313"/>
    <x v="84"/>
    <x v="22"/>
    <n v="29"/>
    <n v="57"/>
    <s v="Sufficient"/>
    <n v="0"/>
    <s v="Normal"/>
    <x v="6"/>
    <n v="77.5"/>
    <d v="2024-10-26T00:00:00"/>
    <d v="2024-06-18T00:00:00"/>
    <d v="2024-10-11T00:00:00"/>
    <n v="488"/>
    <n v="618"/>
    <n v="503"/>
    <s v="Expiring Soon"/>
    <s v="9951 Petterle Alley"/>
    <x v="28"/>
    <n v="1937.5"/>
    <n v="22"/>
    <s v="Active"/>
    <n v="1860"/>
  </r>
  <r>
    <x v="581"/>
    <x v="91"/>
    <x v="2"/>
    <s v="61-424-7670"/>
    <x v="286"/>
    <x v="40"/>
    <n v="3"/>
    <n v="81"/>
    <s v="Sufficient"/>
    <n v="0"/>
    <s v="Normal"/>
    <x v="15"/>
    <n v="460"/>
    <d v="2024-05-04T00:00:00"/>
    <d v="2024-02-25T00:00:00"/>
    <d v="2024-12-19T00:00:00"/>
    <n v="663"/>
    <n v="732"/>
    <n v="434"/>
    <s v="Expiring Soon"/>
    <s v="0282 Emmet Hill"/>
    <x v="4"/>
    <n v="28520"/>
    <n v="20"/>
    <s v="Backordered"/>
    <n v="28060"/>
  </r>
  <r>
    <x v="582"/>
    <x v="78"/>
    <x v="2"/>
    <s v="52-012-3409"/>
    <x v="190"/>
    <x v="57"/>
    <n v="31"/>
    <n v="18"/>
    <s v="Sufficient"/>
    <n v="0"/>
    <s v="Normal"/>
    <x v="6"/>
    <n v="165"/>
    <d v="2024-06-04T00:00:00"/>
    <d v="2024-12-28T00:00:00"/>
    <d v="2024-04-08T00:00:00"/>
    <n v="632"/>
    <n v="425"/>
    <n v="689"/>
    <s v="Safe"/>
    <s v="6292 Chive Street"/>
    <x v="1"/>
    <n v="14025"/>
    <n v="39"/>
    <s v="Backordered"/>
    <n v="13860"/>
  </r>
  <r>
    <x v="583"/>
    <x v="95"/>
    <x v="6"/>
    <s v="82-470-7146"/>
    <x v="211"/>
    <x v="88"/>
    <n v="17"/>
    <n v="39"/>
    <s v="Sufficient"/>
    <n v="0"/>
    <s v="Normal"/>
    <x v="29"/>
    <n v="830"/>
    <d v="2024-03-06T00:00:00"/>
    <d v="2024-11-07T00:00:00"/>
    <d v="2024-03-31T00:00:00"/>
    <n v="722"/>
    <n v="476"/>
    <n v="697"/>
    <s v="Safe"/>
    <s v="31 Loomis Park"/>
    <x v="55"/>
    <n v="27390"/>
    <n v="20"/>
    <s v="Active"/>
    <n v="26560"/>
  </r>
  <r>
    <x v="584"/>
    <x v="34"/>
    <x v="2"/>
    <s v="42-080-6579"/>
    <x v="268"/>
    <x v="36"/>
    <n v="9"/>
    <n v="46"/>
    <s v="Sufficient"/>
    <n v="0"/>
    <s v="Normal"/>
    <x v="15"/>
    <n v="420"/>
    <d v="2024-08-06T00:00:00"/>
    <d v="2024-05-19T00:00:00"/>
    <d v="2024-12-10T00:00:00"/>
    <n v="569"/>
    <n v="648"/>
    <n v="443"/>
    <s v="Expiring Soon"/>
    <s v="44051 Old Shore Junction"/>
    <x v="43"/>
    <n v="12600"/>
    <n v="68"/>
    <s v="Backordered"/>
    <n v="12180"/>
  </r>
  <r>
    <x v="585"/>
    <x v="30"/>
    <x v="6"/>
    <s v="15-466-5131"/>
    <x v="286"/>
    <x v="77"/>
    <n v="57"/>
    <n v="78"/>
    <s v="Sufficient"/>
    <n v="0"/>
    <s v="Normal"/>
    <x v="18"/>
    <n v="684"/>
    <d v="2024-06-18T00:00:00"/>
    <d v="2024-06-27T00:00:00"/>
    <d v="2024-04-28T00:00:00"/>
    <n v="618"/>
    <n v="609"/>
    <n v="669"/>
    <s v="Safe"/>
    <s v="12 Luster Terrace"/>
    <x v="20"/>
    <n v="35568"/>
    <n v="86"/>
    <s v="Discontinued"/>
    <n v="34884"/>
  </r>
  <r>
    <x v="586"/>
    <x v="75"/>
    <x v="2"/>
    <s v="95-734-4024"/>
    <x v="134"/>
    <x v="11"/>
    <n v="1"/>
    <n v="9"/>
    <s v="Sufficient"/>
    <n v="0"/>
    <s v="Normal"/>
    <x v="2"/>
    <n v="156"/>
    <d v="2025-10-02T00:00:00"/>
    <d v="2024-05-04T00:00:00"/>
    <d v="2024-12-02T00:00:00"/>
    <n v="147"/>
    <n v="663"/>
    <n v="451"/>
    <s v="Expiring Soon"/>
    <s v="03 Little Fleur Pass"/>
    <x v="19"/>
    <n v="12792"/>
    <n v="8"/>
    <s v="Backordered"/>
    <n v="12636"/>
  </r>
  <r>
    <x v="587"/>
    <x v="43"/>
    <x v="1"/>
    <s v="22-959-6357"/>
    <x v="287"/>
    <x v="33"/>
    <n v="31"/>
    <n v="100"/>
    <s v="Sufficient"/>
    <n v="0"/>
    <s v="Normal"/>
    <x v="46"/>
    <n v="762.5"/>
    <d v="2024-12-30T00:00:00"/>
    <d v="2024-03-16T00:00:00"/>
    <d v="2024-09-26T00:00:00"/>
    <n v="423"/>
    <n v="712"/>
    <n v="518"/>
    <s v="Expiring Soon"/>
    <s v="87 Bluestem Parkway"/>
    <x v="3"/>
    <n v="72437.5"/>
    <n v="61"/>
    <s v="Active"/>
    <n v="71675"/>
  </r>
  <r>
    <x v="588"/>
    <x v="107"/>
    <x v="4"/>
    <s v="63-528-0643"/>
    <x v="97"/>
    <x v="72"/>
    <n v="75"/>
    <n v="78"/>
    <s v="Require"/>
    <n v="75"/>
    <s v="High Priority"/>
    <x v="67"/>
    <n v="28.5"/>
    <d v="2025-01-02T00:00:00"/>
    <d v="2025-12-02T00:00:00"/>
    <d v="2025-02-14T00:00:00"/>
    <n v="420"/>
    <n v="86"/>
    <n v="377"/>
    <s v="Expiring Soon"/>
    <s v="87578 Stoughton Parkway"/>
    <x v="75"/>
    <n v="2023.5"/>
    <n v="21"/>
    <s v="Discontinued"/>
    <n v="1995"/>
  </r>
  <r>
    <x v="589"/>
    <x v="106"/>
    <x v="2"/>
    <s v="15-062-6342"/>
    <x v="288"/>
    <x v="49"/>
    <n v="83"/>
    <n v="74"/>
    <s v="Require"/>
    <n v="83"/>
    <s v="High Priority"/>
    <x v="15"/>
    <n v="365"/>
    <d v="2024-03-29T00:00:00"/>
    <d v="2025-05-02T00:00:00"/>
    <d v="2024-07-22T00:00:00"/>
    <n v="699"/>
    <n v="300"/>
    <n v="584"/>
    <s v="Safe"/>
    <s v="8 Hanover Center"/>
    <x v="80"/>
    <n v="31755"/>
    <n v="10"/>
    <s v="Discontinued"/>
    <n v="31390"/>
  </r>
  <r>
    <x v="590"/>
    <x v="92"/>
    <x v="0"/>
    <s v="26-080-4944"/>
    <x v="32"/>
    <x v="41"/>
    <n v="76"/>
    <n v="47"/>
    <s v="Require"/>
    <n v="76"/>
    <s v="High Priority"/>
    <x v="86"/>
    <n v="108.64999999999999"/>
    <d v="2024-09-15T00:00:00"/>
    <d v="2024-04-20T00:00:00"/>
    <d v="2024-06-06T00:00:00"/>
    <n v="529"/>
    <n v="677"/>
    <n v="630"/>
    <s v="Safe"/>
    <s v="78 Forest Dale Road"/>
    <x v="25"/>
    <n v="5432.5"/>
    <n v="50"/>
    <s v="Backordered"/>
    <n v="5323.85"/>
  </r>
  <r>
    <x v="591"/>
    <x v="80"/>
    <x v="3"/>
    <s v="17-494-5505"/>
    <x v="5"/>
    <x v="39"/>
    <n v="75"/>
    <n v="10"/>
    <s v="Require"/>
    <n v="75"/>
    <s v="High Priority"/>
    <x v="29"/>
    <n v="140"/>
    <d v="2024-04-10T00:00:00"/>
    <d v="2025-01-25T00:00:00"/>
    <d v="2024-07-01T00:00:00"/>
    <n v="687"/>
    <n v="397"/>
    <n v="605"/>
    <s v="Safe"/>
    <s v="591 Maple Junction"/>
    <x v="29"/>
    <n v="9100"/>
    <n v="62"/>
    <s v="Active"/>
    <n v="8960"/>
  </r>
  <r>
    <x v="592"/>
    <x v="34"/>
    <x v="2"/>
    <s v="69-832-7009"/>
    <x v="134"/>
    <x v="47"/>
    <n v="59"/>
    <n v="12"/>
    <s v="Sufficient"/>
    <n v="0"/>
    <s v="Normal"/>
    <x v="15"/>
    <n v="495"/>
    <d v="2024-06-24T00:00:00"/>
    <d v="2024-09-20T00:00:00"/>
    <d v="2025-02-12T00:00:00"/>
    <n v="612"/>
    <n v="524"/>
    <n v="379"/>
    <s v="Expiring Soon"/>
    <s v="1 Judy Street"/>
    <x v="20"/>
    <n v="25740"/>
    <n v="57"/>
    <s v="Backordered"/>
    <n v="25245"/>
  </r>
  <r>
    <x v="593"/>
    <x v="91"/>
    <x v="2"/>
    <s v="26-920-6626"/>
    <x v="289"/>
    <x v="76"/>
    <n v="6"/>
    <n v="92"/>
    <s v="Sufficient"/>
    <n v="0"/>
    <s v="Normal"/>
    <x v="15"/>
    <n v="400"/>
    <d v="2025-01-14T00:00:00"/>
    <d v="2025-01-20T00:00:00"/>
    <d v="2024-09-16T00:00:00"/>
    <n v="408"/>
    <n v="402"/>
    <n v="528"/>
    <s v="Expiring Soon"/>
    <s v="49770 Hoffman Court"/>
    <x v="51"/>
    <n v="10400"/>
    <n v="71"/>
    <s v="Discontinued"/>
    <n v="10000"/>
  </r>
  <r>
    <x v="594"/>
    <x v="51"/>
    <x v="2"/>
    <s v="58-945-2944"/>
    <x v="196"/>
    <x v="16"/>
    <n v="89"/>
    <n v="65"/>
    <s v="Require"/>
    <n v="89"/>
    <s v="High Priority"/>
    <x v="7"/>
    <n v="147"/>
    <d v="2024-05-24T00:00:00"/>
    <d v="2024-11-08T00:00:00"/>
    <d v="2024-05-17T00:00:00"/>
    <n v="643"/>
    <n v="475"/>
    <n v="650"/>
    <s v="Safe"/>
    <s v="04 Rockefeller Terrace"/>
    <x v="36"/>
    <n v="5439"/>
    <n v="48"/>
    <s v="Active"/>
    <n v="5292"/>
  </r>
  <r>
    <x v="595"/>
    <x v="103"/>
    <x v="2"/>
    <s v="28-442-2578"/>
    <x v="100"/>
    <x v="71"/>
    <n v="74"/>
    <n v="100"/>
    <s v="Require"/>
    <n v="74"/>
    <s v="High Priority"/>
    <x v="57"/>
    <n v="137.5"/>
    <d v="2024-07-06T00:00:00"/>
    <d v="2024-07-12T00:00:00"/>
    <d v="2024-12-04T00:00:00"/>
    <n v="600"/>
    <n v="594"/>
    <n v="449"/>
    <s v="Expiring Soon"/>
    <s v="1 Elmside Parkway"/>
    <x v="69"/>
    <n v="5637.5"/>
    <n v="59"/>
    <s v="Discontinued"/>
    <n v="5500"/>
  </r>
  <r>
    <x v="596"/>
    <x v="90"/>
    <x v="3"/>
    <s v="07-578-7055"/>
    <x v="81"/>
    <x v="30"/>
    <n v="78"/>
    <n v="97"/>
    <s v="Require"/>
    <n v="78"/>
    <s v="High Priority"/>
    <x v="42"/>
    <n v="253.5"/>
    <d v="2024-10-29T00:00:00"/>
    <d v="2024-10-19T00:00:00"/>
    <d v="2024-07-17T00:00:00"/>
    <n v="485"/>
    <n v="495"/>
    <n v="589"/>
    <s v="Safe"/>
    <s v="9 Meadow Vale Drive"/>
    <x v="46"/>
    <n v="13689"/>
    <n v="89"/>
    <s v="Backordered"/>
    <n v="13435.5"/>
  </r>
  <r>
    <x v="597"/>
    <x v="41"/>
    <x v="2"/>
    <s v="02-656-3112"/>
    <x v="290"/>
    <x v="14"/>
    <n v="58"/>
    <n v="17"/>
    <s v="Sufficient"/>
    <n v="0"/>
    <s v="Normal"/>
    <x v="23"/>
    <n v="272.59999999999997"/>
    <d v="2024-01-08T00:00:00"/>
    <d v="2024-05-07T00:00:00"/>
    <d v="2024-12-19T00:00:00"/>
    <n v="780"/>
    <n v="660"/>
    <n v="434"/>
    <s v="Expiring Soon"/>
    <s v="3 Bashford Court"/>
    <x v="42"/>
    <n v="15538.199999999999"/>
    <n v="74"/>
    <s v="Backordered"/>
    <n v="15265.599999999999"/>
  </r>
  <r>
    <x v="598"/>
    <x v="44"/>
    <x v="6"/>
    <s v="15-550-0171"/>
    <x v="2"/>
    <x v="73"/>
    <n v="17"/>
    <n v="59"/>
    <s v="Require"/>
    <n v="17"/>
    <s v="Normal"/>
    <x v="2"/>
    <n v="66"/>
    <d v="2024-07-20T00:00:00"/>
    <d v="2024-03-27T00:00:00"/>
    <d v="2024-04-08T00:00:00"/>
    <n v="586"/>
    <n v="701"/>
    <n v="689"/>
    <s v="Safe"/>
    <s v="111 David Hill"/>
    <x v="12"/>
    <n v="4554"/>
    <n v="100"/>
    <s v="Backordered"/>
    <n v="4488"/>
  </r>
  <r>
    <x v="599"/>
    <x v="59"/>
    <x v="3"/>
    <s v="58-213-1146"/>
    <x v="52"/>
    <x v="55"/>
    <n v="52"/>
    <n v="80"/>
    <s v="Require"/>
    <n v="52"/>
    <s v="Normal"/>
    <x v="4"/>
    <n v="84"/>
    <d v="2024-03-06T00:00:00"/>
    <d v="2024-04-11T00:00:00"/>
    <d v="2025-01-01T00:00:00"/>
    <n v="722"/>
    <n v="686"/>
    <n v="421"/>
    <s v="Expiring Soon"/>
    <s v="1170 Shasta Circle"/>
    <x v="65"/>
    <n v="4116"/>
    <n v="37"/>
    <s v="Backordered"/>
    <n v="4032"/>
  </r>
  <r>
    <x v="600"/>
    <x v="39"/>
    <x v="2"/>
    <s v="53-749-6148"/>
    <x v="279"/>
    <x v="54"/>
    <n v="91"/>
    <n v="94"/>
    <s v="Require"/>
    <n v="91"/>
    <s v="High Priority"/>
    <x v="87"/>
    <n v="216.6"/>
    <d v="2024-12-07T00:00:00"/>
    <d v="2025-02-17T00:00:00"/>
    <d v="2024-11-21T00:00:00"/>
    <n v="446"/>
    <n v="374"/>
    <n v="462"/>
    <s v="Expiring Soon"/>
    <s v="555 Butternut Hill"/>
    <x v="59"/>
    <n v="11479.8"/>
    <n v="87"/>
    <s v="Discontinued"/>
    <n v="11263.199999999999"/>
  </r>
  <r>
    <x v="601"/>
    <x v="63"/>
    <x v="3"/>
    <s v="64-604-1679"/>
    <x v="74"/>
    <x v="62"/>
    <n v="23"/>
    <n v="66"/>
    <s v="Sufficient"/>
    <n v="0"/>
    <s v="Normal"/>
    <x v="26"/>
    <n v="104.4"/>
    <d v="2024-04-29T00:00:00"/>
    <d v="2024-12-05T00:00:00"/>
    <d v="2025-02-24T00:00:00"/>
    <n v="668"/>
    <n v="448"/>
    <n v="367"/>
    <s v="Expiring Soon"/>
    <s v="7232 Ridgeway Center"/>
    <x v="19"/>
    <n v="8560.8000000000011"/>
    <n v="61"/>
    <s v="Backordered"/>
    <n v="8456.4000000000015"/>
  </r>
  <r>
    <x v="602"/>
    <x v="4"/>
    <x v="2"/>
    <s v="67-252-3923"/>
    <x v="287"/>
    <x v="42"/>
    <n v="16"/>
    <n v="74"/>
    <s v="Sufficient"/>
    <n v="0"/>
    <s v="Normal"/>
    <x v="35"/>
    <n v="327.25"/>
    <d v="2024-11-18T00:00:00"/>
    <d v="2024-08-10T00:00:00"/>
    <d v="2024-12-03T00:00:00"/>
    <n v="465"/>
    <n v="565"/>
    <n v="450"/>
    <s v="Expiring Soon"/>
    <s v="8 Oriole Terrace"/>
    <x v="63"/>
    <n v="18980.5"/>
    <n v="36"/>
    <s v="Backordered"/>
    <n v="18653.25"/>
  </r>
  <r>
    <x v="603"/>
    <x v="78"/>
    <x v="2"/>
    <s v="41-713-1053"/>
    <x v="2"/>
    <x v="21"/>
    <n v="62"/>
    <n v="98"/>
    <s v="Sufficient"/>
    <n v="0"/>
    <s v="Normal"/>
    <x v="6"/>
    <n v="157.5"/>
    <d v="2024-05-30T00:00:00"/>
    <d v="2024-03-21T00:00:00"/>
    <d v="2025-01-22T00:00:00"/>
    <n v="637"/>
    <n v="707"/>
    <n v="400"/>
    <s v="Expiring Soon"/>
    <s v="611 Fieldstone Drive"/>
    <x v="4"/>
    <n v="9765"/>
    <n v="45"/>
    <s v="Backordered"/>
    <n v="9607.5"/>
  </r>
  <r>
    <x v="604"/>
    <x v="117"/>
    <x v="3"/>
    <s v="16-474-4516"/>
    <x v="291"/>
    <x v="13"/>
    <n v="86"/>
    <n v="69"/>
    <s v="Require"/>
    <n v="86"/>
    <s v="High Priority"/>
    <x v="15"/>
    <n v="270"/>
    <d v="2024-11-26T00:00:00"/>
    <d v="2024-08-15T00:00:00"/>
    <d v="2024-04-08T00:00:00"/>
    <n v="457"/>
    <n v="560"/>
    <n v="689"/>
    <s v="Safe"/>
    <s v="08896 Evergreen Avenue"/>
    <x v="18"/>
    <n v="7830"/>
    <n v="8"/>
    <s v="Discontinued"/>
    <n v="7560"/>
  </r>
  <r>
    <x v="605"/>
    <x v="119"/>
    <x v="2"/>
    <s v="07-410-2867"/>
    <x v="95"/>
    <x v="2"/>
    <n v="25"/>
    <n v="11"/>
    <s v="Sufficient"/>
    <n v="0"/>
    <s v="Normal"/>
    <x v="12"/>
    <n v="240"/>
    <d v="2024-12-25T00:00:00"/>
    <d v="2024-12-07T00:00:00"/>
    <d v="2024-06-28T00:00:00"/>
    <n v="428"/>
    <n v="446"/>
    <n v="608"/>
    <s v="Safe"/>
    <s v="734 Thackeray Avenue"/>
    <x v="27"/>
    <n v="10080"/>
    <n v="76"/>
    <s v="Active"/>
    <n v="9840"/>
  </r>
  <r>
    <x v="606"/>
    <x v="78"/>
    <x v="2"/>
    <s v="70-064-6828"/>
    <x v="139"/>
    <x v="63"/>
    <n v="25"/>
    <n v="98"/>
    <s v="Sufficient"/>
    <n v="0"/>
    <s v="Normal"/>
    <x v="6"/>
    <n v="142.5"/>
    <d v="2024-06-14T00:00:00"/>
    <d v="2024-02-25T00:00:00"/>
    <d v="2024-05-14T00:00:00"/>
    <n v="622"/>
    <n v="732"/>
    <n v="653"/>
    <s v="Safe"/>
    <s v="973 Spaight Place"/>
    <x v="16"/>
    <n v="11115"/>
    <n v="37"/>
    <s v="Active"/>
    <n v="10972.5"/>
  </r>
  <r>
    <x v="607"/>
    <x v="87"/>
    <x v="3"/>
    <s v="94-261-1193"/>
    <x v="181"/>
    <x v="27"/>
    <n v="72"/>
    <n v="71"/>
    <s v="Require"/>
    <n v="72"/>
    <s v="High Priority"/>
    <x v="10"/>
    <n v="36"/>
    <d v="2024-05-05T00:00:00"/>
    <d v="2024-12-08T00:00:00"/>
    <d v="2024-06-20T00:00:00"/>
    <n v="662"/>
    <n v="445"/>
    <n v="616"/>
    <s v="Safe"/>
    <s v="5 Colorado Park"/>
    <x v="28"/>
    <n v="900"/>
    <n v="81"/>
    <s v="Active"/>
    <n v="864"/>
  </r>
  <r>
    <x v="608"/>
    <x v="82"/>
    <x v="6"/>
    <s v="80-622-6587"/>
    <x v="292"/>
    <x v="24"/>
    <n v="34"/>
    <n v="89"/>
    <s v="Require"/>
    <n v="34"/>
    <s v="Normal"/>
    <x v="39"/>
    <n v="288"/>
    <d v="2024-12-26T00:00:00"/>
    <d v="2024-02-27T00:00:00"/>
    <d v="2024-04-29T00:00:00"/>
    <n v="427"/>
    <n v="730"/>
    <n v="668"/>
    <s v="Safe"/>
    <s v="811 Dapin Center"/>
    <x v="41"/>
    <n v="10080"/>
    <n v="52"/>
    <s v="Backordered"/>
    <n v="9792"/>
  </r>
  <r>
    <x v="609"/>
    <x v="83"/>
    <x v="4"/>
    <s v="94-958-6101"/>
    <x v="158"/>
    <x v="30"/>
    <n v="80"/>
    <n v="68"/>
    <s v="Require"/>
    <n v="80"/>
    <s v="High Priority"/>
    <x v="6"/>
    <n v="97.5"/>
    <d v="2024-07-20T00:00:00"/>
    <d v="2024-06-08T00:00:00"/>
    <d v="2024-08-15T00:00:00"/>
    <n v="586"/>
    <n v="628"/>
    <n v="560"/>
    <s v="Safe"/>
    <s v="25 Nancy Place"/>
    <x v="17"/>
    <n v="4485"/>
    <n v="54"/>
    <s v="Discontinued"/>
    <n v="4387.5"/>
  </r>
  <r>
    <x v="610"/>
    <x v="35"/>
    <x v="2"/>
    <s v="53-247-1844"/>
    <x v="274"/>
    <x v="43"/>
    <n v="82"/>
    <n v="69"/>
    <s v="Require"/>
    <n v="82"/>
    <s v="High Priority"/>
    <x v="62"/>
    <n v="144.55000000000001"/>
    <d v="2024-04-05T00:00:00"/>
    <d v="2024-03-25T00:00:00"/>
    <d v="2024-03-03T00:00:00"/>
    <n v="692"/>
    <n v="703"/>
    <n v="725"/>
    <s v="Safe"/>
    <s v="01 Straubel Hill"/>
    <x v="43"/>
    <n v="4336.5"/>
    <n v="34"/>
    <s v="Discontinued"/>
    <n v="4191.95"/>
  </r>
  <r>
    <x v="611"/>
    <x v="115"/>
    <x v="6"/>
    <s v="52-359-1255"/>
    <x v="293"/>
    <x v="70"/>
    <n v="28"/>
    <n v="4"/>
    <s v="Sufficient"/>
    <n v="0"/>
    <s v="Normal"/>
    <x v="21"/>
    <n v="1185"/>
    <d v="2025-01-02T00:00:00"/>
    <d v="2024-09-20T00:00:00"/>
    <d v="2024-05-17T00:00:00"/>
    <n v="420"/>
    <n v="524"/>
    <n v="650"/>
    <s v="Safe"/>
    <s v="21 Golden Leaf Hill"/>
    <x v="27"/>
    <n v="49770"/>
    <n v="46"/>
    <s v="Active"/>
    <n v="48585"/>
  </r>
  <r>
    <x v="612"/>
    <x v="22"/>
    <x v="4"/>
    <s v="16-933-3355"/>
    <x v="64"/>
    <x v="87"/>
    <n v="61"/>
    <n v="6"/>
    <s v="Sufficient"/>
    <n v="0"/>
    <s v="Normal"/>
    <x v="14"/>
    <n v="62.400000000000006"/>
    <d v="2024-05-27T00:00:00"/>
    <d v="2024-06-10T00:00:00"/>
    <d v="2024-12-18T00:00:00"/>
    <n v="640"/>
    <n v="626"/>
    <n v="435"/>
    <s v="Expiring Soon"/>
    <s v="9738 Old Shore Trail"/>
    <x v="65"/>
    <n v="3057.6000000000004"/>
    <n v="60"/>
    <s v="Active"/>
    <n v="2995.2000000000003"/>
  </r>
  <r>
    <x v="613"/>
    <x v="0"/>
    <x v="0"/>
    <s v="77-471-0792"/>
    <x v="294"/>
    <x v="0"/>
    <n v="10"/>
    <n v="53"/>
    <s v="Sufficient"/>
    <n v="0"/>
    <s v="Normal"/>
    <x v="50"/>
    <n v="93.5"/>
    <d v="2024-08-08T00:00:00"/>
    <d v="2024-10-26T00:00:00"/>
    <d v="2024-04-14T00:00:00"/>
    <n v="567"/>
    <n v="488"/>
    <n v="683"/>
    <s v="Safe"/>
    <s v="07855 Goodland Lane"/>
    <x v="44"/>
    <n v="5984"/>
    <n v="7"/>
    <s v="Active"/>
    <n v="5890.5"/>
  </r>
  <r>
    <x v="614"/>
    <x v="120"/>
    <x v="4"/>
    <s v="18-260-7354"/>
    <x v="295"/>
    <x v="78"/>
    <n v="17"/>
    <n v="70"/>
    <s v="Require"/>
    <n v="17"/>
    <s v="Normal"/>
    <x v="88"/>
    <n v="2"/>
    <d v="2024-12-29T00:00:00"/>
    <d v="2024-12-23T00:00:00"/>
    <d v="2024-09-08T00:00:00"/>
    <n v="424"/>
    <n v="430"/>
    <n v="536"/>
    <s v="Expiring Soon"/>
    <s v="1 Jackson Pass"/>
    <x v="10"/>
    <n v="200"/>
    <n v="63"/>
    <s v="Backordered"/>
    <n v="198"/>
  </r>
  <r>
    <x v="615"/>
    <x v="54"/>
    <x v="0"/>
    <s v="43-575-2151"/>
    <x v="115"/>
    <x v="68"/>
    <n v="32"/>
    <n v="22"/>
    <s v="Sufficient"/>
    <n v="0"/>
    <s v="Normal"/>
    <x v="0"/>
    <n v="153"/>
    <d v="2024-02-05T00:00:00"/>
    <d v="2024-02-11T00:00:00"/>
    <d v="2025-02-07T00:00:00"/>
    <n v="752"/>
    <n v="746"/>
    <n v="384"/>
    <s v="Expiring Soon"/>
    <s v="31 Sullivan Hill"/>
    <x v="27"/>
    <n v="6426"/>
    <n v="27"/>
    <s v="Active"/>
    <n v="6273"/>
  </r>
  <r>
    <x v="616"/>
    <x v="52"/>
    <x v="4"/>
    <s v="07-432-0137"/>
    <x v="83"/>
    <x v="59"/>
    <n v="62"/>
    <n v="6"/>
    <s v="Sufficient"/>
    <n v="0"/>
    <s v="Normal"/>
    <x v="4"/>
    <n v="296"/>
    <d v="2024-12-27T00:00:00"/>
    <d v="2025-01-13T00:00:00"/>
    <d v="2024-08-14T00:00:00"/>
    <n v="426"/>
    <n v="409"/>
    <n v="561"/>
    <s v="Safe"/>
    <s v="7943 Amoth Parkway"/>
    <x v="29"/>
    <n v="19240"/>
    <n v="96"/>
    <s v="Active"/>
    <n v="18944"/>
  </r>
  <r>
    <x v="617"/>
    <x v="0"/>
    <x v="0"/>
    <s v="93-625-4768"/>
    <x v="136"/>
    <x v="78"/>
    <n v="11"/>
    <n v="29"/>
    <s v="Require"/>
    <n v="11"/>
    <s v="Normal"/>
    <x v="36"/>
    <n v="43"/>
    <d v="2025-02-13T00:00:00"/>
    <d v="2024-08-10T00:00:00"/>
    <d v="2024-07-22T00:00:00"/>
    <n v="378"/>
    <n v="565"/>
    <n v="584"/>
    <s v="Safe"/>
    <s v="91 Gateway Pass"/>
    <x v="18"/>
    <n v="1247"/>
    <n v="72"/>
    <s v="Backordered"/>
    <n v="1204"/>
  </r>
  <r>
    <x v="618"/>
    <x v="96"/>
    <x v="0"/>
    <s v="79-656-1990"/>
    <x v="161"/>
    <x v="73"/>
    <n v="87"/>
    <n v="64"/>
    <s v="Require"/>
    <n v="87"/>
    <s v="High Priority"/>
    <x v="0"/>
    <n v="49.5"/>
    <d v="2024-08-30T00:00:00"/>
    <d v="2024-08-06T00:00:00"/>
    <d v="2024-06-05T00:00:00"/>
    <n v="545"/>
    <n v="569"/>
    <n v="631"/>
    <s v="Safe"/>
    <s v="28 Boyd Pass"/>
    <x v="18"/>
    <n v="1435.5"/>
    <n v="6"/>
    <s v="Active"/>
    <n v="1386"/>
  </r>
  <r>
    <x v="619"/>
    <x v="103"/>
    <x v="2"/>
    <s v="80-462-5807"/>
    <x v="249"/>
    <x v="47"/>
    <n v="68"/>
    <n v="1"/>
    <s v="Sufficient"/>
    <n v="0"/>
    <s v="Normal"/>
    <x v="57"/>
    <n v="544.5"/>
    <d v="2024-07-13T00:00:00"/>
    <d v="2024-02-25T00:00:00"/>
    <d v="2024-09-08T00:00:00"/>
    <n v="593"/>
    <n v="732"/>
    <n v="536"/>
    <s v="Expiring Soon"/>
    <s v="38 Esch Pass"/>
    <x v="22"/>
    <n v="32125.5"/>
    <n v="16"/>
    <s v="Discontinued"/>
    <n v="31581"/>
  </r>
  <r>
    <x v="620"/>
    <x v="15"/>
    <x v="4"/>
    <s v="92-991-6167"/>
    <x v="120"/>
    <x v="56"/>
    <n v="14"/>
    <n v="44"/>
    <s v="Sufficient"/>
    <n v="0"/>
    <s v="Normal"/>
    <x v="12"/>
    <n v="512"/>
    <d v="2024-06-23T00:00:00"/>
    <d v="2024-05-16T00:00:00"/>
    <d v="2024-12-29T00:00:00"/>
    <n v="613"/>
    <n v="651"/>
    <n v="424"/>
    <s v="Expiring Soon"/>
    <s v="6 Susan Alley"/>
    <x v="59"/>
    <n v="27136"/>
    <n v="33"/>
    <s v="Active"/>
    <n v="26624"/>
  </r>
  <r>
    <x v="621"/>
    <x v="25"/>
    <x v="2"/>
    <s v="60-394-8955"/>
    <x v="296"/>
    <x v="62"/>
    <n v="55"/>
    <n v="5"/>
    <s v="Sufficient"/>
    <n v="0"/>
    <s v="Normal"/>
    <x v="24"/>
    <n v="258.10000000000002"/>
    <d v="2024-12-31T00:00:00"/>
    <d v="2024-04-17T00:00:00"/>
    <d v="2025-01-06T00:00:00"/>
    <n v="422"/>
    <n v="680"/>
    <n v="416"/>
    <s v="Expiring Soon"/>
    <s v="0 Ruskin Way"/>
    <x v="4"/>
    <n v="16002.2"/>
    <n v="89"/>
    <s v="Active"/>
    <n v="15744.1"/>
  </r>
  <r>
    <x v="622"/>
    <x v="6"/>
    <x v="3"/>
    <s v="51-054-1226"/>
    <x v="28"/>
    <x v="11"/>
    <n v="100"/>
    <n v="13"/>
    <s v="Require"/>
    <n v="100"/>
    <s v="High Priority"/>
    <x v="6"/>
    <n v="65"/>
    <d v="2024-11-23T00:00:00"/>
    <d v="2024-09-18T00:00:00"/>
    <d v="2025-01-07T00:00:00"/>
    <n v="460"/>
    <n v="526"/>
    <n v="415"/>
    <s v="Expiring Soon"/>
    <s v="92486 Laurel Alley"/>
    <x v="78"/>
    <n v="2925"/>
    <n v="45"/>
    <s v="Discontinued"/>
    <n v="2860"/>
  </r>
  <r>
    <x v="623"/>
    <x v="21"/>
    <x v="0"/>
    <s v="54-132-9762"/>
    <x v="111"/>
    <x v="18"/>
    <n v="72"/>
    <n v="68"/>
    <s v="Require"/>
    <n v="72"/>
    <s v="High Priority"/>
    <x v="3"/>
    <n v="108"/>
    <d v="2024-09-29T00:00:00"/>
    <d v="2024-06-26T00:00:00"/>
    <d v="2024-11-17T00:00:00"/>
    <n v="515"/>
    <n v="610"/>
    <n v="466"/>
    <s v="Expiring Soon"/>
    <s v="365 Vera Terrace"/>
    <x v="34"/>
    <n v="4212"/>
    <n v="78"/>
    <s v="Active"/>
    <n v="4104"/>
  </r>
  <r>
    <x v="624"/>
    <x v="49"/>
    <x v="4"/>
    <s v="48-707-5857"/>
    <x v="176"/>
    <x v="80"/>
    <n v="82"/>
    <n v="85"/>
    <s v="Require"/>
    <n v="82"/>
    <s v="High Priority"/>
    <x v="89"/>
    <n v="255.6"/>
    <d v="2024-04-28T00:00:00"/>
    <d v="2024-03-29T00:00:00"/>
    <d v="2024-08-05T00:00:00"/>
    <n v="669"/>
    <n v="699"/>
    <n v="570"/>
    <s v="Safe"/>
    <s v="018 Oxford Crossing"/>
    <x v="9"/>
    <n v="6901.2"/>
    <n v="67"/>
    <s v="Discontinued"/>
    <n v="6645.5999999999995"/>
  </r>
  <r>
    <x v="625"/>
    <x v="23"/>
    <x v="2"/>
    <s v="03-117-6217"/>
    <x v="297"/>
    <x v="35"/>
    <n v="21"/>
    <n v="4"/>
    <s v="Sufficient"/>
    <n v="0"/>
    <s v="Normal"/>
    <x v="2"/>
    <n v="144"/>
    <d v="2024-05-04T00:00:00"/>
    <d v="2024-06-27T00:00:00"/>
    <d v="2024-10-28T00:00:00"/>
    <n v="663"/>
    <n v="609"/>
    <n v="486"/>
    <s v="Expiring Soon"/>
    <s v="61 Waubesa Court"/>
    <x v="1"/>
    <n v="12240"/>
    <n v="17"/>
    <s v="Backordered"/>
    <n v="12096"/>
  </r>
  <r>
    <x v="626"/>
    <x v="31"/>
    <x v="2"/>
    <s v="40-800-4739"/>
    <x v="147"/>
    <x v="24"/>
    <n v="75"/>
    <n v="42"/>
    <s v="Require"/>
    <n v="75"/>
    <s v="High Priority"/>
    <x v="10"/>
    <n v="32"/>
    <d v="2024-07-23T00:00:00"/>
    <d v="2024-03-21T00:00:00"/>
    <d v="2024-05-24T00:00:00"/>
    <n v="583"/>
    <n v="707"/>
    <n v="643"/>
    <s v="Safe"/>
    <s v="992 East Point"/>
    <x v="70"/>
    <n v="704"/>
    <n v="46"/>
    <s v="Active"/>
    <n v="672"/>
  </r>
  <r>
    <x v="627"/>
    <x v="74"/>
    <x v="2"/>
    <s v="61-807-0746"/>
    <x v="298"/>
    <x v="30"/>
    <n v="19"/>
    <n v="18"/>
    <s v="Sufficient"/>
    <n v="0"/>
    <s v="Normal"/>
    <x v="90"/>
    <n v="545.61"/>
    <d v="2024-03-30T00:00:00"/>
    <d v="2024-07-18T00:00:00"/>
    <d v="2025-01-20T00:00:00"/>
    <n v="698"/>
    <n v="588"/>
    <n v="402"/>
    <s v="Expiring Soon"/>
    <s v="07359 Porter Park"/>
    <x v="63"/>
    <n v="31645.38"/>
    <n v="90"/>
    <s v="Active"/>
    <n v="31099.77"/>
  </r>
  <r>
    <x v="628"/>
    <x v="32"/>
    <x v="2"/>
    <s v="42-361-6981"/>
    <x v="299"/>
    <x v="52"/>
    <n v="56"/>
    <n v="74"/>
    <s v="Sufficient"/>
    <n v="0"/>
    <s v="Normal"/>
    <x v="6"/>
    <n v="222.5"/>
    <d v="2024-10-11T00:00:00"/>
    <d v="2024-07-30T00:00:00"/>
    <d v="2024-10-01T00:00:00"/>
    <n v="503"/>
    <n v="576"/>
    <n v="513"/>
    <s v="Expiring Soon"/>
    <s v="66330 Northridge Street"/>
    <x v="9"/>
    <n v="6007.5"/>
    <n v="51"/>
    <s v="Backordered"/>
    <n v="5785"/>
  </r>
  <r>
    <x v="629"/>
    <x v="119"/>
    <x v="2"/>
    <s v="31-628-6696"/>
    <x v="215"/>
    <x v="63"/>
    <n v="82"/>
    <n v="59"/>
    <s v="Require"/>
    <n v="82"/>
    <s v="High Priority"/>
    <x v="12"/>
    <n v="456"/>
    <d v="2024-10-09T00:00:00"/>
    <d v="2024-11-20T00:00:00"/>
    <d v="2024-06-11T00:00:00"/>
    <n v="505"/>
    <n v="463"/>
    <n v="625"/>
    <s v="Safe"/>
    <s v="07 Maple Wood Drive"/>
    <x v="37"/>
    <n v="20064"/>
    <n v="57"/>
    <s v="Active"/>
    <n v="19608"/>
  </r>
  <r>
    <x v="630"/>
    <x v="29"/>
    <x v="1"/>
    <s v="98-107-0604"/>
    <x v="300"/>
    <x v="33"/>
    <n v="22"/>
    <n v="98"/>
    <s v="Sufficient"/>
    <n v="0"/>
    <s v="Normal"/>
    <x v="17"/>
    <n v="1830"/>
    <d v="2024-07-03T00:00:00"/>
    <d v="2024-02-10T00:00:00"/>
    <d v="2024-11-09T00:00:00"/>
    <n v="603"/>
    <n v="747"/>
    <n v="474"/>
    <s v="Expiring Soon"/>
    <s v="620 Mockingbird Pass"/>
    <x v="54"/>
    <n v="164700"/>
    <n v="11"/>
    <s v="Active"/>
    <n v="162870"/>
  </r>
  <r>
    <x v="631"/>
    <x v="33"/>
    <x v="0"/>
    <s v="51-519-4588"/>
    <x v="139"/>
    <x v="61"/>
    <n v="28"/>
    <n v="76"/>
    <s v="Sufficient"/>
    <n v="0"/>
    <s v="Normal"/>
    <x v="7"/>
    <n v="168"/>
    <d v="2024-10-25T00:00:00"/>
    <d v="2025-04-02T00:00:00"/>
    <d v="2024-09-02T00:00:00"/>
    <n v="489"/>
    <n v="330"/>
    <n v="542"/>
    <s v="Expiring Soon"/>
    <s v="8 Hazelcrest Street"/>
    <x v="47"/>
    <n v="15624"/>
    <n v="69"/>
    <s v="Active"/>
    <n v="15456"/>
  </r>
  <r>
    <x v="632"/>
    <x v="58"/>
    <x v="4"/>
    <s v="66-883-2383"/>
    <x v="166"/>
    <x v="55"/>
    <n v="24"/>
    <n v="2"/>
    <s v="Require"/>
    <n v="24"/>
    <s v="Normal"/>
    <x v="91"/>
    <n v="49.35"/>
    <d v="2024-05-04T00:00:00"/>
    <d v="2024-11-09T00:00:00"/>
    <d v="2024-09-28T00:00:00"/>
    <n v="663"/>
    <n v="474"/>
    <n v="516"/>
    <s v="Expiring Soon"/>
    <s v="1 Lillian Plaza"/>
    <x v="80"/>
    <n v="4293.45"/>
    <n v="36"/>
    <s v="Backordered"/>
    <n v="4244.0999999999995"/>
  </r>
  <r>
    <x v="633"/>
    <x v="103"/>
    <x v="2"/>
    <s v="49-608-3851"/>
    <x v="301"/>
    <x v="43"/>
    <n v="29"/>
    <n v="100"/>
    <s v="Sufficient"/>
    <n v="0"/>
    <s v="Normal"/>
    <x v="57"/>
    <n v="324.5"/>
    <d v="2024-04-04T00:00:00"/>
    <d v="2024-11-29T00:00:00"/>
    <d v="2025-01-01T00:00:00"/>
    <n v="693"/>
    <n v="454"/>
    <n v="421"/>
    <s v="Expiring Soon"/>
    <s v="183 Algoma Trail"/>
    <x v="49"/>
    <n v="24013"/>
    <n v="16"/>
    <s v="Discontinued"/>
    <n v="23688.5"/>
  </r>
  <r>
    <x v="634"/>
    <x v="43"/>
    <x v="1"/>
    <s v="84-835-1656"/>
    <x v="35"/>
    <x v="53"/>
    <n v="68"/>
    <n v="20"/>
    <s v="Require"/>
    <n v="68"/>
    <s v="High Priority"/>
    <x v="13"/>
    <n v="240"/>
    <d v="2025-09-01T00:00:00"/>
    <d v="2024-04-07T00:00:00"/>
    <d v="2024-11-02T00:00:00"/>
    <n v="178"/>
    <n v="690"/>
    <n v="481"/>
    <s v="Expiring Soon"/>
    <s v="581 Oneill Crossing"/>
    <x v="39"/>
    <n v="9120"/>
    <n v="51"/>
    <s v="Active"/>
    <n v="8880"/>
  </r>
  <r>
    <x v="635"/>
    <x v="11"/>
    <x v="5"/>
    <s v="19-264-7608"/>
    <x v="152"/>
    <x v="47"/>
    <n v="6"/>
    <n v="88"/>
    <s v="Sufficient"/>
    <n v="0"/>
    <s v="Normal"/>
    <x v="7"/>
    <n v="297"/>
    <d v="2024-05-15T00:00:00"/>
    <d v="2024-07-16T00:00:00"/>
    <d v="2024-12-14T00:00:00"/>
    <n v="652"/>
    <n v="590"/>
    <n v="439"/>
    <s v="Expiring Soon"/>
    <s v="77563 Russell Lane"/>
    <x v="65"/>
    <n v="14553"/>
    <n v="9"/>
    <s v="Active"/>
    <n v="14256"/>
  </r>
  <r>
    <x v="636"/>
    <x v="85"/>
    <x v="1"/>
    <s v="56-825-0880"/>
    <x v="80"/>
    <x v="35"/>
    <n v="27"/>
    <n v="35"/>
    <s v="Require"/>
    <n v="27"/>
    <s v="Normal"/>
    <x v="12"/>
    <n v="192"/>
    <d v="2024-10-14T00:00:00"/>
    <d v="2025-01-31T00:00:00"/>
    <d v="2024-11-20T00:00:00"/>
    <n v="500"/>
    <n v="391"/>
    <n v="463"/>
    <s v="Expiring Soon"/>
    <s v="51369 Dawn Hill"/>
    <x v="65"/>
    <n v="9408"/>
    <n v="58"/>
    <s v="Active"/>
    <n v="9216"/>
  </r>
  <r>
    <x v="637"/>
    <x v="0"/>
    <x v="0"/>
    <s v="77-842-0920"/>
    <x v="96"/>
    <x v="87"/>
    <n v="94"/>
    <n v="7"/>
    <s v="Require"/>
    <n v="94"/>
    <s v="High Priority"/>
    <x v="92"/>
    <n v="339.29999999999995"/>
    <d v="2024-06-09T00:00:00"/>
    <d v="2024-03-11T00:00:00"/>
    <d v="2024-05-22T00:00:00"/>
    <n v="627"/>
    <n v="717"/>
    <n v="645"/>
    <s v="Safe"/>
    <s v="76 Fisk Park"/>
    <x v="12"/>
    <n v="23411.699999999997"/>
    <n v="40"/>
    <s v="Backordered"/>
    <n v="23072.399999999998"/>
  </r>
  <r>
    <x v="638"/>
    <x v="9"/>
    <x v="4"/>
    <s v="64-452-2395"/>
    <x v="10"/>
    <x v="60"/>
    <n v="31"/>
    <n v="18"/>
    <s v="Sufficient"/>
    <n v="0"/>
    <s v="Normal"/>
    <x v="8"/>
    <n v="52"/>
    <d v="2024-04-28T00:00:00"/>
    <d v="2024-11-21T00:00:00"/>
    <d v="2025-02-02T00:00:00"/>
    <n v="669"/>
    <n v="462"/>
    <n v="389"/>
    <s v="Expiring Soon"/>
    <s v="34 Fremont Point"/>
    <x v="76"/>
    <n v="4004"/>
    <n v="16"/>
    <s v="Backordered"/>
    <n v="3952"/>
  </r>
  <r>
    <x v="639"/>
    <x v="16"/>
    <x v="2"/>
    <s v="75-536-2986"/>
    <x v="302"/>
    <x v="1"/>
    <n v="70"/>
    <n v="98"/>
    <s v="Require"/>
    <n v="70"/>
    <s v="High Priority"/>
    <x v="62"/>
    <n v="110.25000000000001"/>
    <d v="2024-10-08T00:00:00"/>
    <d v="2024-07-27T00:00:00"/>
    <d v="2024-05-09T00:00:00"/>
    <n v="506"/>
    <n v="579"/>
    <n v="658"/>
    <s v="Safe"/>
    <s v="62 Thackeray Center"/>
    <x v="28"/>
    <n v="2756.2500000000005"/>
    <n v="39"/>
    <s v="Backordered"/>
    <n v="2646.0000000000005"/>
  </r>
  <r>
    <x v="640"/>
    <x v="106"/>
    <x v="2"/>
    <s v="02-997-1489"/>
    <x v="303"/>
    <x v="52"/>
    <n v="35"/>
    <n v="19"/>
    <s v="Sufficient"/>
    <n v="0"/>
    <s v="Normal"/>
    <x v="15"/>
    <n v="445"/>
    <d v="2025-01-31T00:00:00"/>
    <d v="2024-08-10T00:00:00"/>
    <d v="2024-05-07T00:00:00"/>
    <n v="391"/>
    <n v="565"/>
    <n v="660"/>
    <s v="Safe"/>
    <s v="38 Dawn Street"/>
    <x v="65"/>
    <n v="21805"/>
    <n v="55"/>
    <s v="Discontinued"/>
    <n v="21360"/>
  </r>
  <r>
    <x v="641"/>
    <x v="39"/>
    <x v="2"/>
    <s v="98-591-1051"/>
    <x v="12"/>
    <x v="21"/>
    <n v="57"/>
    <n v="11"/>
    <s v="Sufficient"/>
    <n v="0"/>
    <s v="Normal"/>
    <x v="93"/>
    <n v="365.4"/>
    <d v="2025-11-01T00:00:00"/>
    <d v="2024-12-23T00:00:00"/>
    <d v="2024-05-10T00:00:00"/>
    <n v="117"/>
    <n v="430"/>
    <n v="657"/>
    <s v="Safe"/>
    <s v="50880 Nobel Road"/>
    <x v="14"/>
    <n v="7308"/>
    <n v="100"/>
    <s v="Discontinued"/>
    <n v="6942.6"/>
  </r>
  <r>
    <x v="642"/>
    <x v="2"/>
    <x v="0"/>
    <s v="91-417-6283"/>
    <x v="248"/>
    <x v="16"/>
    <n v="3"/>
    <n v="7"/>
    <s v="Sufficient"/>
    <n v="0"/>
    <s v="Normal"/>
    <x v="94"/>
    <n v="306.25"/>
    <d v="2024-09-19T00:00:00"/>
    <d v="2024-10-31T00:00:00"/>
    <d v="2024-03-13T00:00:00"/>
    <n v="525"/>
    <n v="483"/>
    <n v="715"/>
    <s v="Safe"/>
    <s v="46989 Crescent Oaks Junction"/>
    <x v="71"/>
    <n v="22968.75"/>
    <n v="46"/>
    <s v="Backordered"/>
    <n v="22662.5"/>
  </r>
  <r>
    <x v="643"/>
    <x v="85"/>
    <x v="1"/>
    <s v="27-493-6787"/>
    <x v="86"/>
    <x v="11"/>
    <n v="59"/>
    <n v="54"/>
    <s v="Require"/>
    <n v="59"/>
    <s v="Normal"/>
    <x v="12"/>
    <n v="208"/>
    <d v="2024-10-08T00:00:00"/>
    <d v="2024-11-24T00:00:00"/>
    <d v="2024-03-19T00:00:00"/>
    <n v="506"/>
    <n v="459"/>
    <n v="709"/>
    <s v="Safe"/>
    <s v="5306 Arkansas Avenue"/>
    <x v="57"/>
    <n v="19136"/>
    <n v="49"/>
    <s v="Active"/>
    <n v="18928"/>
  </r>
  <r>
    <x v="644"/>
    <x v="22"/>
    <x v="4"/>
    <s v="82-527-9395"/>
    <x v="304"/>
    <x v="81"/>
    <n v="68"/>
    <n v="71"/>
    <s v="Sufficient"/>
    <n v="0"/>
    <s v="Normal"/>
    <x v="14"/>
    <n v="74.400000000000006"/>
    <d v="2025-09-02T00:00:00"/>
    <d v="2024-11-03T00:00:00"/>
    <d v="2024-09-17T00:00:00"/>
    <n v="177"/>
    <n v="480"/>
    <n v="527"/>
    <s v="Expiring Soon"/>
    <s v="75 High Crossing Junction"/>
    <x v="43"/>
    <n v="2232"/>
    <n v="37"/>
    <s v="Discontinued"/>
    <n v="2157.6"/>
  </r>
  <r>
    <x v="645"/>
    <x v="108"/>
    <x v="2"/>
    <s v="01-210-3485"/>
    <x v="3"/>
    <x v="19"/>
    <n v="16"/>
    <n v="69"/>
    <s v="Sufficient"/>
    <n v="0"/>
    <s v="Normal"/>
    <x v="36"/>
    <n v="348.3"/>
    <d v="2025-06-01T00:00:00"/>
    <d v="2024-04-08T00:00:00"/>
    <d v="2024-07-25T00:00:00"/>
    <n v="270"/>
    <n v="689"/>
    <n v="581"/>
    <s v="Safe"/>
    <s v="59449 Sherman Parkway"/>
    <x v="61"/>
    <n v="8010.9000000000005"/>
    <n v="96"/>
    <s v="Backordered"/>
    <n v="7662.6"/>
  </r>
  <r>
    <x v="646"/>
    <x v="52"/>
    <x v="4"/>
    <s v="05-966-6460"/>
    <x v="209"/>
    <x v="59"/>
    <n v="60"/>
    <n v="27"/>
    <s v="Sufficient"/>
    <n v="0"/>
    <s v="Normal"/>
    <x v="4"/>
    <n v="296"/>
    <d v="2024-06-17T00:00:00"/>
    <d v="2024-05-22T00:00:00"/>
    <d v="2024-11-17T00:00:00"/>
    <n v="619"/>
    <n v="645"/>
    <n v="466"/>
    <s v="Expiring Soon"/>
    <s v="9848 Little Fleur Point"/>
    <x v="77"/>
    <n v="29304"/>
    <n v="68"/>
    <s v="Backordered"/>
    <n v="29008"/>
  </r>
  <r>
    <x v="647"/>
    <x v="46"/>
    <x v="1"/>
    <s v="66-227-1125"/>
    <x v="20"/>
    <x v="26"/>
    <n v="78"/>
    <n v="90"/>
    <s v="Require"/>
    <n v="78"/>
    <s v="High Priority"/>
    <x v="15"/>
    <n v="95"/>
    <d v="2024-12-24T00:00:00"/>
    <d v="2024-04-15T00:00:00"/>
    <d v="2024-07-29T00:00:00"/>
    <n v="429"/>
    <n v="682"/>
    <n v="577"/>
    <s v="Safe"/>
    <s v="44662 American Plaza"/>
    <x v="53"/>
    <n v="6840"/>
    <n v="84"/>
    <s v="Discontinued"/>
    <n v="6745"/>
  </r>
  <r>
    <x v="648"/>
    <x v="33"/>
    <x v="0"/>
    <s v="62-011-9357"/>
    <x v="155"/>
    <x v="56"/>
    <n v="97"/>
    <n v="91"/>
    <s v="Require"/>
    <n v="97"/>
    <s v="High Priority"/>
    <x v="7"/>
    <n v="192"/>
    <d v="2024-11-25T00:00:00"/>
    <d v="2024-08-20T00:00:00"/>
    <d v="2024-08-02T00:00:00"/>
    <n v="458"/>
    <n v="555"/>
    <n v="573"/>
    <s v="Safe"/>
    <s v="60 Main Pass"/>
    <x v="67"/>
    <n v="9216"/>
    <n v="100"/>
    <s v="Active"/>
    <n v="9024"/>
  </r>
  <r>
    <x v="649"/>
    <x v="53"/>
    <x v="2"/>
    <s v="64-584-7898"/>
    <x v="187"/>
    <x v="16"/>
    <n v="93"/>
    <n v="15"/>
    <s v="Require"/>
    <n v="93"/>
    <s v="High Priority"/>
    <x v="0"/>
    <n v="220.5"/>
    <d v="2024-04-27T00:00:00"/>
    <d v="2024-01-05T00:00:00"/>
    <d v="2024-04-27T00:00:00"/>
    <n v="670"/>
    <n v="783"/>
    <n v="670"/>
    <s v="Safe"/>
    <s v="81503 Graedel Plaza"/>
    <x v="20"/>
    <n v="11466"/>
    <n v="31"/>
    <s v="Backordered"/>
    <n v="11245.5"/>
  </r>
  <r>
    <x v="650"/>
    <x v="20"/>
    <x v="4"/>
    <s v="08-359-2568"/>
    <x v="263"/>
    <x v="47"/>
    <n v="10"/>
    <n v="88"/>
    <s v="Sufficient"/>
    <n v="0"/>
    <s v="Normal"/>
    <x v="13"/>
    <n v="1188"/>
    <d v="2024-07-14T00:00:00"/>
    <d v="2024-05-12T00:00:00"/>
    <d v="2025-01-20T00:00:00"/>
    <n v="592"/>
    <n v="655"/>
    <n v="402"/>
    <s v="Expiring Soon"/>
    <s v="8 Dawn Court"/>
    <x v="12"/>
    <n v="81972"/>
    <n v="98"/>
    <s v="Active"/>
    <n v="80784"/>
  </r>
  <r>
    <x v="651"/>
    <x v="83"/>
    <x v="4"/>
    <s v="06-776-1072"/>
    <x v="146"/>
    <x v="34"/>
    <n v="1"/>
    <n v="42"/>
    <s v="Sufficient"/>
    <n v="0"/>
    <s v="Normal"/>
    <x v="62"/>
    <n v="147"/>
    <d v="2024-11-16T00:00:00"/>
    <d v="2024-08-27T00:00:00"/>
    <d v="2024-10-15T00:00:00"/>
    <n v="467"/>
    <n v="548"/>
    <n v="499"/>
    <s v="Expiring Soon"/>
    <s v="55095 Northview Drive"/>
    <x v="27"/>
    <n v="6174"/>
    <n v="91"/>
    <s v="Active"/>
    <n v="6027"/>
  </r>
  <r>
    <x v="652"/>
    <x v="19"/>
    <x v="2"/>
    <s v="20-201-5639"/>
    <x v="85"/>
    <x v="82"/>
    <n v="1"/>
    <n v="40"/>
    <s v="Sufficient"/>
    <n v="0"/>
    <s v="Normal"/>
    <x v="80"/>
    <n v="81"/>
    <d v="2024-10-20T00:00:00"/>
    <d v="2025-11-01T00:00:00"/>
    <d v="2025-02-16T00:00:00"/>
    <n v="494"/>
    <n v="117"/>
    <n v="375"/>
    <s v="Expiring Soon"/>
    <s v="0 Thackeray Point"/>
    <x v="20"/>
    <n v="4212"/>
    <n v="19"/>
    <s v="Discontinued"/>
    <n v="4131"/>
  </r>
  <r>
    <x v="653"/>
    <x v="30"/>
    <x v="6"/>
    <s v="28-162-7486"/>
    <x v="38"/>
    <x v="70"/>
    <n v="53"/>
    <n v="12"/>
    <s v="Sufficient"/>
    <n v="0"/>
    <s v="Normal"/>
    <x v="18"/>
    <n v="711"/>
    <d v="2024-08-18T00:00:00"/>
    <d v="2024-05-29T00:00:00"/>
    <d v="2025-01-10T00:00:00"/>
    <n v="557"/>
    <n v="638"/>
    <n v="412"/>
    <s v="Expiring Soon"/>
    <s v="8 Autumn Leaf Drive"/>
    <x v="78"/>
    <n v="31995"/>
    <n v="95"/>
    <s v="Discontinued"/>
    <n v="31284"/>
  </r>
  <r>
    <x v="654"/>
    <x v="120"/>
    <x v="4"/>
    <s v="07-754-2313"/>
    <x v="128"/>
    <x v="0"/>
    <n v="58"/>
    <n v="2"/>
    <s v="Require"/>
    <n v="58"/>
    <s v="Normal"/>
    <x v="88"/>
    <n v="4.4000000000000004"/>
    <d v="2025-07-02T00:00:00"/>
    <d v="2024-06-28T00:00:00"/>
    <d v="2024-11-14T00:00:00"/>
    <n v="239"/>
    <n v="608"/>
    <n v="469"/>
    <s v="Expiring Soon"/>
    <s v="20 Marcy Circle"/>
    <x v="55"/>
    <n v="145.20000000000002"/>
    <n v="68"/>
    <s v="Active"/>
    <n v="140.80000000000001"/>
  </r>
  <r>
    <x v="655"/>
    <x v="104"/>
    <x v="0"/>
    <s v="05-727-0033"/>
    <x v="188"/>
    <x v="37"/>
    <n v="47"/>
    <n v="6"/>
    <s v="Sufficient"/>
    <n v="0"/>
    <s v="Normal"/>
    <x v="6"/>
    <n v="127.5"/>
    <d v="2024-11-23T00:00:00"/>
    <d v="2024-11-08T00:00:00"/>
    <d v="2024-06-18T00:00:00"/>
    <n v="460"/>
    <n v="475"/>
    <n v="618"/>
    <s v="Safe"/>
    <s v="9 Victoria Point"/>
    <x v="59"/>
    <n v="6757.5"/>
    <n v="4"/>
    <s v="Backordered"/>
    <n v="6630"/>
  </r>
  <r>
    <x v="656"/>
    <x v="1"/>
    <x v="1"/>
    <s v="33-466-7894"/>
    <x v="125"/>
    <x v="17"/>
    <n v="63"/>
    <n v="41"/>
    <s v="Sufficient"/>
    <n v="0"/>
    <s v="Normal"/>
    <x v="1"/>
    <n v="1300"/>
    <d v="2024-02-04T00:00:00"/>
    <d v="2025-07-01T00:00:00"/>
    <d v="2024-03-29T00:00:00"/>
    <n v="753"/>
    <n v="240"/>
    <n v="699"/>
    <s v="Safe"/>
    <s v="96 Westridge Junction"/>
    <x v="64"/>
    <n v="36400"/>
    <n v="26"/>
    <s v="Backordered"/>
    <n v="35100"/>
  </r>
  <r>
    <x v="657"/>
    <x v="68"/>
    <x v="4"/>
    <s v="45-923-7206"/>
    <x v="195"/>
    <x v="5"/>
    <n v="25"/>
    <n v="87"/>
    <s v="Sufficient"/>
    <n v="0"/>
    <s v="Normal"/>
    <x v="4"/>
    <n v="220"/>
    <d v="2024-05-13T00:00:00"/>
    <d v="2024-02-03T00:00:00"/>
    <d v="2025-01-29T00:00:00"/>
    <n v="654"/>
    <n v="754"/>
    <n v="393"/>
    <s v="Expiring Soon"/>
    <s v="38726 Gina Pass"/>
    <x v="12"/>
    <n v="15180"/>
    <n v="48"/>
    <s v="Backordered"/>
    <n v="14960"/>
  </r>
  <r>
    <x v="658"/>
    <x v="77"/>
    <x v="0"/>
    <s v="38-330-5543"/>
    <x v="174"/>
    <x v="27"/>
    <n v="86"/>
    <n v="20"/>
    <s v="Require"/>
    <n v="86"/>
    <s v="High Priority"/>
    <x v="26"/>
    <n v="32.4"/>
    <d v="2024-12-26T00:00:00"/>
    <d v="2024-04-12T00:00:00"/>
    <d v="2024-11-29T00:00:00"/>
    <n v="427"/>
    <n v="685"/>
    <n v="454"/>
    <s v="Expiring Soon"/>
    <s v="1 Hollow Ridge Park"/>
    <x v="44"/>
    <n v="2073.6"/>
    <n v="34"/>
    <s v="Discontinued"/>
    <n v="2041.1999999999998"/>
  </r>
  <r>
    <x v="659"/>
    <x v="20"/>
    <x v="4"/>
    <s v="69-666-2257"/>
    <x v="121"/>
    <x v="4"/>
    <n v="3"/>
    <n v="45"/>
    <s v="Sufficient"/>
    <n v="0"/>
    <s v="Normal"/>
    <x v="13"/>
    <n v="444"/>
    <d v="2024-10-25T00:00:00"/>
    <d v="2024-04-22T00:00:00"/>
    <d v="2024-11-21T00:00:00"/>
    <n v="489"/>
    <n v="675"/>
    <n v="462"/>
    <s v="Expiring Soon"/>
    <s v="27 School Court"/>
    <x v="34"/>
    <n v="17316"/>
    <n v="28"/>
    <s v="Discontinued"/>
    <n v="16872"/>
  </r>
  <r>
    <x v="660"/>
    <x v="115"/>
    <x v="6"/>
    <s v="40-260-8547"/>
    <x v="205"/>
    <x v="20"/>
    <n v="40"/>
    <n v="29"/>
    <s v="Sufficient"/>
    <n v="0"/>
    <s v="Normal"/>
    <x v="21"/>
    <n v="1320"/>
    <d v="2025-02-24T00:00:00"/>
    <d v="2024-06-24T00:00:00"/>
    <d v="2024-02-25T00:00:00"/>
    <n v="367"/>
    <n v="612"/>
    <n v="732"/>
    <s v="Safe"/>
    <s v="80380 Valley Edge Road"/>
    <x v="40"/>
    <n v="126720"/>
    <n v="87"/>
    <s v="Discontinued"/>
    <n v="125400"/>
  </r>
  <r>
    <x v="661"/>
    <x v="27"/>
    <x v="2"/>
    <s v="59-570-2020"/>
    <x v="29"/>
    <x v="53"/>
    <n v="51"/>
    <n v="33"/>
    <s v="Require"/>
    <n v="51"/>
    <s v="Normal"/>
    <x v="16"/>
    <n v="70"/>
    <d v="2024-03-04T00:00:00"/>
    <d v="2025-01-24T00:00:00"/>
    <d v="2025-02-12T00:00:00"/>
    <n v="724"/>
    <n v="398"/>
    <n v="379"/>
    <s v="Expiring Soon"/>
    <s v="0 Delladonna Place"/>
    <x v="62"/>
    <n v="5600"/>
    <n v="41"/>
    <s v="Active"/>
    <n v="5530"/>
  </r>
  <r>
    <x v="662"/>
    <x v="14"/>
    <x v="0"/>
    <s v="29-774-6779"/>
    <x v="52"/>
    <x v="47"/>
    <n v="54"/>
    <n v="71"/>
    <s v="Sufficient"/>
    <n v="0"/>
    <s v="Normal"/>
    <x v="3"/>
    <n v="148.5"/>
    <d v="2024-10-22T00:00:00"/>
    <d v="2024-08-14T00:00:00"/>
    <d v="2024-11-21T00:00:00"/>
    <n v="492"/>
    <n v="561"/>
    <n v="462"/>
    <s v="Expiring Soon"/>
    <s v="583 Loftsgordon Road"/>
    <x v="62"/>
    <n v="11880"/>
    <n v="10"/>
    <s v="Discontinued"/>
    <n v="11731.5"/>
  </r>
  <r>
    <x v="663"/>
    <x v="91"/>
    <x v="2"/>
    <s v="86-879-7811"/>
    <x v="305"/>
    <x v="29"/>
    <n v="88"/>
    <n v="20"/>
    <s v="Require"/>
    <n v="88"/>
    <s v="High Priority"/>
    <x v="44"/>
    <n v="220.79999999999998"/>
    <d v="2024-08-10T00:00:00"/>
    <d v="2024-08-12T00:00:00"/>
    <d v="2024-04-01T00:00:00"/>
    <n v="565"/>
    <n v="563"/>
    <n v="696"/>
    <s v="Safe"/>
    <s v="1519 Delaware Court"/>
    <x v="22"/>
    <n v="13027.199999999999"/>
    <n v="79"/>
    <s v="Backordered"/>
    <n v="12806.4"/>
  </r>
  <r>
    <x v="664"/>
    <x v="114"/>
    <x v="0"/>
    <s v="85-594-2570"/>
    <x v="279"/>
    <x v="26"/>
    <n v="77"/>
    <n v="66"/>
    <s v="Require"/>
    <n v="77"/>
    <s v="High Priority"/>
    <x v="29"/>
    <n v="190"/>
    <d v="2024-07-11T00:00:00"/>
    <d v="2025-02-16T00:00:00"/>
    <d v="2024-08-25T00:00:00"/>
    <n v="595"/>
    <n v="375"/>
    <n v="550"/>
    <s v="Expiring Soon"/>
    <s v="72 Crownhardt Circle"/>
    <x v="4"/>
    <n v="11780"/>
    <n v="100"/>
    <s v="Active"/>
    <n v="11590"/>
  </r>
  <r>
    <x v="665"/>
    <x v="109"/>
    <x v="4"/>
    <s v="11-430-6041"/>
    <x v="237"/>
    <x v="3"/>
    <n v="83"/>
    <n v="93"/>
    <s v="Require"/>
    <n v="83"/>
    <s v="High Priority"/>
    <x v="5"/>
    <n v="21"/>
    <d v="2024-10-27T00:00:00"/>
    <d v="2024-06-28T00:00:00"/>
    <d v="2024-07-24T00:00:00"/>
    <n v="487"/>
    <n v="608"/>
    <n v="582"/>
    <s v="Safe"/>
    <s v="6 Bobwhite Alley"/>
    <x v="70"/>
    <n v="462"/>
    <n v="9"/>
    <s v="Backordered"/>
    <n v="441"/>
  </r>
  <r>
    <x v="666"/>
    <x v="83"/>
    <x v="4"/>
    <s v="38-200-4863"/>
    <x v="306"/>
    <x v="79"/>
    <n v="98"/>
    <n v="89"/>
    <s v="Require"/>
    <n v="98"/>
    <s v="High Priority"/>
    <x v="82"/>
    <n v="175.95"/>
    <d v="2024-10-29T00:00:00"/>
    <d v="2024-09-04T00:00:00"/>
    <d v="2024-06-01T00:00:00"/>
    <n v="485"/>
    <n v="540"/>
    <n v="635"/>
    <s v="Safe"/>
    <s v="467 Dexter Pass"/>
    <x v="18"/>
    <n v="5102.5499999999993"/>
    <n v="34"/>
    <s v="Discontinued"/>
    <n v="4926.5999999999995"/>
  </r>
  <r>
    <x v="667"/>
    <x v="9"/>
    <x v="4"/>
    <s v="80-567-5598"/>
    <x v="46"/>
    <x v="21"/>
    <n v="38"/>
    <n v="77"/>
    <s v="Sufficient"/>
    <n v="0"/>
    <s v="Normal"/>
    <x v="8"/>
    <n v="63"/>
    <d v="2024-12-23T00:00:00"/>
    <d v="2025-12-02T00:00:00"/>
    <d v="2024-04-26T00:00:00"/>
    <n v="430"/>
    <n v="86"/>
    <n v="671"/>
    <s v="Safe"/>
    <s v="6982 Crownhardt Circle"/>
    <x v="61"/>
    <n v="1449"/>
    <n v="18"/>
    <s v="Active"/>
    <n v="1386"/>
  </r>
  <r>
    <x v="668"/>
    <x v="91"/>
    <x v="2"/>
    <s v="14-414-1945"/>
    <x v="307"/>
    <x v="87"/>
    <n v="16"/>
    <n v="37"/>
    <s v="Sufficient"/>
    <n v="0"/>
    <s v="Normal"/>
    <x v="64"/>
    <n v="366.6"/>
    <d v="2024-12-10T00:00:00"/>
    <d v="2024-04-12T00:00:00"/>
    <d v="2024-06-01T00:00:00"/>
    <n v="443"/>
    <n v="685"/>
    <n v="635"/>
    <s v="Safe"/>
    <s v="64 1st Plaza"/>
    <x v="28"/>
    <n v="9165"/>
    <n v="96"/>
    <s v="Backordered"/>
    <n v="8798.4"/>
  </r>
  <r>
    <x v="669"/>
    <x v="42"/>
    <x v="5"/>
    <s v="03-220-5535"/>
    <x v="18"/>
    <x v="18"/>
    <n v="20"/>
    <n v="71"/>
    <s v="Sufficient"/>
    <n v="0"/>
    <s v="Normal"/>
    <x v="6"/>
    <n v="180"/>
    <d v="2024-06-29T00:00:00"/>
    <d v="2024-05-17T00:00:00"/>
    <d v="2024-10-29T00:00:00"/>
    <n v="607"/>
    <n v="650"/>
    <n v="485"/>
    <s v="Expiring Soon"/>
    <s v="21844 Artisan Trail"/>
    <x v="80"/>
    <n v="15660"/>
    <n v="68"/>
    <s v="Discontinued"/>
    <n v="15480"/>
  </r>
  <r>
    <x v="670"/>
    <x v="114"/>
    <x v="0"/>
    <s v="29-821-5359"/>
    <x v="151"/>
    <x v="62"/>
    <n v="24"/>
    <n v="25"/>
    <s v="Sufficient"/>
    <n v="0"/>
    <s v="Normal"/>
    <x v="29"/>
    <n v="580"/>
    <d v="2024-08-24T00:00:00"/>
    <d v="2024-11-17T00:00:00"/>
    <d v="2024-03-21T00:00:00"/>
    <n v="551"/>
    <n v="466"/>
    <n v="707"/>
    <s v="Safe"/>
    <s v="3 Hermina Circle"/>
    <x v="71"/>
    <n v="43500"/>
    <n v="26"/>
    <s v="Active"/>
    <n v="42920"/>
  </r>
  <r>
    <x v="671"/>
    <x v="7"/>
    <x v="4"/>
    <s v="79-219-8469"/>
    <x v="308"/>
    <x v="20"/>
    <n v="22"/>
    <n v="61"/>
    <s v="Sufficient"/>
    <n v="0"/>
    <s v="Normal"/>
    <x v="6"/>
    <n v="220"/>
    <d v="2025-04-01T00:00:00"/>
    <d v="2024-09-29T00:00:00"/>
    <d v="2025-02-08T00:00:00"/>
    <n v="331"/>
    <n v="515"/>
    <n v="383"/>
    <s v="Expiring Soon"/>
    <s v="18 Troy Avenue"/>
    <x v="46"/>
    <n v="11880"/>
    <n v="100"/>
    <s v="Discontinued"/>
    <n v="11660"/>
  </r>
  <r>
    <x v="672"/>
    <x v="77"/>
    <x v="0"/>
    <s v="30-853-8580"/>
    <x v="223"/>
    <x v="13"/>
    <n v="53"/>
    <n v="33"/>
    <s v="Sufficient"/>
    <n v="0"/>
    <s v="Normal"/>
    <x v="26"/>
    <n v="97.2"/>
    <d v="2024-07-04T00:00:00"/>
    <d v="2025-01-17T00:00:00"/>
    <d v="2024-07-05T00:00:00"/>
    <n v="602"/>
    <n v="405"/>
    <n v="601"/>
    <s v="Safe"/>
    <s v="18 Comanche Junction"/>
    <x v="24"/>
    <n v="9136.8000000000011"/>
    <n v="82"/>
    <s v="Backordered"/>
    <n v="9039.6"/>
  </r>
  <r>
    <x v="673"/>
    <x v="86"/>
    <x v="0"/>
    <s v="08-218-9429"/>
    <x v="264"/>
    <x v="56"/>
    <n v="10"/>
    <n v="100"/>
    <s v="Sufficient"/>
    <n v="0"/>
    <s v="Normal"/>
    <x v="6"/>
    <n v="160"/>
    <d v="2024-10-14T00:00:00"/>
    <d v="2024-05-06T00:00:00"/>
    <d v="2024-10-27T00:00:00"/>
    <n v="500"/>
    <n v="661"/>
    <n v="487"/>
    <s v="Expiring Soon"/>
    <s v="9050 Dorton Pass"/>
    <x v="23"/>
    <n v="15520"/>
    <n v="52"/>
    <s v="Active"/>
    <n v="15360"/>
  </r>
  <r>
    <x v="674"/>
    <x v="102"/>
    <x v="4"/>
    <s v="88-418-3855"/>
    <x v="194"/>
    <x v="3"/>
    <n v="54"/>
    <n v="48"/>
    <s v="Require"/>
    <n v="54"/>
    <s v="Normal"/>
    <x v="8"/>
    <n v="12"/>
    <d v="2024-06-11T00:00:00"/>
    <d v="2024-12-20T00:00:00"/>
    <d v="2024-04-21T00:00:00"/>
    <n v="625"/>
    <n v="433"/>
    <n v="676"/>
    <s v="Safe"/>
    <s v="591 Maple Wood Drive"/>
    <x v="2"/>
    <n v="372"/>
    <n v="88"/>
    <s v="Backordered"/>
    <n v="360"/>
  </r>
  <r>
    <x v="675"/>
    <x v="34"/>
    <x v="2"/>
    <s v="44-495-6660"/>
    <x v="0"/>
    <x v="33"/>
    <n v="14"/>
    <n v="49"/>
    <s v="Sufficient"/>
    <n v="0"/>
    <s v="Normal"/>
    <x v="95"/>
    <n v="317.2"/>
    <d v="2024-10-06T00:00:00"/>
    <d v="2024-12-12T00:00:00"/>
    <d v="2024-07-25T00:00:00"/>
    <n v="508"/>
    <n v="441"/>
    <n v="581"/>
    <s v="Safe"/>
    <s v="545 Linden Alley"/>
    <x v="49"/>
    <n v="23472.799999999999"/>
    <n v="35"/>
    <s v="Discontinued"/>
    <n v="23155.599999999999"/>
  </r>
  <r>
    <x v="676"/>
    <x v="24"/>
    <x v="5"/>
    <s v="51-600-6076"/>
    <x v="105"/>
    <x v="44"/>
    <n v="62"/>
    <n v="81"/>
    <s v="Require"/>
    <n v="62"/>
    <s v="High Priority"/>
    <x v="15"/>
    <n v="140"/>
    <d v="2024-03-27T00:00:00"/>
    <d v="2024-06-25T00:00:00"/>
    <d v="2024-10-07T00:00:00"/>
    <n v="701"/>
    <n v="611"/>
    <n v="507"/>
    <s v="Expiring Soon"/>
    <s v="39 Oxford Drive"/>
    <x v="64"/>
    <n v="3920"/>
    <n v="30"/>
    <s v="Discontinued"/>
    <n v="3780"/>
  </r>
  <r>
    <x v="677"/>
    <x v="16"/>
    <x v="2"/>
    <s v="56-969-3705"/>
    <x v="207"/>
    <x v="65"/>
    <n v="6"/>
    <n v="40"/>
    <s v="Sufficient"/>
    <n v="0"/>
    <s v="Normal"/>
    <x v="6"/>
    <n v="57.5"/>
    <d v="2024-03-20T00:00:00"/>
    <d v="2024-12-19T00:00:00"/>
    <d v="2024-06-19T00:00:00"/>
    <n v="708"/>
    <n v="434"/>
    <n v="617"/>
    <s v="Safe"/>
    <s v="538 Bayside Parkway"/>
    <x v="3"/>
    <n v="5462.5"/>
    <n v="24"/>
    <s v="Backordered"/>
    <n v="5405"/>
  </r>
  <r>
    <x v="678"/>
    <x v="60"/>
    <x v="2"/>
    <s v="15-365-5585"/>
    <x v="36"/>
    <x v="89"/>
    <n v="51"/>
    <n v="67"/>
    <s v="Sufficient"/>
    <n v="0"/>
    <s v="Normal"/>
    <x v="29"/>
    <n v="870"/>
    <d v="2025-07-01T00:00:00"/>
    <d v="2024-05-06T00:00:00"/>
    <d v="2024-05-06T00:00:00"/>
    <n v="240"/>
    <n v="661"/>
    <n v="661"/>
    <s v="Safe"/>
    <s v="88678 Bayside Park"/>
    <x v="79"/>
    <n v="47850"/>
    <n v="100"/>
    <s v="Backordered"/>
    <n v="46980"/>
  </r>
  <r>
    <x v="679"/>
    <x v="93"/>
    <x v="1"/>
    <s v="97-143-0641"/>
    <x v="227"/>
    <x v="43"/>
    <n v="31"/>
    <n v="3"/>
    <s v="Sufficient"/>
    <n v="0"/>
    <s v="Normal"/>
    <x v="29"/>
    <n v="590"/>
    <d v="2024-09-15T00:00:00"/>
    <d v="2025-01-21T00:00:00"/>
    <d v="2024-10-22T00:00:00"/>
    <n v="529"/>
    <n v="401"/>
    <n v="492"/>
    <s v="Expiring Soon"/>
    <s v="25696 Westerfield Alley"/>
    <x v="67"/>
    <n v="28320"/>
    <n v="51"/>
    <s v="Active"/>
    <n v="27730"/>
  </r>
  <r>
    <x v="680"/>
    <x v="94"/>
    <x v="2"/>
    <s v="72-509-7548"/>
    <x v="5"/>
    <x v="48"/>
    <n v="88"/>
    <n v="11"/>
    <s v="Require"/>
    <n v="88"/>
    <s v="High Priority"/>
    <x v="7"/>
    <n v="39"/>
    <d v="2024-11-19T00:00:00"/>
    <d v="2024-05-05T00:00:00"/>
    <d v="2024-12-14T00:00:00"/>
    <n v="464"/>
    <n v="662"/>
    <n v="439"/>
    <s v="Expiring Soon"/>
    <s v="4 Dakota Avenue"/>
    <x v="10"/>
    <n v="3900"/>
    <n v="52"/>
    <s v="Backordered"/>
    <n v="3861"/>
  </r>
  <r>
    <x v="681"/>
    <x v="75"/>
    <x v="2"/>
    <s v="67-272-8844"/>
    <x v="74"/>
    <x v="19"/>
    <n v="87"/>
    <n v="15"/>
    <s v="Require"/>
    <n v="87"/>
    <s v="High Priority"/>
    <x v="2"/>
    <n v="486"/>
    <d v="2025-08-01T00:00:00"/>
    <d v="2025-01-25T00:00:00"/>
    <d v="2024-09-09T00:00:00"/>
    <n v="209"/>
    <n v="397"/>
    <n v="535"/>
    <s v="Expiring Soon"/>
    <s v="72778 Loftsgordon Center"/>
    <x v="24"/>
    <n v="45684"/>
    <n v="10"/>
    <s v="Backordered"/>
    <n v="45198"/>
  </r>
  <r>
    <x v="682"/>
    <x v="42"/>
    <x v="5"/>
    <s v="78-629-7560"/>
    <x v="134"/>
    <x v="33"/>
    <n v="77"/>
    <n v="45"/>
    <s v="Require"/>
    <n v="77"/>
    <s v="High Priority"/>
    <x v="6"/>
    <n v="152.5"/>
    <d v="2024-03-21T00:00:00"/>
    <d v="2024-02-29T00:00:00"/>
    <d v="2024-06-22T00:00:00"/>
    <n v="707"/>
    <n v="728"/>
    <n v="614"/>
    <s v="Safe"/>
    <s v="5 Lyons Street"/>
    <x v="32"/>
    <n v="7777.5"/>
    <n v="48"/>
    <s v="Backordered"/>
    <n v="7625"/>
  </r>
  <r>
    <x v="683"/>
    <x v="45"/>
    <x v="2"/>
    <s v="33-265-4588"/>
    <x v="262"/>
    <x v="76"/>
    <n v="91"/>
    <n v="36"/>
    <s v="Require"/>
    <n v="91"/>
    <s v="High Priority"/>
    <x v="3"/>
    <n v="120"/>
    <d v="2024-03-24T00:00:00"/>
    <d v="2024-08-07T00:00:00"/>
    <d v="2024-10-26T00:00:00"/>
    <n v="704"/>
    <n v="568"/>
    <n v="488"/>
    <s v="Expiring Soon"/>
    <s v="2 Northview Avenue"/>
    <x v="68"/>
    <n v="9720"/>
    <n v="74"/>
    <s v="Active"/>
    <n v="9600"/>
  </r>
  <r>
    <x v="684"/>
    <x v="104"/>
    <x v="0"/>
    <s v="79-704-1471"/>
    <x v="284"/>
    <x v="30"/>
    <n v="57"/>
    <n v="54"/>
    <s v="Require"/>
    <n v="57"/>
    <s v="Normal"/>
    <x v="6"/>
    <n v="97.5"/>
    <d v="2024-06-12T00:00:00"/>
    <d v="2024-06-03T00:00:00"/>
    <d v="2024-08-11T00:00:00"/>
    <n v="624"/>
    <n v="633"/>
    <n v="564"/>
    <s v="Safe"/>
    <s v="12 Rigney Street"/>
    <x v="76"/>
    <n v="7507.5"/>
    <n v="32"/>
    <s v="Active"/>
    <n v="7410"/>
  </r>
  <r>
    <x v="685"/>
    <x v="19"/>
    <x v="7"/>
    <s v="83-941-9620"/>
    <x v="95"/>
    <x v="79"/>
    <n v="21"/>
    <n v="68"/>
    <s v="Sufficient"/>
    <n v="0"/>
    <s v="Normal"/>
    <x v="96"/>
    <n v="4591.95"/>
    <d v="2024-12-23T00:00:00"/>
    <d v="2024-11-26T00:00:00"/>
    <d v="2024-09-21T00:00:00"/>
    <n v="430"/>
    <n v="457"/>
    <n v="523"/>
    <s v="Expiring Soon"/>
    <s v="2 Butterfield Pass"/>
    <x v="66"/>
    <n v="165310.19999999998"/>
    <n v="35"/>
    <s v="Discontinued"/>
    <n v="160718.24999999997"/>
  </r>
  <r>
    <x v="686"/>
    <x v="7"/>
    <x v="4"/>
    <s v="42-210-6541"/>
    <x v="309"/>
    <x v="34"/>
    <n v="43"/>
    <n v="32"/>
    <s v="Sufficient"/>
    <n v="0"/>
    <s v="Normal"/>
    <x v="6"/>
    <n v="150"/>
    <d v="2024-05-07T00:00:00"/>
    <d v="2024-04-10T00:00:00"/>
    <d v="2024-07-09T00:00:00"/>
    <n v="660"/>
    <n v="687"/>
    <n v="597"/>
    <s v="Safe"/>
    <s v="292 Utah Street"/>
    <x v="76"/>
    <n v="11550"/>
    <n v="60"/>
    <s v="Active"/>
    <n v="11400"/>
  </r>
  <r>
    <x v="687"/>
    <x v="84"/>
    <x v="4"/>
    <s v="34-724-1913"/>
    <x v="310"/>
    <x v="0"/>
    <n v="43"/>
    <n v="3"/>
    <s v="Require"/>
    <n v="43"/>
    <s v="Normal"/>
    <x v="76"/>
    <n v="90.199999999999989"/>
    <d v="2025-01-02T00:00:00"/>
    <d v="2024-07-26T00:00:00"/>
    <d v="2024-10-08T00:00:00"/>
    <n v="420"/>
    <n v="580"/>
    <n v="506"/>
    <s v="Expiring Soon"/>
    <s v="96 Brown Drive"/>
    <x v="78"/>
    <n v="4058.9999999999995"/>
    <n v="87"/>
    <s v="Backordered"/>
    <n v="3968.7999999999997"/>
  </r>
  <r>
    <x v="688"/>
    <x v="69"/>
    <x v="0"/>
    <s v="42-579-7177"/>
    <x v="311"/>
    <x v="70"/>
    <n v="47"/>
    <n v="51"/>
    <s v="Sufficient"/>
    <n v="0"/>
    <s v="Normal"/>
    <x v="32"/>
    <n v="750.5"/>
    <d v="2024-07-19T00:00:00"/>
    <d v="2025-02-16T00:00:00"/>
    <d v="2025-01-28T00:00:00"/>
    <n v="587"/>
    <n v="375"/>
    <n v="394"/>
    <s v="Expiring Soon"/>
    <s v="65 Merry Circle"/>
    <x v="48"/>
    <n v="62291.5"/>
    <n v="69"/>
    <s v="Discontinued"/>
    <n v="61541"/>
  </r>
  <r>
    <x v="689"/>
    <x v="50"/>
    <x v="2"/>
    <s v="75-369-5047"/>
    <x v="277"/>
    <x v="28"/>
    <n v="63"/>
    <n v="86"/>
    <s v="Require"/>
    <n v="63"/>
    <s v="High Priority"/>
    <x v="4"/>
    <n v="188"/>
    <d v="2024-05-19T00:00:00"/>
    <d v="2025-02-13T00:00:00"/>
    <d v="2024-05-07T00:00:00"/>
    <n v="648"/>
    <n v="378"/>
    <n v="660"/>
    <s v="Safe"/>
    <s v="4 Heffernan Lane"/>
    <x v="50"/>
    <n v="14288"/>
    <n v="29"/>
    <s v="Active"/>
    <n v="14100"/>
  </r>
  <r>
    <x v="690"/>
    <x v="65"/>
    <x v="0"/>
    <s v="30-605-2164"/>
    <x v="292"/>
    <x v="53"/>
    <n v="25"/>
    <n v="73"/>
    <s v="Require"/>
    <n v="25"/>
    <s v="Normal"/>
    <x v="30"/>
    <n v="95"/>
    <d v="2024-08-10T00:00:00"/>
    <d v="2024-02-07T00:00:00"/>
    <d v="2024-09-25T00:00:00"/>
    <n v="565"/>
    <n v="750"/>
    <n v="519"/>
    <s v="Expiring Soon"/>
    <s v="2 Fair Oaks Pass"/>
    <x v="16"/>
    <n v="7410"/>
    <n v="1"/>
    <s v="Discontinued"/>
    <n v="7315"/>
  </r>
  <r>
    <x v="691"/>
    <x v="81"/>
    <x v="4"/>
    <s v="27-772-7906"/>
    <x v="22"/>
    <x v="41"/>
    <n v="22"/>
    <n v="11"/>
    <s v="Sufficient"/>
    <n v="0"/>
    <s v="Normal"/>
    <x v="11"/>
    <n v="287"/>
    <d v="2024-06-19T00:00:00"/>
    <d v="2024-04-23T00:00:00"/>
    <d v="2024-04-17T00:00:00"/>
    <n v="617"/>
    <n v="674"/>
    <n v="680"/>
    <s v="Safe"/>
    <s v="7 Victoria Hill"/>
    <x v="52"/>
    <n v="24682"/>
    <n v="30"/>
    <s v="Active"/>
    <n v="24395"/>
  </r>
  <r>
    <x v="692"/>
    <x v="70"/>
    <x v="6"/>
    <s v="75-793-8978"/>
    <x v="241"/>
    <x v="29"/>
    <n v="80"/>
    <n v="88"/>
    <s v="Require"/>
    <n v="80"/>
    <s v="High Priority"/>
    <x v="11"/>
    <n v="322"/>
    <d v="2024-09-19T00:00:00"/>
    <d v="2024-07-06T00:00:00"/>
    <d v="2024-06-17T00:00:00"/>
    <n v="525"/>
    <n v="600"/>
    <n v="619"/>
    <s v="Safe"/>
    <s v="13799 Quincy Park"/>
    <x v="4"/>
    <n v="19964"/>
    <n v="22"/>
    <s v="Discontinued"/>
    <n v="19642"/>
  </r>
  <r>
    <x v="693"/>
    <x v="63"/>
    <x v="3"/>
    <s v="82-525-7224"/>
    <x v="59"/>
    <x v="38"/>
    <n v="57"/>
    <n v="36"/>
    <s v="Sufficient"/>
    <n v="0"/>
    <s v="Normal"/>
    <x v="26"/>
    <n v="120.60000000000001"/>
    <d v="2024-02-08T00:00:00"/>
    <d v="2024-10-04T00:00:00"/>
    <d v="2024-05-27T00:00:00"/>
    <n v="749"/>
    <n v="510"/>
    <n v="640"/>
    <s v="Safe"/>
    <s v="703 Hermina Center"/>
    <x v="16"/>
    <n v="9406.8000000000011"/>
    <n v="60"/>
    <s v="Active"/>
    <n v="9286.2000000000007"/>
  </r>
  <r>
    <x v="694"/>
    <x v="54"/>
    <x v="0"/>
    <s v="21-416-3796"/>
    <x v="312"/>
    <x v="37"/>
    <n v="19"/>
    <n v="96"/>
    <s v="Sufficient"/>
    <n v="0"/>
    <s v="Normal"/>
    <x v="0"/>
    <n v="229.5"/>
    <d v="2024-11-23T00:00:00"/>
    <d v="2025-09-02T00:00:00"/>
    <d v="2024-06-26T00:00:00"/>
    <n v="460"/>
    <n v="177"/>
    <n v="610"/>
    <s v="Safe"/>
    <s v="6748 Mitchell Road"/>
    <x v="21"/>
    <n v="16753.5"/>
    <n v="42"/>
    <s v="Active"/>
    <n v="16524"/>
  </r>
  <r>
    <x v="695"/>
    <x v="10"/>
    <x v="0"/>
    <s v="94-186-9620"/>
    <x v="137"/>
    <x v="83"/>
    <n v="12"/>
    <n v="28"/>
    <s v="Sufficient"/>
    <n v="0"/>
    <s v="Normal"/>
    <x v="10"/>
    <n v="84"/>
    <d v="2024-10-03T00:00:00"/>
    <d v="2024-01-04T00:00:00"/>
    <d v="2024-05-10T00:00:00"/>
    <n v="511"/>
    <n v="784"/>
    <n v="657"/>
    <s v="Safe"/>
    <s v="160 Crowley Center"/>
    <x v="62"/>
    <n v="6720"/>
    <n v="8"/>
    <s v="Discontinued"/>
    <n v="6636"/>
  </r>
  <r>
    <x v="696"/>
    <x v="90"/>
    <x v="3"/>
    <s v="64-752-3122"/>
    <x v="313"/>
    <x v="42"/>
    <n v="86"/>
    <n v="21"/>
    <s v="Require"/>
    <n v="86"/>
    <s v="High Priority"/>
    <x v="42"/>
    <n v="552.5"/>
    <d v="2024-06-30T00:00:00"/>
    <d v="2024-07-24T00:00:00"/>
    <d v="2024-07-18T00:00:00"/>
    <n v="606"/>
    <n v="582"/>
    <n v="588"/>
    <s v="Safe"/>
    <s v="73966 Pond Trail"/>
    <x v="16"/>
    <n v="43095"/>
    <n v="53"/>
    <s v="Backordered"/>
    <n v="42542.5"/>
  </r>
  <r>
    <x v="697"/>
    <x v="97"/>
    <x v="3"/>
    <s v="49-762-8263"/>
    <x v="132"/>
    <x v="65"/>
    <n v="43"/>
    <n v="75"/>
    <s v="Require"/>
    <n v="43"/>
    <s v="Normal"/>
    <x v="6"/>
    <n v="57.5"/>
    <d v="2024-08-11T00:00:00"/>
    <d v="2024-10-31T00:00:00"/>
    <d v="2024-04-03T00:00:00"/>
    <n v="564"/>
    <n v="483"/>
    <n v="694"/>
    <s v="Safe"/>
    <s v="27408 Burning Wood Street"/>
    <x v="56"/>
    <n v="5232.5"/>
    <n v="86"/>
    <s v="Discontinued"/>
    <n v="5175"/>
  </r>
  <r>
    <x v="698"/>
    <x v="53"/>
    <x v="2"/>
    <s v="53-718-1768"/>
    <x v="257"/>
    <x v="36"/>
    <n v="26"/>
    <n v="37"/>
    <s v="Sufficient"/>
    <n v="0"/>
    <s v="Normal"/>
    <x v="0"/>
    <n v="378"/>
    <d v="2024-04-15T00:00:00"/>
    <d v="2024-02-27T00:00:00"/>
    <d v="2025-01-24T00:00:00"/>
    <n v="682"/>
    <n v="730"/>
    <n v="398"/>
    <s v="Expiring Soon"/>
    <s v="9327 Hanover Way"/>
    <x v="17"/>
    <n v="17388"/>
    <n v="67"/>
    <s v="Backordered"/>
    <n v="17010"/>
  </r>
  <r>
    <x v="699"/>
    <x v="8"/>
    <x v="2"/>
    <s v="81-072-8266"/>
    <x v="314"/>
    <x v="44"/>
    <n v="38"/>
    <n v="23"/>
    <s v="Require"/>
    <n v="38"/>
    <s v="Normal"/>
    <x v="97"/>
    <n v="1192.24"/>
    <d v="2024-10-28T00:00:00"/>
    <d v="2024-12-15T00:00:00"/>
    <d v="2024-08-08T00:00:00"/>
    <n v="486"/>
    <n v="438"/>
    <n v="567"/>
    <s v="Safe"/>
    <s v="0500 Calypso Pass"/>
    <x v="67"/>
    <n v="57227.520000000004"/>
    <n v="56"/>
    <s v="Backordered"/>
    <n v="56035.280000000006"/>
  </r>
  <r>
    <x v="700"/>
    <x v="42"/>
    <x v="5"/>
    <s v="55-134-2668"/>
    <x v="211"/>
    <x v="10"/>
    <n v="49"/>
    <n v="38"/>
    <s v="Sufficient"/>
    <n v="0"/>
    <s v="Normal"/>
    <x v="6"/>
    <n v="155"/>
    <d v="2024-12-16T00:00:00"/>
    <d v="2024-05-29T00:00:00"/>
    <d v="2024-10-09T00:00:00"/>
    <n v="437"/>
    <n v="638"/>
    <n v="505"/>
    <s v="Expiring Soon"/>
    <s v="8 Merrick Lane"/>
    <x v="27"/>
    <n v="6510"/>
    <n v="44"/>
    <s v="Discontinued"/>
    <n v="6355"/>
  </r>
  <r>
    <x v="701"/>
    <x v="7"/>
    <x v="4"/>
    <s v="37-079-2530"/>
    <x v="203"/>
    <x v="17"/>
    <n v="94"/>
    <n v="4"/>
    <s v="Require"/>
    <n v="94"/>
    <s v="High Priority"/>
    <x v="6"/>
    <n v="162.5"/>
    <d v="2024-07-31T00:00:00"/>
    <d v="2025-01-30T00:00:00"/>
    <d v="2024-12-28T00:00:00"/>
    <n v="575"/>
    <n v="392"/>
    <n v="425"/>
    <s v="Expiring Soon"/>
    <s v="53894 Myrtle Place"/>
    <x v="15"/>
    <n v="10725"/>
    <n v="36"/>
    <s v="Backordered"/>
    <n v="10562.5"/>
  </r>
  <r>
    <x v="702"/>
    <x v="98"/>
    <x v="2"/>
    <s v="56-823-5908"/>
    <x v="315"/>
    <x v="27"/>
    <n v="8"/>
    <n v="68"/>
    <s v="Sufficient"/>
    <n v="0"/>
    <s v="Normal"/>
    <x v="10"/>
    <n v="36"/>
    <d v="2024-02-06T00:00:00"/>
    <d v="2024-03-10T00:00:00"/>
    <d v="2024-04-19T00:00:00"/>
    <n v="751"/>
    <n v="718"/>
    <n v="678"/>
    <s v="Safe"/>
    <s v="3 Meadow Valley Court"/>
    <x v="46"/>
    <n v="1944"/>
    <n v="45"/>
    <s v="Backordered"/>
    <n v="1908"/>
  </r>
  <r>
    <x v="703"/>
    <x v="120"/>
    <x v="4"/>
    <s v="03-882-3517"/>
    <x v="316"/>
    <x v="67"/>
    <n v="29"/>
    <n v="24"/>
    <s v="Sufficient"/>
    <n v="0"/>
    <s v="Normal"/>
    <x v="88"/>
    <n v="14"/>
    <d v="2024-03-31T00:00:00"/>
    <d v="2024-10-26T00:00:00"/>
    <d v="2024-09-17T00:00:00"/>
    <n v="697"/>
    <n v="488"/>
    <n v="527"/>
    <s v="Expiring Soon"/>
    <s v="97 Walton Avenue"/>
    <x v="4"/>
    <n v="868"/>
    <n v="55"/>
    <s v="Backordered"/>
    <n v="854"/>
  </r>
  <r>
    <x v="704"/>
    <x v="87"/>
    <x v="3"/>
    <s v="95-484-3134"/>
    <x v="173"/>
    <x v="65"/>
    <n v="71"/>
    <n v="32"/>
    <s v="Require"/>
    <n v="71"/>
    <s v="High Priority"/>
    <x v="10"/>
    <n v="46"/>
    <d v="2024-04-14T00:00:00"/>
    <d v="2025-01-16T00:00:00"/>
    <d v="2024-08-18T00:00:00"/>
    <n v="683"/>
    <n v="406"/>
    <n v="557"/>
    <s v="Safe"/>
    <s v="95 Lerdahl Park"/>
    <x v="13"/>
    <n v="2898"/>
    <n v="23"/>
    <s v="Discontinued"/>
    <n v="2852"/>
  </r>
  <r>
    <x v="705"/>
    <x v="65"/>
    <x v="0"/>
    <s v="07-500-2023"/>
    <x v="174"/>
    <x v="11"/>
    <n v="83"/>
    <n v="24"/>
    <s v="Require"/>
    <n v="83"/>
    <s v="High Priority"/>
    <x v="30"/>
    <n v="123.5"/>
    <d v="2025-07-02T00:00:00"/>
    <d v="2024-10-29T00:00:00"/>
    <d v="2024-05-17T00:00:00"/>
    <n v="239"/>
    <n v="485"/>
    <n v="650"/>
    <s v="Safe"/>
    <s v="56 Bonner Point"/>
    <x v="71"/>
    <n v="9262.5"/>
    <n v="12"/>
    <s v="Backordered"/>
    <n v="9139"/>
  </r>
  <r>
    <x v="706"/>
    <x v="93"/>
    <x v="1"/>
    <s v="63-522-2633"/>
    <x v="266"/>
    <x v="53"/>
    <n v="42"/>
    <n v="45"/>
    <s v="Require"/>
    <n v="42"/>
    <s v="Normal"/>
    <x v="29"/>
    <n v="200"/>
    <d v="2024-03-22T00:00:00"/>
    <d v="2024-06-25T00:00:00"/>
    <d v="2024-09-22T00:00:00"/>
    <n v="706"/>
    <n v="611"/>
    <n v="522"/>
    <s v="Expiring Soon"/>
    <s v="149 Lawn Way"/>
    <x v="53"/>
    <n v="14400"/>
    <n v="28"/>
    <s v="Discontinued"/>
    <n v="14200"/>
  </r>
  <r>
    <x v="707"/>
    <x v="49"/>
    <x v="4"/>
    <s v="23-931-2988"/>
    <x v="317"/>
    <x v="5"/>
    <n v="58"/>
    <n v="6"/>
    <s v="Require"/>
    <n v="58"/>
    <s v="Normal"/>
    <x v="52"/>
    <n v="396"/>
    <d v="2025-01-17T00:00:00"/>
    <d v="2024-12-07T00:00:00"/>
    <d v="2024-09-23T00:00:00"/>
    <n v="405"/>
    <n v="446"/>
    <n v="521"/>
    <s v="Expiring Soon"/>
    <s v="61 Transport Parkway"/>
    <x v="67"/>
    <n v="19008"/>
    <n v="17"/>
    <s v="Discontinued"/>
    <n v="18612"/>
  </r>
  <r>
    <x v="708"/>
    <x v="92"/>
    <x v="0"/>
    <s v="22-050-5775"/>
    <x v="318"/>
    <x v="45"/>
    <n v="67"/>
    <n v="67"/>
    <s v="Sufficient"/>
    <n v="0"/>
    <s v="Normal"/>
    <x v="45"/>
    <n v="225.5"/>
    <d v="2024-03-25T00:00:00"/>
    <d v="2024-07-07T00:00:00"/>
    <d v="2024-10-19T00:00:00"/>
    <n v="703"/>
    <n v="599"/>
    <n v="495"/>
    <s v="Expiring Soon"/>
    <s v="5 Fisk Point"/>
    <x v="51"/>
    <n v="5863"/>
    <n v="1"/>
    <s v="Backordered"/>
    <n v="5637.5"/>
  </r>
  <r>
    <x v="709"/>
    <x v="115"/>
    <x v="6"/>
    <s v="37-567-5710"/>
    <x v="319"/>
    <x v="49"/>
    <n v="12"/>
    <n v="28"/>
    <s v="Sufficient"/>
    <n v="0"/>
    <s v="Normal"/>
    <x v="21"/>
    <n v="1095"/>
    <d v="2024-09-15T00:00:00"/>
    <d v="2024-08-06T00:00:00"/>
    <d v="2024-11-29T00:00:00"/>
    <n v="529"/>
    <n v="569"/>
    <n v="454"/>
    <s v="Expiring Soon"/>
    <s v="56 Petterle Circle"/>
    <x v="72"/>
    <n v="97455"/>
    <n v="92"/>
    <s v="Active"/>
    <n v="96360"/>
  </r>
  <r>
    <x v="710"/>
    <x v="48"/>
    <x v="1"/>
    <s v="52-130-3457"/>
    <x v="320"/>
    <x v="19"/>
    <n v="83"/>
    <n v="36"/>
    <s v="Require"/>
    <n v="83"/>
    <s v="High Priority"/>
    <x v="25"/>
    <n v="2025"/>
    <d v="2024-10-26T00:00:00"/>
    <d v="2025-07-01T00:00:00"/>
    <d v="2024-10-16T00:00:00"/>
    <n v="488"/>
    <n v="240"/>
    <n v="498"/>
    <s v="Expiring Soon"/>
    <s v="38 Banding Lane"/>
    <x v="49"/>
    <n v="149850"/>
    <n v="86"/>
    <s v="Backordered"/>
    <n v="147825"/>
  </r>
  <r>
    <x v="711"/>
    <x v="31"/>
    <x v="2"/>
    <s v="75-406-6250"/>
    <x v="156"/>
    <x v="53"/>
    <n v="65"/>
    <n v="61"/>
    <s v="Require"/>
    <n v="65"/>
    <s v="High Priority"/>
    <x v="10"/>
    <n v="40"/>
    <d v="2024-04-07T00:00:00"/>
    <d v="2024-10-07T00:00:00"/>
    <d v="2024-10-15T00:00:00"/>
    <n v="690"/>
    <n v="507"/>
    <n v="499"/>
    <s v="Expiring Soon"/>
    <s v="1991 Kropf Way"/>
    <x v="32"/>
    <n v="2040"/>
    <n v="78"/>
    <s v="Active"/>
    <n v="2000"/>
  </r>
  <r>
    <x v="712"/>
    <x v="36"/>
    <x v="1"/>
    <s v="21-450-5520"/>
    <x v="246"/>
    <x v="87"/>
    <n v="38"/>
    <n v="27"/>
    <s v="Sufficient"/>
    <n v="0"/>
    <s v="Normal"/>
    <x v="21"/>
    <n v="1170"/>
    <d v="2024-06-04T00:00:00"/>
    <d v="2024-09-07T00:00:00"/>
    <d v="2024-09-12T00:00:00"/>
    <n v="632"/>
    <n v="537"/>
    <n v="532"/>
    <s v="Expiring Soon"/>
    <s v="0023 Upham Road"/>
    <x v="46"/>
    <n v="63180"/>
    <n v="42"/>
    <s v="Active"/>
    <n v="62010"/>
  </r>
  <r>
    <x v="713"/>
    <x v="56"/>
    <x v="5"/>
    <s v="98-587-7923"/>
    <x v="321"/>
    <x v="36"/>
    <n v="58"/>
    <n v="28"/>
    <s v="Sufficient"/>
    <n v="0"/>
    <s v="Normal"/>
    <x v="2"/>
    <n v="504"/>
    <d v="2024-04-17T00:00:00"/>
    <d v="2025-04-02T00:00:00"/>
    <d v="2024-05-25T00:00:00"/>
    <n v="680"/>
    <n v="330"/>
    <n v="642"/>
    <s v="Safe"/>
    <s v="7 Duke Parkway"/>
    <x v="32"/>
    <n v="25704"/>
    <n v="12"/>
    <s v="Active"/>
    <n v="25200"/>
  </r>
  <r>
    <x v="714"/>
    <x v="6"/>
    <x v="3"/>
    <s v="88-020-6814"/>
    <x v="28"/>
    <x v="90"/>
    <n v="38"/>
    <n v="23"/>
    <s v="Require"/>
    <n v="38"/>
    <s v="Normal"/>
    <x v="6"/>
    <n v="80"/>
    <d v="2024-06-16T00:00:00"/>
    <d v="2024-05-29T00:00:00"/>
    <d v="2025-02-02T00:00:00"/>
    <n v="620"/>
    <n v="638"/>
    <n v="389"/>
    <s v="Expiring Soon"/>
    <s v="7 Anzinger Lane"/>
    <x v="20"/>
    <n v="4160"/>
    <n v="11"/>
    <s v="Discontinued"/>
    <n v="4080"/>
  </r>
  <r>
    <x v="715"/>
    <x v="117"/>
    <x v="3"/>
    <s v="32-386-9832"/>
    <x v="321"/>
    <x v="82"/>
    <n v="75"/>
    <n v="6"/>
    <s v="Sufficient"/>
    <n v="0"/>
    <s v="Normal"/>
    <x v="15"/>
    <n v="450"/>
    <d v="2024-06-07T00:00:00"/>
    <d v="2025-01-01T00:00:00"/>
    <d v="2024-08-31T00:00:00"/>
    <n v="629"/>
    <n v="421"/>
    <n v="544"/>
    <s v="Expiring Soon"/>
    <s v="093 Anhalt Crossing"/>
    <x v="79"/>
    <n v="24750"/>
    <n v="64"/>
    <s v="Active"/>
    <n v="24300"/>
  </r>
  <r>
    <x v="716"/>
    <x v="107"/>
    <x v="4"/>
    <s v="82-930-7733"/>
    <x v="202"/>
    <x v="67"/>
    <n v="81"/>
    <n v="75"/>
    <s v="Require"/>
    <n v="81"/>
    <s v="High Priority"/>
    <x v="10"/>
    <n v="140"/>
    <d v="2024-08-09T00:00:00"/>
    <d v="2024-02-27T00:00:00"/>
    <d v="2024-02-29T00:00:00"/>
    <n v="566"/>
    <n v="730"/>
    <n v="728"/>
    <s v="Safe"/>
    <s v="779 Ridgeway Street"/>
    <x v="38"/>
    <n v="3360"/>
    <n v="54"/>
    <s v="Backordered"/>
    <n v="3220"/>
  </r>
  <r>
    <x v="717"/>
    <x v="53"/>
    <x v="2"/>
    <s v="60-508-7567"/>
    <x v="322"/>
    <x v="82"/>
    <n v="22"/>
    <n v="20"/>
    <s v="Sufficient"/>
    <n v="0"/>
    <s v="Normal"/>
    <x v="0"/>
    <n v="405"/>
    <d v="2024-06-30T00:00:00"/>
    <d v="2025-02-22T00:00:00"/>
    <d v="2025-01-13T00:00:00"/>
    <n v="606"/>
    <n v="369"/>
    <n v="409"/>
    <s v="Expiring Soon"/>
    <s v="5 Warner Court"/>
    <x v="68"/>
    <n v="32805"/>
    <n v="88"/>
    <s v="Backordered"/>
    <n v="32400"/>
  </r>
  <r>
    <x v="718"/>
    <x v="71"/>
    <x v="2"/>
    <s v="99-178-0951"/>
    <x v="109"/>
    <x v="46"/>
    <n v="7"/>
    <n v="14"/>
    <s v="Sufficient"/>
    <n v="0"/>
    <s v="Normal"/>
    <x v="10"/>
    <n v="200"/>
    <d v="2024-12-16T00:00:00"/>
    <d v="2024-06-03T00:00:00"/>
    <d v="2024-07-25T00:00:00"/>
    <n v="437"/>
    <n v="633"/>
    <n v="581"/>
    <s v="Safe"/>
    <s v="9 Cardinal Alley"/>
    <x v="51"/>
    <n v="5200"/>
    <n v="33"/>
    <s v="Backordered"/>
    <n v="5000"/>
  </r>
  <r>
    <x v="719"/>
    <x v="104"/>
    <x v="0"/>
    <s v="39-257-6162"/>
    <x v="239"/>
    <x v="52"/>
    <n v="54"/>
    <n v="15"/>
    <s v="Sufficient"/>
    <n v="0"/>
    <s v="Normal"/>
    <x v="6"/>
    <n v="222.5"/>
    <d v="2024-09-10T00:00:00"/>
    <d v="2024-01-08T00:00:00"/>
    <d v="2024-05-03T00:00:00"/>
    <n v="534"/>
    <n v="780"/>
    <n v="664"/>
    <s v="Safe"/>
    <s v="32 Cottonwood Pass"/>
    <x v="44"/>
    <n v="14240"/>
    <n v="63"/>
    <s v="Active"/>
    <n v="14017.5"/>
  </r>
  <r>
    <x v="720"/>
    <x v="92"/>
    <x v="0"/>
    <s v="43-979-2253"/>
    <x v="5"/>
    <x v="54"/>
    <n v="43"/>
    <n v="28"/>
    <s v="Require"/>
    <n v="43"/>
    <s v="Normal"/>
    <x v="98"/>
    <n v="102.60000000000001"/>
    <d v="2024-01-10T00:00:00"/>
    <d v="2024-07-26T00:00:00"/>
    <d v="2024-09-15T00:00:00"/>
    <n v="778"/>
    <n v="580"/>
    <n v="529"/>
    <s v="Expiring Soon"/>
    <s v="21343 Brentwood Circle"/>
    <x v="5"/>
    <n v="3488.4"/>
    <n v="54"/>
    <s v="Backordered"/>
    <n v="3385.8"/>
  </r>
  <r>
    <x v="721"/>
    <x v="11"/>
    <x v="5"/>
    <s v="93-900-1170"/>
    <x v="323"/>
    <x v="33"/>
    <n v="20"/>
    <n v="29"/>
    <s v="Sufficient"/>
    <n v="0"/>
    <s v="Normal"/>
    <x v="7"/>
    <n v="183"/>
    <d v="2024-04-19T00:00:00"/>
    <d v="2024-03-13T00:00:00"/>
    <d v="2024-09-12T00:00:00"/>
    <n v="678"/>
    <n v="715"/>
    <n v="532"/>
    <s v="Expiring Soon"/>
    <s v="88 Hooker Parkway"/>
    <x v="75"/>
    <n v="12993"/>
    <n v="97"/>
    <s v="Backordered"/>
    <n v="12810"/>
  </r>
  <r>
    <x v="722"/>
    <x v="41"/>
    <x v="2"/>
    <s v="40-180-0752"/>
    <x v="203"/>
    <x v="31"/>
    <n v="48"/>
    <n v="25"/>
    <s v="Sufficient"/>
    <n v="0"/>
    <s v="Normal"/>
    <x v="7"/>
    <n v="225"/>
    <d v="2024-11-12T00:00:00"/>
    <d v="2024-08-17T00:00:00"/>
    <d v="2024-08-29T00:00:00"/>
    <n v="471"/>
    <n v="558"/>
    <n v="546"/>
    <s v="Expiring Soon"/>
    <s v="72090 Northfield Place"/>
    <x v="40"/>
    <n v="21600"/>
    <n v="65"/>
    <s v="Backordered"/>
    <n v="21375"/>
  </r>
  <r>
    <x v="723"/>
    <x v="38"/>
    <x v="5"/>
    <s v="81-694-0300"/>
    <x v="324"/>
    <x v="89"/>
    <n v="70"/>
    <n v="77"/>
    <s v="Sufficient"/>
    <n v="0"/>
    <s v="Normal"/>
    <x v="31"/>
    <n v="278.40000000000003"/>
    <d v="2024-08-05T00:00:00"/>
    <d v="2024-02-27T00:00:00"/>
    <d v="2025-02-02T00:00:00"/>
    <n v="570"/>
    <n v="730"/>
    <n v="389"/>
    <s v="Expiring Soon"/>
    <s v="8 Mayer Trail"/>
    <x v="21"/>
    <n v="20323.2"/>
    <n v="44"/>
    <s v="Active"/>
    <n v="20044.8"/>
  </r>
  <r>
    <x v="724"/>
    <x v="14"/>
    <x v="0"/>
    <s v="25-769-3792"/>
    <x v="325"/>
    <x v="86"/>
    <n v="77"/>
    <n v="30"/>
    <s v="Require"/>
    <n v="77"/>
    <s v="High Priority"/>
    <x v="3"/>
    <n v="106.5"/>
    <d v="2024-07-17T00:00:00"/>
    <d v="2024-09-11T00:00:00"/>
    <d v="2025-01-20T00:00:00"/>
    <n v="589"/>
    <n v="533"/>
    <n v="402"/>
    <s v="Expiring Soon"/>
    <s v="9 Eastlawn Crossing"/>
    <x v="5"/>
    <n v="3621"/>
    <n v="57"/>
    <s v="Backordered"/>
    <n v="3514.5"/>
  </r>
  <r>
    <x v="725"/>
    <x v="30"/>
    <x v="6"/>
    <s v="29-542-9338"/>
    <x v="326"/>
    <x v="84"/>
    <n v="100"/>
    <n v="34"/>
    <s v="Require"/>
    <n v="100"/>
    <s v="High Priority"/>
    <x v="18"/>
    <n v="882"/>
    <d v="2024-10-13T00:00:00"/>
    <d v="2024-02-28T00:00:00"/>
    <d v="2024-08-27T00:00:00"/>
    <n v="501"/>
    <n v="729"/>
    <n v="548"/>
    <s v="Expiring Soon"/>
    <s v="9 Anhalt Trail"/>
    <x v="59"/>
    <n v="46746"/>
    <n v="20"/>
    <s v="Active"/>
    <n v="45864"/>
  </r>
  <r>
    <x v="726"/>
    <x v="18"/>
    <x v="2"/>
    <s v="37-599-8579"/>
    <x v="169"/>
    <x v="26"/>
    <n v="92"/>
    <n v="41"/>
    <s v="Require"/>
    <n v="92"/>
    <s v="High Priority"/>
    <x v="10"/>
    <n v="38"/>
    <d v="2025-05-01T00:00:00"/>
    <d v="2025-11-01T00:00:00"/>
    <d v="2024-10-13T00:00:00"/>
    <n v="301"/>
    <n v="117"/>
    <n v="501"/>
    <s v="Expiring Soon"/>
    <s v="6 Bay Road"/>
    <x v="32"/>
    <n v="1938"/>
    <n v="79"/>
    <s v="Active"/>
    <n v="1900"/>
  </r>
  <r>
    <x v="727"/>
    <x v="72"/>
    <x v="2"/>
    <s v="89-159-0852"/>
    <x v="327"/>
    <x v="42"/>
    <n v="90"/>
    <n v="16"/>
    <s v="Require"/>
    <n v="90"/>
    <s v="High Priority"/>
    <x v="15"/>
    <n v="425"/>
    <d v="2024-05-25T00:00:00"/>
    <d v="2024-03-06T00:00:00"/>
    <d v="2024-07-30T00:00:00"/>
    <n v="642"/>
    <n v="722"/>
    <n v="576"/>
    <s v="Safe"/>
    <s v="736 Redwing Parkway"/>
    <x v="26"/>
    <n v="25925"/>
    <n v="80"/>
    <s v="Backordered"/>
    <n v="25500"/>
  </r>
  <r>
    <x v="728"/>
    <x v="110"/>
    <x v="2"/>
    <s v="32-497-0478"/>
    <x v="163"/>
    <x v="86"/>
    <n v="36"/>
    <n v="45"/>
    <s v="Sufficient"/>
    <n v="0"/>
    <s v="Normal"/>
    <x v="16"/>
    <n v="248.5"/>
    <d v="2025-01-29T00:00:00"/>
    <d v="2024-11-17T00:00:00"/>
    <d v="2025-01-02T00:00:00"/>
    <n v="393"/>
    <n v="466"/>
    <n v="420"/>
    <s v="Expiring Soon"/>
    <s v="5 Eggendart Parkway"/>
    <x v="80"/>
    <n v="21619.5"/>
    <n v="2"/>
    <s v="Backordered"/>
    <n v="21371"/>
  </r>
  <r>
    <x v="729"/>
    <x v="104"/>
    <x v="0"/>
    <s v="74-729-7466"/>
    <x v="46"/>
    <x v="7"/>
    <n v="48"/>
    <n v="77"/>
    <s v="Require"/>
    <n v="48"/>
    <s v="Normal"/>
    <x v="6"/>
    <n v="110"/>
    <d v="2024-08-23T00:00:00"/>
    <d v="2024-09-17T00:00:00"/>
    <d v="2025-01-23T00:00:00"/>
    <n v="552"/>
    <n v="527"/>
    <n v="399"/>
    <s v="Expiring Soon"/>
    <s v="955 4th Road"/>
    <x v="6"/>
    <n v="7370"/>
    <n v="79"/>
    <s v="Discontinued"/>
    <n v="7260"/>
  </r>
  <r>
    <x v="730"/>
    <x v="66"/>
    <x v="0"/>
    <s v="46-171-9624"/>
    <x v="84"/>
    <x v="71"/>
    <n v="95"/>
    <n v="71"/>
    <s v="Require"/>
    <n v="95"/>
    <s v="High Priority"/>
    <x v="10"/>
    <n v="50"/>
    <d v="2024-06-25T00:00:00"/>
    <d v="2024-09-07T00:00:00"/>
    <d v="2025-01-14T00:00:00"/>
    <n v="611"/>
    <n v="537"/>
    <n v="408"/>
    <s v="Expiring Soon"/>
    <s v="996 Thierer Center"/>
    <x v="38"/>
    <n v="1200"/>
    <n v="76"/>
    <s v="Backordered"/>
    <n v="1150"/>
  </r>
  <r>
    <x v="731"/>
    <x v="59"/>
    <x v="3"/>
    <s v="86-995-7254"/>
    <x v="242"/>
    <x v="35"/>
    <n v="14"/>
    <n v="5"/>
    <s v="Sufficient"/>
    <n v="0"/>
    <s v="Normal"/>
    <x v="4"/>
    <n v="96"/>
    <d v="2024-06-20T00:00:00"/>
    <d v="2024-03-30T00:00:00"/>
    <d v="2024-06-17T00:00:00"/>
    <n v="616"/>
    <n v="698"/>
    <n v="619"/>
    <s v="Safe"/>
    <s v="0 Lawn Parkway"/>
    <x v="60"/>
    <n v="9408"/>
    <n v="9"/>
    <s v="Active"/>
    <n v="9312"/>
  </r>
  <r>
    <x v="732"/>
    <x v="95"/>
    <x v="6"/>
    <s v="99-553-6838"/>
    <x v="46"/>
    <x v="7"/>
    <n v="97"/>
    <n v="76"/>
    <s v="Require"/>
    <n v="97"/>
    <s v="High Priority"/>
    <x v="29"/>
    <n v="440"/>
    <d v="2024-05-27T00:00:00"/>
    <d v="2024-10-04T00:00:00"/>
    <d v="2024-12-15T00:00:00"/>
    <n v="640"/>
    <n v="510"/>
    <n v="438"/>
    <s v="Expiring Soon"/>
    <s v="959 Dorton Pass"/>
    <x v="62"/>
    <n v="35200"/>
    <n v="33"/>
    <s v="Discontinued"/>
    <n v="34760"/>
  </r>
  <r>
    <x v="733"/>
    <x v="86"/>
    <x v="0"/>
    <s v="12-947-4739"/>
    <x v="211"/>
    <x v="21"/>
    <n v="4"/>
    <n v="46"/>
    <s v="Sufficient"/>
    <n v="0"/>
    <s v="Normal"/>
    <x v="6"/>
    <n v="157.5"/>
    <d v="2024-08-17T00:00:00"/>
    <d v="2024-03-21T00:00:00"/>
    <d v="2024-03-09T00:00:00"/>
    <n v="558"/>
    <n v="707"/>
    <n v="719"/>
    <s v="Safe"/>
    <s v="5 Homewood Street"/>
    <x v="35"/>
    <n v="6300"/>
    <n v="69"/>
    <s v="Discontinued"/>
    <n v="6142.5"/>
  </r>
  <r>
    <x v="734"/>
    <x v="63"/>
    <x v="3"/>
    <s v="36-964-9838"/>
    <x v="94"/>
    <x v="79"/>
    <n v="59"/>
    <n v="29"/>
    <s v="Sufficient"/>
    <n v="0"/>
    <s v="Normal"/>
    <x v="26"/>
    <n v="124.2"/>
    <d v="2024-10-30T00:00:00"/>
    <d v="2024-05-23T00:00:00"/>
    <d v="2024-05-22T00:00:00"/>
    <n v="484"/>
    <n v="644"/>
    <n v="645"/>
    <s v="Safe"/>
    <s v="4571 Fremont Way"/>
    <x v="13"/>
    <n v="7824.6"/>
    <n v="91"/>
    <s v="Active"/>
    <n v="7700.4000000000005"/>
  </r>
  <r>
    <x v="735"/>
    <x v="82"/>
    <x v="6"/>
    <s v="11-031-9939"/>
    <x v="274"/>
    <x v="20"/>
    <n v="71"/>
    <n v="9"/>
    <s v="Sufficient"/>
    <n v="0"/>
    <s v="Normal"/>
    <x v="39"/>
    <n v="1584"/>
    <d v="2024-03-14T00:00:00"/>
    <d v="2024-12-28T00:00:00"/>
    <d v="2024-03-16T00:00:00"/>
    <n v="714"/>
    <n v="425"/>
    <n v="712"/>
    <s v="Safe"/>
    <s v="9440 Coleman Drive"/>
    <x v="64"/>
    <n v="44352"/>
    <n v="14"/>
    <s v="Backordered"/>
    <n v="42768"/>
  </r>
  <r>
    <x v="736"/>
    <x v="93"/>
    <x v="1"/>
    <s v="50-877-0990"/>
    <x v="328"/>
    <x v="59"/>
    <n v="2"/>
    <n v="45"/>
    <s v="Sufficient"/>
    <n v="0"/>
    <s v="Normal"/>
    <x v="29"/>
    <n v="740"/>
    <d v="2024-02-29T00:00:00"/>
    <d v="2025-03-02T00:00:00"/>
    <d v="2024-04-06T00:00:00"/>
    <n v="728"/>
    <n v="361"/>
    <n v="691"/>
    <s v="Safe"/>
    <s v="49225 Homewood Place"/>
    <x v="36"/>
    <n v="27380"/>
    <n v="99"/>
    <s v="Active"/>
    <n v="26640"/>
  </r>
  <r>
    <x v="737"/>
    <x v="53"/>
    <x v="2"/>
    <s v="53-497-9614"/>
    <x v="329"/>
    <x v="84"/>
    <n v="43"/>
    <n v="9"/>
    <s v="Sufficient"/>
    <n v="0"/>
    <s v="Normal"/>
    <x v="0"/>
    <n v="441"/>
    <d v="2024-06-25T00:00:00"/>
    <d v="2024-06-03T00:00:00"/>
    <d v="2024-12-29T00:00:00"/>
    <n v="611"/>
    <n v="633"/>
    <n v="424"/>
    <s v="Expiring Soon"/>
    <s v="06584 Mendota Avenue"/>
    <x v="52"/>
    <n v="37926"/>
    <n v="62"/>
    <s v="Backordered"/>
    <n v="37485"/>
  </r>
  <r>
    <x v="738"/>
    <x v="120"/>
    <x v="4"/>
    <s v="00-487-2428"/>
    <x v="184"/>
    <x v="0"/>
    <n v="19"/>
    <n v="4"/>
    <s v="Sufficient"/>
    <n v="0"/>
    <s v="Normal"/>
    <x v="88"/>
    <n v="4.4000000000000004"/>
    <d v="2024-04-18T00:00:00"/>
    <d v="2024-03-17T00:00:00"/>
    <d v="2024-09-17T00:00:00"/>
    <n v="679"/>
    <n v="711"/>
    <n v="527"/>
    <s v="Expiring Soon"/>
    <s v="79878 Katie Trail"/>
    <x v="74"/>
    <n v="387.20000000000005"/>
    <n v="24"/>
    <s v="Discontinued"/>
    <n v="382.80000000000007"/>
  </r>
  <r>
    <x v="739"/>
    <x v="106"/>
    <x v="2"/>
    <s v="95-241-9348"/>
    <x v="10"/>
    <x v="5"/>
    <n v="96"/>
    <n v="40"/>
    <s v="Require"/>
    <n v="96"/>
    <s v="High Priority"/>
    <x v="15"/>
    <n v="275"/>
    <d v="2024-05-16T00:00:00"/>
    <d v="2024-11-05T00:00:00"/>
    <d v="2024-06-06T00:00:00"/>
    <n v="651"/>
    <n v="478"/>
    <n v="630"/>
    <s v="Safe"/>
    <s v="0 Lerdahl Parkway"/>
    <x v="61"/>
    <n v="6325"/>
    <n v="47"/>
    <s v="Discontinued"/>
    <n v="6050"/>
  </r>
  <r>
    <x v="740"/>
    <x v="47"/>
    <x v="4"/>
    <s v="53-998-1422"/>
    <x v="323"/>
    <x v="6"/>
    <n v="80"/>
    <n v="20"/>
    <s v="Sufficient"/>
    <n v="0"/>
    <s v="Normal"/>
    <x v="34"/>
    <n v="585.59999999999991"/>
    <d v="2024-12-19T00:00:00"/>
    <d v="2024-07-30T00:00:00"/>
    <d v="2025-01-28T00:00:00"/>
    <n v="434"/>
    <n v="576"/>
    <n v="394"/>
    <s v="Expiring Soon"/>
    <s v="803 Cottonwood Crossing"/>
    <x v="24"/>
    <n v="55046.399999999994"/>
    <n v="49"/>
    <s v="Discontinued"/>
    <n v="54460.799999999996"/>
  </r>
  <r>
    <x v="741"/>
    <x v="13"/>
    <x v="4"/>
    <s v="45-331-8563"/>
    <x v="314"/>
    <x v="8"/>
    <n v="7"/>
    <n v="64"/>
    <s v="Sufficient"/>
    <n v="0"/>
    <s v="Normal"/>
    <x v="11"/>
    <n v="637"/>
    <d v="2024-09-11T00:00:00"/>
    <d v="2024-12-08T00:00:00"/>
    <d v="2025-02-24T00:00:00"/>
    <n v="533"/>
    <n v="445"/>
    <n v="367"/>
    <s v="Expiring Soon"/>
    <s v="4 Duke Way"/>
    <x v="0"/>
    <n v="20384"/>
    <n v="65"/>
    <s v="Discontinued"/>
    <n v="19747"/>
  </r>
  <r>
    <x v="742"/>
    <x v="99"/>
    <x v="5"/>
    <s v="90-998-1236"/>
    <x v="196"/>
    <x v="69"/>
    <n v="91"/>
    <n v="24"/>
    <s v="Require"/>
    <n v="91"/>
    <s v="High Priority"/>
    <x v="4"/>
    <n v="160"/>
    <d v="2024-07-29T00:00:00"/>
    <d v="2024-12-12T00:00:00"/>
    <d v="2024-11-30T00:00:00"/>
    <n v="577"/>
    <n v="441"/>
    <n v="453"/>
    <s v="Expiring Soon"/>
    <s v="4247 David Crossing"/>
    <x v="64"/>
    <n v="4480"/>
    <n v="47"/>
    <s v="Discontinued"/>
    <n v="4320"/>
  </r>
  <r>
    <x v="743"/>
    <x v="115"/>
    <x v="6"/>
    <s v="98-155-9583"/>
    <x v="117"/>
    <x v="60"/>
    <n v="46"/>
    <n v="12"/>
    <s v="Sufficient"/>
    <n v="0"/>
    <s v="Normal"/>
    <x v="21"/>
    <n v="780"/>
    <d v="2024-12-18T00:00:00"/>
    <d v="2024-04-06T00:00:00"/>
    <d v="2024-04-16T00:00:00"/>
    <n v="435"/>
    <n v="691"/>
    <n v="681"/>
    <s v="Safe"/>
    <s v="9433 Jenna Lane"/>
    <x v="31"/>
    <n v="33540"/>
    <n v="34"/>
    <s v="Backordered"/>
    <n v="32760"/>
  </r>
  <r>
    <x v="744"/>
    <x v="71"/>
    <x v="2"/>
    <s v="00-912-3545"/>
    <x v="221"/>
    <x v="0"/>
    <n v="22"/>
    <n v="65"/>
    <s v="Require"/>
    <n v="22"/>
    <s v="Normal"/>
    <x v="10"/>
    <n v="44"/>
    <d v="2025-01-15T00:00:00"/>
    <d v="2024-04-30T00:00:00"/>
    <d v="2024-06-12T00:00:00"/>
    <n v="407"/>
    <n v="667"/>
    <n v="624"/>
    <s v="Safe"/>
    <s v="03 Ryan Circle"/>
    <x v="4"/>
    <n v="2728"/>
    <n v="78"/>
    <s v="Backordered"/>
    <n v="2684"/>
  </r>
  <r>
    <x v="745"/>
    <x v="2"/>
    <x v="0"/>
    <s v="87-570-0273"/>
    <x v="199"/>
    <x v="84"/>
    <n v="41"/>
    <n v="98"/>
    <s v="Sufficient"/>
    <n v="0"/>
    <s v="Normal"/>
    <x v="99"/>
    <n v="622.29999999999995"/>
    <d v="2025-05-01T00:00:00"/>
    <d v="2024-08-31T00:00:00"/>
    <d v="2025-01-18T00:00:00"/>
    <n v="301"/>
    <n v="544"/>
    <n v="404"/>
    <s v="Expiring Soon"/>
    <s v="75054 Ramsey Parkway"/>
    <x v="73"/>
    <n v="43561"/>
    <n v="75"/>
    <s v="Backordered"/>
    <n v="42938.7"/>
  </r>
  <r>
    <x v="746"/>
    <x v="92"/>
    <x v="0"/>
    <s v="40-070-5881"/>
    <x v="4"/>
    <x v="43"/>
    <n v="73"/>
    <n v="86"/>
    <s v="Require"/>
    <n v="73"/>
    <s v="High Priority"/>
    <x v="45"/>
    <n v="162.25"/>
    <d v="2025-02-13T00:00:00"/>
    <d v="2025-01-01T00:00:00"/>
    <d v="2024-09-11T00:00:00"/>
    <n v="378"/>
    <n v="421"/>
    <n v="533"/>
    <s v="Expiring Soon"/>
    <s v="78919 East Crossing"/>
    <x v="0"/>
    <n v="5192"/>
    <n v="56"/>
    <s v="Backordered"/>
    <n v="5029.75"/>
  </r>
  <r>
    <x v="747"/>
    <x v="61"/>
    <x v="5"/>
    <s v="94-903-2643"/>
    <x v="257"/>
    <x v="47"/>
    <n v="3"/>
    <n v="79"/>
    <s v="Sufficient"/>
    <n v="0"/>
    <s v="Normal"/>
    <x v="15"/>
    <n v="495"/>
    <d v="2024-05-06T00:00:00"/>
    <d v="2025-01-16T00:00:00"/>
    <d v="2024-11-21T00:00:00"/>
    <n v="661"/>
    <n v="406"/>
    <n v="462"/>
    <s v="Expiring Soon"/>
    <s v="865 Eagle Crest Park"/>
    <x v="29"/>
    <n v="32175"/>
    <n v="16"/>
    <s v="Backordered"/>
    <n v="31680"/>
  </r>
  <r>
    <x v="748"/>
    <x v="46"/>
    <x v="1"/>
    <s v="50-747-2259"/>
    <x v="79"/>
    <x v="27"/>
    <n v="36"/>
    <n v="53"/>
    <s v="Require"/>
    <n v="36"/>
    <s v="Normal"/>
    <x v="100"/>
    <n v="95.399999999999991"/>
    <d v="2024-12-05T00:00:00"/>
    <d v="2024-01-05T00:00:00"/>
    <d v="2024-06-24T00:00:00"/>
    <n v="448"/>
    <n v="783"/>
    <n v="612"/>
    <s v="Safe"/>
    <s v="0920 Monica Pass"/>
    <x v="29"/>
    <n v="6200.9999999999991"/>
    <n v="100"/>
    <s v="Active"/>
    <n v="6105.5999999999995"/>
  </r>
  <r>
    <x v="749"/>
    <x v="94"/>
    <x v="2"/>
    <s v="27-541-2645"/>
    <x v="140"/>
    <x v="62"/>
    <n v="12"/>
    <n v="99"/>
    <s v="Sufficient"/>
    <n v="0"/>
    <s v="Normal"/>
    <x v="7"/>
    <n v="174"/>
    <d v="2025-01-22T00:00:00"/>
    <d v="2025-12-01T00:00:00"/>
    <d v="2024-05-26T00:00:00"/>
    <n v="400"/>
    <n v="87"/>
    <n v="641"/>
    <s v="Safe"/>
    <s v="00064 Mosinee Circle"/>
    <x v="75"/>
    <n v="12354"/>
    <n v="30"/>
    <s v="Active"/>
    <n v="12180"/>
  </r>
  <r>
    <x v="750"/>
    <x v="2"/>
    <x v="0"/>
    <s v="64-800-4141"/>
    <x v="169"/>
    <x v="2"/>
    <n v="34"/>
    <n v="96"/>
    <s v="Require"/>
    <n v="34"/>
    <s v="Normal"/>
    <x v="101"/>
    <n v="189"/>
    <d v="2024-04-11T00:00:00"/>
    <d v="2024-12-19T00:00:00"/>
    <d v="2024-04-22T00:00:00"/>
    <n v="686"/>
    <n v="434"/>
    <n v="675"/>
    <s v="Safe"/>
    <s v="752 Mccormick Way"/>
    <x v="26"/>
    <n v="11529"/>
    <n v="13"/>
    <s v="Backordered"/>
    <n v="11340"/>
  </r>
  <r>
    <x v="751"/>
    <x v="108"/>
    <x v="2"/>
    <s v="93-793-4398"/>
    <x v="52"/>
    <x v="23"/>
    <n v="97"/>
    <n v="71"/>
    <s v="Require"/>
    <n v="97"/>
    <s v="High Priority"/>
    <x v="0"/>
    <n v="436.5"/>
    <d v="2024-12-07T00:00:00"/>
    <d v="2024-09-29T00:00:00"/>
    <d v="2024-08-22T00:00:00"/>
    <n v="446"/>
    <n v="515"/>
    <n v="553"/>
    <s v="Safe"/>
    <s v="561 Pennsylvania Way"/>
    <x v="59"/>
    <n v="23134.5"/>
    <n v="31"/>
    <s v="Active"/>
    <n v="22698"/>
  </r>
  <r>
    <x v="752"/>
    <x v="7"/>
    <x v="4"/>
    <s v="13-433-4930"/>
    <x v="185"/>
    <x v="74"/>
    <n v="93"/>
    <n v="37"/>
    <s v="Require"/>
    <n v="93"/>
    <s v="High Priority"/>
    <x v="62"/>
    <n v="122.50000000000001"/>
    <d v="2025-11-01T00:00:00"/>
    <d v="2024-02-03T00:00:00"/>
    <d v="2024-05-12T00:00:00"/>
    <n v="117"/>
    <n v="754"/>
    <n v="655"/>
    <s v="Safe"/>
    <s v="288 Fair Oaks Place"/>
    <x v="16"/>
    <n v="9555.0000000000018"/>
    <n v="79"/>
    <s v="Backordered"/>
    <n v="9432.5000000000018"/>
  </r>
  <r>
    <x v="753"/>
    <x v="88"/>
    <x v="4"/>
    <s v="67-024-9832"/>
    <x v="303"/>
    <x v="67"/>
    <n v="96"/>
    <n v="35"/>
    <s v="Require"/>
    <n v="96"/>
    <s v="High Priority"/>
    <x v="18"/>
    <n v="630"/>
    <d v="2025-08-02T00:00:00"/>
    <d v="2024-06-24T00:00:00"/>
    <d v="2025-01-17T00:00:00"/>
    <n v="208"/>
    <n v="612"/>
    <n v="405"/>
    <s v="Expiring Soon"/>
    <s v="54 Weeping Birch Lane"/>
    <x v="13"/>
    <n v="39690"/>
    <n v="84"/>
    <s v="Backordered"/>
    <n v="39060"/>
  </r>
  <r>
    <x v="754"/>
    <x v="60"/>
    <x v="2"/>
    <s v="20-532-0144"/>
    <x v="289"/>
    <x v="69"/>
    <n v="61"/>
    <n v="47"/>
    <s v="Require"/>
    <n v="61"/>
    <s v="High Priority"/>
    <x v="29"/>
    <n v="400"/>
    <d v="2024-08-28T00:00:00"/>
    <d v="2024-11-06T00:00:00"/>
    <d v="2024-05-27T00:00:00"/>
    <n v="547"/>
    <n v="477"/>
    <n v="640"/>
    <s v="Safe"/>
    <s v="3 Bunting Point"/>
    <x v="50"/>
    <n v="30400"/>
    <n v="10"/>
    <s v="Discontinued"/>
    <n v="30000"/>
  </r>
  <r>
    <x v="755"/>
    <x v="6"/>
    <x v="3"/>
    <s v="28-314-1189"/>
    <x v="248"/>
    <x v="31"/>
    <n v="23"/>
    <n v="34"/>
    <s v="Sufficient"/>
    <n v="0"/>
    <s v="Normal"/>
    <x v="6"/>
    <n v="187.5"/>
    <d v="2024-06-22T00:00:00"/>
    <d v="2024-04-09T00:00:00"/>
    <d v="2024-07-04T00:00:00"/>
    <n v="614"/>
    <n v="688"/>
    <n v="602"/>
    <s v="Safe"/>
    <s v="32 Charing Cross Pass"/>
    <x v="10"/>
    <n v="18750"/>
    <n v="54"/>
    <s v="Backordered"/>
    <n v="18562.5"/>
  </r>
  <r>
    <x v="756"/>
    <x v="12"/>
    <x v="2"/>
    <s v="37-994-7932"/>
    <x v="116"/>
    <x v="11"/>
    <n v="97"/>
    <n v="12"/>
    <s v="Require"/>
    <n v="97"/>
    <s v="High Priority"/>
    <x v="2"/>
    <n v="156"/>
    <d v="2024-09-25T00:00:00"/>
    <d v="2024-11-28T00:00:00"/>
    <d v="2024-06-12T00:00:00"/>
    <n v="519"/>
    <n v="455"/>
    <n v="624"/>
    <s v="Safe"/>
    <s v="1 Havey Park"/>
    <x v="24"/>
    <n v="14664"/>
    <n v="58"/>
    <s v="Discontinued"/>
    <n v="14508"/>
  </r>
  <r>
    <x v="757"/>
    <x v="1"/>
    <x v="1"/>
    <s v="01-900-4509"/>
    <x v="171"/>
    <x v="48"/>
    <n v="55"/>
    <n v="77"/>
    <s v="Require"/>
    <n v="55"/>
    <s v="Normal"/>
    <x v="1"/>
    <n v="260"/>
    <d v="2024-10-17T00:00:00"/>
    <d v="2024-12-16T00:00:00"/>
    <d v="2024-11-03T00:00:00"/>
    <n v="497"/>
    <n v="437"/>
    <n v="480"/>
    <s v="Expiring Soon"/>
    <s v="2 7th Center"/>
    <x v="6"/>
    <n v="17420"/>
    <n v="68"/>
    <s v="Backordered"/>
    <n v="17160"/>
  </r>
  <r>
    <x v="758"/>
    <x v="4"/>
    <x v="2"/>
    <s v="61-100-8296"/>
    <x v="330"/>
    <x v="73"/>
    <n v="58"/>
    <n v="32"/>
    <s v="Require"/>
    <n v="58"/>
    <s v="Normal"/>
    <x v="4"/>
    <n v="44"/>
    <d v="2024-02-28T00:00:00"/>
    <d v="2024-09-07T00:00:00"/>
    <d v="2024-11-24T00:00:00"/>
    <n v="729"/>
    <n v="537"/>
    <n v="459"/>
    <s v="Expiring Soon"/>
    <s v="34832 Autumn Leaf Terrace"/>
    <x v="77"/>
    <n v="4356"/>
    <n v="94"/>
    <s v="Active"/>
    <n v="4312"/>
  </r>
  <r>
    <x v="759"/>
    <x v="115"/>
    <x v="6"/>
    <s v="00-023-7719"/>
    <x v="31"/>
    <x v="84"/>
    <n v="67"/>
    <n v="49"/>
    <s v="Sufficient"/>
    <n v="0"/>
    <s v="Normal"/>
    <x v="21"/>
    <n v="1470"/>
    <d v="2024-09-08T00:00:00"/>
    <d v="2024-12-29T00:00:00"/>
    <d v="2024-04-04T00:00:00"/>
    <n v="536"/>
    <n v="424"/>
    <n v="693"/>
    <s v="Safe"/>
    <s v="4353 Dixon Circle"/>
    <x v="7"/>
    <n v="30870"/>
    <n v="61"/>
    <s v="Active"/>
    <n v="29400"/>
  </r>
  <r>
    <x v="760"/>
    <x v="50"/>
    <x v="2"/>
    <s v="32-178-2765"/>
    <x v="73"/>
    <x v="51"/>
    <n v="4"/>
    <n v="76"/>
    <s v="Sufficient"/>
    <n v="0"/>
    <s v="Normal"/>
    <x v="4"/>
    <n v="140"/>
    <d v="2024-09-08T00:00:00"/>
    <d v="2024-08-22T00:00:00"/>
    <d v="2024-08-16T00:00:00"/>
    <n v="536"/>
    <n v="553"/>
    <n v="559"/>
    <s v="Safe"/>
    <s v="89 Karstens Alley"/>
    <x v="54"/>
    <n v="12600"/>
    <n v="30"/>
    <s v="Discontinued"/>
    <n v="12460"/>
  </r>
  <r>
    <x v="761"/>
    <x v="101"/>
    <x v="6"/>
    <s v="74-032-7560"/>
    <x v="300"/>
    <x v="1"/>
    <n v="56"/>
    <n v="64"/>
    <s v="Require"/>
    <n v="56"/>
    <s v="Normal"/>
    <x v="53"/>
    <n v="337.5"/>
    <d v="2024-07-14T00:00:00"/>
    <d v="2024-08-26T00:00:00"/>
    <d v="2024-07-05T00:00:00"/>
    <n v="592"/>
    <n v="549"/>
    <n v="601"/>
    <s v="Safe"/>
    <s v="2869 Hudson Drive"/>
    <x v="41"/>
    <n v="11812.5"/>
    <n v="82"/>
    <s v="Discontinued"/>
    <n v="11475"/>
  </r>
  <r>
    <x v="762"/>
    <x v="100"/>
    <x v="2"/>
    <s v="49-384-4540"/>
    <x v="282"/>
    <x v="28"/>
    <n v="22"/>
    <n v="69"/>
    <s v="Sufficient"/>
    <n v="0"/>
    <s v="Normal"/>
    <x v="4"/>
    <n v="188"/>
    <d v="2024-02-03T00:00:00"/>
    <d v="2024-07-14T00:00:00"/>
    <d v="2024-06-03T00:00:00"/>
    <n v="754"/>
    <n v="592"/>
    <n v="633"/>
    <s v="Safe"/>
    <s v="85 Farwell Parkway"/>
    <x v="51"/>
    <n v="4888"/>
    <n v="59"/>
    <s v="Backordered"/>
    <n v="4700"/>
  </r>
  <r>
    <x v="763"/>
    <x v="90"/>
    <x v="3"/>
    <s v="84-123-7159"/>
    <x v="162"/>
    <x v="52"/>
    <n v="66"/>
    <n v="28"/>
    <s v="Sufficient"/>
    <n v="0"/>
    <s v="Normal"/>
    <x v="42"/>
    <n v="578.5"/>
    <d v="2025-01-13T00:00:00"/>
    <d v="2024-11-19T00:00:00"/>
    <d v="2024-11-25T00:00:00"/>
    <n v="409"/>
    <n v="464"/>
    <n v="458"/>
    <s v="Expiring Soon"/>
    <s v="60 Dottie Hill"/>
    <x v="34"/>
    <n v="22561.5"/>
    <n v="25"/>
    <s v="Active"/>
    <n v="21983"/>
  </r>
  <r>
    <x v="764"/>
    <x v="36"/>
    <x v="1"/>
    <s v="34-824-0575"/>
    <x v="29"/>
    <x v="64"/>
    <n v="22"/>
    <n v="94"/>
    <s v="Sufficient"/>
    <n v="0"/>
    <s v="Normal"/>
    <x v="21"/>
    <n v="495"/>
    <d v="2024-11-28T00:00:00"/>
    <d v="2024-09-24T00:00:00"/>
    <d v="2024-08-30T00:00:00"/>
    <n v="455"/>
    <n v="520"/>
    <n v="545"/>
    <s v="Expiring Soon"/>
    <s v="797 Mcbride Lane"/>
    <x v="40"/>
    <n v="47520"/>
    <n v="56"/>
    <s v="Discontinued"/>
    <n v="47025"/>
  </r>
  <r>
    <x v="765"/>
    <x v="106"/>
    <x v="2"/>
    <s v="73-830-9633"/>
    <x v="199"/>
    <x v="82"/>
    <n v="30"/>
    <n v="42"/>
    <s v="Sufficient"/>
    <n v="0"/>
    <s v="Normal"/>
    <x v="15"/>
    <n v="450"/>
    <d v="2024-08-19T00:00:00"/>
    <d v="2024-07-29T00:00:00"/>
    <d v="2024-03-02T00:00:00"/>
    <n v="556"/>
    <n v="577"/>
    <n v="726"/>
    <s v="Safe"/>
    <s v="2633 Shasta Alley"/>
    <x v="50"/>
    <n v="34200"/>
    <n v="69"/>
    <s v="Backordered"/>
    <n v="33750"/>
  </r>
  <r>
    <x v="766"/>
    <x v="65"/>
    <x v="0"/>
    <s v="70-402-4816"/>
    <x v="224"/>
    <x v="7"/>
    <n v="26"/>
    <n v="60"/>
    <s v="Sufficient"/>
    <n v="0"/>
    <s v="Normal"/>
    <x v="30"/>
    <n v="209"/>
    <d v="2024-03-15T00:00:00"/>
    <d v="2024-08-23T00:00:00"/>
    <d v="2024-08-05T00:00:00"/>
    <n v="713"/>
    <n v="552"/>
    <n v="570"/>
    <s v="Safe"/>
    <s v="5 Prentice Pass"/>
    <x v="13"/>
    <n v="13167"/>
    <n v="59"/>
    <s v="Discontinued"/>
    <n v="12958"/>
  </r>
  <r>
    <x v="767"/>
    <x v="114"/>
    <x v="0"/>
    <s v="11-005-7835"/>
    <x v="331"/>
    <x v="41"/>
    <n v="56"/>
    <n v="12"/>
    <s v="Require"/>
    <n v="56"/>
    <s v="Normal"/>
    <x v="102"/>
    <n v="399.75"/>
    <d v="2024-06-05T00:00:00"/>
    <d v="2024-11-25T00:00:00"/>
    <d v="2024-02-29T00:00:00"/>
    <n v="631"/>
    <n v="458"/>
    <n v="728"/>
    <s v="Safe"/>
    <s v="84 Rusk Terrace"/>
    <x v="47"/>
    <n v="37176.75"/>
    <n v="88"/>
    <s v="Active"/>
    <n v="36777"/>
  </r>
  <r>
    <x v="768"/>
    <x v="55"/>
    <x v="2"/>
    <s v="72-360-6358"/>
    <x v="274"/>
    <x v="18"/>
    <n v="58"/>
    <n v="69"/>
    <s v="Sufficient"/>
    <n v="0"/>
    <s v="Normal"/>
    <x v="27"/>
    <n v="86.399999999999991"/>
    <d v="2024-10-16T00:00:00"/>
    <d v="2025-03-02T00:00:00"/>
    <d v="2025-02-23T00:00:00"/>
    <n v="498"/>
    <n v="361"/>
    <n v="368"/>
    <s v="Expiring Soon"/>
    <s v="9067 Valley Edge Park"/>
    <x v="40"/>
    <n v="8294.4"/>
    <n v="23"/>
    <s v="Backordered"/>
    <n v="8208"/>
  </r>
  <r>
    <x v="769"/>
    <x v="7"/>
    <x v="4"/>
    <s v="78-877-1866"/>
    <x v="34"/>
    <x v="18"/>
    <n v="58"/>
    <n v="52"/>
    <s v="Sufficient"/>
    <n v="0"/>
    <s v="Normal"/>
    <x v="28"/>
    <n v="172.79999999999998"/>
    <d v="2025-02-15T00:00:00"/>
    <d v="2024-05-16T00:00:00"/>
    <d v="2024-10-23T00:00:00"/>
    <n v="376"/>
    <n v="651"/>
    <n v="491"/>
    <s v="Expiring Soon"/>
    <s v="463 Oxford Crossing"/>
    <x v="66"/>
    <n v="6220.7999999999993"/>
    <n v="14"/>
    <s v="Active"/>
    <n v="6047.9999999999991"/>
  </r>
  <r>
    <x v="770"/>
    <x v="36"/>
    <x v="1"/>
    <s v="31-676-5646"/>
    <x v="160"/>
    <x v="69"/>
    <n v="30"/>
    <n v="60"/>
    <s v="Sufficient"/>
    <n v="0"/>
    <s v="Normal"/>
    <x v="21"/>
    <n v="600"/>
    <d v="2024-05-09T00:00:00"/>
    <d v="2024-10-23T00:00:00"/>
    <d v="2024-05-03T00:00:00"/>
    <n v="658"/>
    <n v="491"/>
    <n v="664"/>
    <s v="Safe"/>
    <s v="57 Di Loreto Circle"/>
    <x v="55"/>
    <n v="19800"/>
    <n v="84"/>
    <s v="Active"/>
    <n v="19200"/>
  </r>
  <r>
    <x v="771"/>
    <x v="118"/>
    <x v="5"/>
    <s v="34-738-1209"/>
    <x v="86"/>
    <x v="80"/>
    <n v="53"/>
    <n v="92"/>
    <s v="Require"/>
    <n v="53"/>
    <s v="Normal"/>
    <x v="16"/>
    <n v="126"/>
    <d v="2024-07-07T00:00:00"/>
    <d v="2024-01-06T00:00:00"/>
    <d v="2024-03-22T00:00:00"/>
    <n v="599"/>
    <n v="782"/>
    <n v="706"/>
    <s v="Safe"/>
    <s v="657 Texas Street"/>
    <x v="6"/>
    <n v="8442"/>
    <n v="43"/>
    <s v="Backordered"/>
    <n v="8316"/>
  </r>
  <r>
    <x v="772"/>
    <x v="87"/>
    <x v="3"/>
    <s v="04-854-7165"/>
    <x v="246"/>
    <x v="37"/>
    <n v="87"/>
    <n v="86"/>
    <s v="Require"/>
    <n v="87"/>
    <s v="High Priority"/>
    <x v="10"/>
    <n v="102"/>
    <d v="2024-01-04T00:00:00"/>
    <d v="2024-05-19T00:00:00"/>
    <d v="2024-06-11T00:00:00"/>
    <n v="784"/>
    <n v="648"/>
    <n v="625"/>
    <s v="Safe"/>
    <s v="03643 Oakridge Lane"/>
    <x v="38"/>
    <n v="2448"/>
    <n v="83"/>
    <s v="Backordered"/>
    <n v="2346"/>
  </r>
  <r>
    <x v="773"/>
    <x v="36"/>
    <x v="1"/>
    <s v="79-955-6260"/>
    <x v="263"/>
    <x v="89"/>
    <n v="91"/>
    <n v="23"/>
    <s v="Require"/>
    <n v="91"/>
    <s v="High Priority"/>
    <x v="103"/>
    <n v="1296.3"/>
    <d v="2024-12-29T00:00:00"/>
    <d v="2024-05-23T00:00:00"/>
    <d v="2024-08-17T00:00:00"/>
    <n v="424"/>
    <n v="644"/>
    <n v="558"/>
    <s v="Safe"/>
    <s v="68 Dakota Center"/>
    <x v="54"/>
    <n v="116667"/>
    <n v="75"/>
    <s v="Backordered"/>
    <n v="115370.7"/>
  </r>
  <r>
    <x v="774"/>
    <x v="25"/>
    <x v="2"/>
    <s v="25-706-2146"/>
    <x v="317"/>
    <x v="70"/>
    <n v="37"/>
    <n v="98"/>
    <s v="Sufficient"/>
    <n v="0"/>
    <s v="Normal"/>
    <x v="0"/>
    <n v="355.5"/>
    <d v="2024-01-09T00:00:00"/>
    <d v="2024-02-03T00:00:00"/>
    <d v="2024-03-30T00:00:00"/>
    <n v="779"/>
    <n v="754"/>
    <n v="698"/>
    <s v="Safe"/>
    <s v="2004 Cody Plaza"/>
    <x v="55"/>
    <n v="11731.5"/>
    <n v="20"/>
    <s v="Discontinued"/>
    <n v="11376"/>
  </r>
  <r>
    <x v="775"/>
    <x v="70"/>
    <x v="6"/>
    <s v="73-393-9432"/>
    <x v="265"/>
    <x v="39"/>
    <n v="52"/>
    <n v="80"/>
    <s v="Require"/>
    <n v="52"/>
    <s v="Normal"/>
    <x v="104"/>
    <n v="95.2"/>
    <d v="2024-07-26T00:00:00"/>
    <d v="2024-07-13T00:00:00"/>
    <d v="2024-07-23T00:00:00"/>
    <n v="580"/>
    <n v="593"/>
    <n v="583"/>
    <s v="Safe"/>
    <s v="116 Spaight Park"/>
    <x v="44"/>
    <n v="6092.8"/>
    <n v="17"/>
    <s v="Discontinued"/>
    <n v="5997.6"/>
  </r>
  <r>
    <x v="776"/>
    <x v="41"/>
    <x v="2"/>
    <s v="61-793-0279"/>
    <x v="180"/>
    <x v="19"/>
    <n v="35"/>
    <n v="82"/>
    <s v="Sufficient"/>
    <n v="0"/>
    <s v="Normal"/>
    <x v="7"/>
    <n v="243"/>
    <d v="2024-12-30T00:00:00"/>
    <d v="2024-03-25T00:00:00"/>
    <d v="2025-02-10T00:00:00"/>
    <n v="423"/>
    <n v="703"/>
    <n v="381"/>
    <s v="Expiring Soon"/>
    <s v="4826 Drewry Center"/>
    <x v="52"/>
    <n v="20898"/>
    <n v="71"/>
    <s v="Backordered"/>
    <n v="20655"/>
  </r>
  <r>
    <x v="777"/>
    <x v="98"/>
    <x v="2"/>
    <s v="09-902-6272"/>
    <x v="58"/>
    <x v="31"/>
    <n v="18"/>
    <n v="65"/>
    <s v="Sufficient"/>
    <n v="0"/>
    <s v="Normal"/>
    <x v="10"/>
    <n v="150"/>
    <d v="2025-02-17T00:00:00"/>
    <d v="2024-12-30T00:00:00"/>
    <d v="2024-03-15T00:00:00"/>
    <n v="374"/>
    <n v="423"/>
    <n v="713"/>
    <s v="Safe"/>
    <s v="1 Logan Road"/>
    <x v="0"/>
    <n v="4800"/>
    <n v="92"/>
    <s v="Active"/>
    <n v="4650"/>
  </r>
  <r>
    <x v="778"/>
    <x v="81"/>
    <x v="4"/>
    <s v="32-371-1686"/>
    <x v="55"/>
    <x v="32"/>
    <n v="12"/>
    <n v="62"/>
    <s v="Sufficient"/>
    <n v="0"/>
    <s v="Normal"/>
    <x v="11"/>
    <n v="336"/>
    <d v="2024-06-15T00:00:00"/>
    <d v="2024-04-05T00:00:00"/>
    <d v="2024-09-19T00:00:00"/>
    <n v="621"/>
    <n v="692"/>
    <n v="525"/>
    <s v="Expiring Soon"/>
    <s v="84 Hoffman Way"/>
    <x v="22"/>
    <n v="19824"/>
    <n v="23"/>
    <s v="Active"/>
    <n v="19488"/>
  </r>
  <r>
    <x v="779"/>
    <x v="31"/>
    <x v="2"/>
    <s v="23-450-0301"/>
    <x v="249"/>
    <x v="74"/>
    <n v="68"/>
    <n v="90"/>
    <s v="Require"/>
    <n v="68"/>
    <s v="High Priority"/>
    <x v="10"/>
    <n v="100"/>
    <d v="2024-12-12T00:00:00"/>
    <d v="2024-09-05T00:00:00"/>
    <d v="2024-06-05T00:00:00"/>
    <n v="441"/>
    <n v="539"/>
    <n v="631"/>
    <s v="Safe"/>
    <s v="49884 Brickson Park Plaza"/>
    <x v="35"/>
    <n v="4000"/>
    <n v="13"/>
    <s v="Discontinued"/>
    <n v="3900"/>
  </r>
  <r>
    <x v="780"/>
    <x v="30"/>
    <x v="6"/>
    <s v="66-563-9462"/>
    <x v="62"/>
    <x v="73"/>
    <n v="87"/>
    <n v="43"/>
    <s v="Require"/>
    <n v="87"/>
    <s v="High Priority"/>
    <x v="18"/>
    <n v="99"/>
    <d v="2025-02-01T00:00:00"/>
    <d v="2024-06-06T00:00:00"/>
    <d v="2025-02-09T00:00:00"/>
    <n v="390"/>
    <n v="630"/>
    <n v="382"/>
    <s v="Expiring Soon"/>
    <s v="2 Russell Alley"/>
    <x v="52"/>
    <n v="8514"/>
    <n v="91"/>
    <s v="Active"/>
    <n v="8415"/>
  </r>
  <r>
    <x v="781"/>
    <x v="69"/>
    <x v="0"/>
    <s v="64-674-3902"/>
    <x v="107"/>
    <x v="59"/>
    <n v="22"/>
    <n v="91"/>
    <s v="Sufficient"/>
    <n v="0"/>
    <s v="Normal"/>
    <x v="32"/>
    <n v="703"/>
    <d v="2024-08-25T00:00:00"/>
    <d v="2025-01-22T00:00:00"/>
    <d v="2024-06-19T00:00:00"/>
    <n v="550"/>
    <n v="400"/>
    <n v="617"/>
    <s v="Safe"/>
    <s v="6 Acker Street"/>
    <x v="38"/>
    <n v="16872"/>
    <n v="12"/>
    <s v="Active"/>
    <n v="16169"/>
  </r>
  <r>
    <x v="782"/>
    <x v="112"/>
    <x v="2"/>
    <s v="40-056-7748"/>
    <x v="10"/>
    <x v="73"/>
    <n v="10"/>
    <n v="60"/>
    <s v="Sufficient"/>
    <n v="0"/>
    <s v="Normal"/>
    <x v="6"/>
    <n v="27.5"/>
    <d v="2024-10-10T00:00:00"/>
    <d v="2024-06-05T00:00:00"/>
    <d v="2024-12-25T00:00:00"/>
    <n v="504"/>
    <n v="631"/>
    <n v="428"/>
    <s v="Expiring Soon"/>
    <s v="826 Melvin Pass"/>
    <x v="47"/>
    <n v="2557.5"/>
    <n v="53"/>
    <s v="Discontinued"/>
    <n v="2530"/>
  </r>
  <r>
    <x v="783"/>
    <x v="52"/>
    <x v="4"/>
    <s v="78-954-5649"/>
    <x v="332"/>
    <x v="42"/>
    <n v="15"/>
    <n v="30"/>
    <s v="Sufficient"/>
    <n v="0"/>
    <s v="Normal"/>
    <x v="4"/>
    <n v="340"/>
    <d v="2024-04-16T00:00:00"/>
    <d v="2024-10-25T00:00:00"/>
    <d v="2024-12-06T00:00:00"/>
    <n v="681"/>
    <n v="489"/>
    <n v="447"/>
    <s v="Expiring Soon"/>
    <s v="40113 Blaine Place"/>
    <x v="3"/>
    <n v="32300"/>
    <n v="63"/>
    <s v="Active"/>
    <n v="31960"/>
  </r>
  <r>
    <x v="784"/>
    <x v="78"/>
    <x v="2"/>
    <s v="76-641-2070"/>
    <x v="47"/>
    <x v="63"/>
    <n v="43"/>
    <n v="46"/>
    <s v="Sufficient"/>
    <n v="0"/>
    <s v="Normal"/>
    <x v="6"/>
    <n v="142.5"/>
    <d v="2024-06-13T00:00:00"/>
    <d v="2024-01-12T00:00:00"/>
    <d v="2024-08-04T00:00:00"/>
    <n v="623"/>
    <n v="776"/>
    <n v="571"/>
    <s v="Safe"/>
    <s v="929 Thierer Lane"/>
    <x v="80"/>
    <n v="12397.5"/>
    <n v="88"/>
    <s v="Discontinued"/>
    <n v="12255"/>
  </r>
  <r>
    <x v="785"/>
    <x v="98"/>
    <x v="2"/>
    <s v="33-546-5056"/>
    <x v="201"/>
    <x v="31"/>
    <n v="56"/>
    <n v="57"/>
    <s v="Sufficient"/>
    <n v="0"/>
    <s v="Normal"/>
    <x v="67"/>
    <n v="142.5"/>
    <d v="2024-10-27T00:00:00"/>
    <d v="2024-10-25T00:00:00"/>
    <d v="2024-09-19T00:00:00"/>
    <n v="487"/>
    <n v="489"/>
    <n v="525"/>
    <s v="Expiring Soon"/>
    <s v="7 Talmadge Street"/>
    <x v="13"/>
    <n v="8977.5"/>
    <n v="64"/>
    <s v="Discontinued"/>
    <n v="8835"/>
  </r>
  <r>
    <x v="786"/>
    <x v="89"/>
    <x v="4"/>
    <s v="59-968-8346"/>
    <x v="48"/>
    <x v="21"/>
    <n v="7"/>
    <n v="23"/>
    <s v="Sufficient"/>
    <n v="0"/>
    <s v="Normal"/>
    <x v="91"/>
    <n v="148.05000000000001"/>
    <d v="2024-07-09T00:00:00"/>
    <d v="2024-11-22T00:00:00"/>
    <d v="2024-10-17T00:00:00"/>
    <n v="597"/>
    <n v="461"/>
    <n v="497"/>
    <s v="Expiring Soon"/>
    <s v="3 Bellgrove Way"/>
    <x v="16"/>
    <n v="11547.900000000001"/>
    <n v="100"/>
    <s v="Active"/>
    <n v="11399.850000000002"/>
  </r>
  <r>
    <x v="787"/>
    <x v="48"/>
    <x v="1"/>
    <s v="34-303-5097"/>
    <x v="333"/>
    <x v="51"/>
    <n v="20"/>
    <n v="42"/>
    <s v="Sufficient"/>
    <n v="0"/>
    <s v="Normal"/>
    <x v="105"/>
    <n v="883.75"/>
    <d v="2024-06-30T00:00:00"/>
    <d v="2024-05-08T00:00:00"/>
    <d v="2025-01-08T00:00:00"/>
    <n v="606"/>
    <n v="659"/>
    <n v="414"/>
    <s v="Expiring Soon"/>
    <s v="9623 Cottonwood Park"/>
    <x v="59"/>
    <n v="46838.75"/>
    <n v="56"/>
    <s v="Discontinued"/>
    <n v="45955"/>
  </r>
  <r>
    <x v="788"/>
    <x v="19"/>
    <x v="2"/>
    <s v="27-406-7972"/>
    <x v="279"/>
    <x v="35"/>
    <n v="32"/>
    <n v="17"/>
    <s v="Require"/>
    <n v="32"/>
    <s v="Normal"/>
    <x v="8"/>
    <n v="24"/>
    <d v="2024-09-29T00:00:00"/>
    <d v="2024-06-17T00:00:00"/>
    <d v="2024-07-02T00:00:00"/>
    <n v="515"/>
    <n v="619"/>
    <n v="604"/>
    <s v="Safe"/>
    <s v="43 Washington Street"/>
    <x v="79"/>
    <n v="1320"/>
    <n v="72"/>
    <s v="Discontinued"/>
    <n v="1296"/>
  </r>
  <r>
    <x v="789"/>
    <x v="65"/>
    <x v="0"/>
    <s v="36-451-3173"/>
    <x v="324"/>
    <x v="58"/>
    <n v="26"/>
    <n v="3"/>
    <s v="Sufficient"/>
    <n v="0"/>
    <s v="Normal"/>
    <x v="30"/>
    <n v="251.75"/>
    <d v="2024-02-03T00:00:00"/>
    <d v="2024-04-07T00:00:00"/>
    <d v="2024-03-06T00:00:00"/>
    <n v="754"/>
    <n v="690"/>
    <n v="722"/>
    <s v="Safe"/>
    <s v="07 Pankratz Point"/>
    <x v="10"/>
    <n v="25175"/>
    <n v="94"/>
    <s v="Active"/>
    <n v="24923.25"/>
  </r>
  <r>
    <x v="790"/>
    <x v="56"/>
    <x v="5"/>
    <s v="69-460-9770"/>
    <x v="191"/>
    <x v="59"/>
    <n v="81"/>
    <n v="41"/>
    <s v="Require"/>
    <n v="81"/>
    <s v="High Priority"/>
    <x v="2"/>
    <n v="444"/>
    <d v="2025-05-02T00:00:00"/>
    <d v="2024-02-05T00:00:00"/>
    <d v="2024-05-27T00:00:00"/>
    <n v="300"/>
    <n v="752"/>
    <n v="640"/>
    <s v="Safe"/>
    <s v="65 Forster Way"/>
    <x v="32"/>
    <n v="22644"/>
    <n v="67"/>
    <s v="Active"/>
    <n v="22200"/>
  </r>
  <r>
    <x v="791"/>
    <x v="104"/>
    <x v="0"/>
    <s v="39-488-0039"/>
    <x v="165"/>
    <x v="70"/>
    <n v="38"/>
    <n v="67"/>
    <s v="Sufficient"/>
    <n v="0"/>
    <s v="Normal"/>
    <x v="6"/>
    <n v="197.5"/>
    <d v="2024-05-07T00:00:00"/>
    <d v="2024-08-10T00:00:00"/>
    <d v="2024-09-01T00:00:00"/>
    <n v="660"/>
    <n v="565"/>
    <n v="543"/>
    <s v="Expiring Soon"/>
    <s v="7403 Fuller Hill"/>
    <x v="31"/>
    <n v="8492.5"/>
    <n v="93"/>
    <s v="Discontinued"/>
    <n v="8295"/>
  </r>
  <r>
    <x v="792"/>
    <x v="14"/>
    <x v="0"/>
    <s v="80-328-4990"/>
    <x v="60"/>
    <x v="13"/>
    <n v="78"/>
    <n v="81"/>
    <s v="Require"/>
    <n v="78"/>
    <s v="High Priority"/>
    <x v="3"/>
    <n v="81"/>
    <d v="2024-02-05T00:00:00"/>
    <d v="2024-11-23T00:00:00"/>
    <d v="2024-07-05T00:00:00"/>
    <n v="752"/>
    <n v="460"/>
    <n v="601"/>
    <s v="Safe"/>
    <s v="49148 Meadow Ridge Way"/>
    <x v="69"/>
    <n v="3321"/>
    <n v="63"/>
    <s v="Backordered"/>
    <n v="3240"/>
  </r>
  <r>
    <x v="793"/>
    <x v="63"/>
    <x v="3"/>
    <s v="05-779-0378"/>
    <x v="334"/>
    <x v="7"/>
    <n v="83"/>
    <n v="78"/>
    <s v="Require"/>
    <n v="83"/>
    <s v="High Priority"/>
    <x v="26"/>
    <n v="79.2"/>
    <d v="2024-08-07T00:00:00"/>
    <d v="2025-07-01T00:00:00"/>
    <d v="2024-08-20T00:00:00"/>
    <n v="568"/>
    <n v="240"/>
    <n v="555"/>
    <s v="Safe"/>
    <s v="70156 7th Junction"/>
    <x v="17"/>
    <n v="3643.2000000000003"/>
    <n v="4"/>
    <s v="Discontinued"/>
    <n v="3564.0000000000005"/>
  </r>
  <r>
    <x v="794"/>
    <x v="69"/>
    <x v="0"/>
    <s v="55-269-1746"/>
    <x v="228"/>
    <x v="25"/>
    <n v="19"/>
    <n v="31"/>
    <s v="Sufficient"/>
    <n v="0"/>
    <s v="Normal"/>
    <x v="32"/>
    <n v="731.5"/>
    <d v="2024-10-29T00:00:00"/>
    <d v="2025-01-23T00:00:00"/>
    <d v="2024-03-20T00:00:00"/>
    <n v="485"/>
    <n v="399"/>
    <n v="708"/>
    <s v="Safe"/>
    <s v="16 Fair Oaks Pass"/>
    <x v="9"/>
    <n v="19750.5"/>
    <n v="25"/>
    <s v="Backordered"/>
    <n v="19019"/>
  </r>
  <r>
    <x v="795"/>
    <x v="106"/>
    <x v="2"/>
    <s v="48-176-1622"/>
    <x v="190"/>
    <x v="83"/>
    <n v="61"/>
    <n v="52"/>
    <s v="Require"/>
    <n v="61"/>
    <s v="High Priority"/>
    <x v="15"/>
    <n v="210"/>
    <d v="2024-02-12T00:00:00"/>
    <d v="2025-01-31T00:00:00"/>
    <d v="2024-09-29T00:00:00"/>
    <n v="745"/>
    <n v="391"/>
    <n v="515"/>
    <s v="Expiring Soon"/>
    <s v="36687 Maple Avenue"/>
    <x v="52"/>
    <n v="18060"/>
    <n v="99"/>
    <s v="Backordered"/>
    <n v="17850"/>
  </r>
  <r>
    <x v="796"/>
    <x v="116"/>
    <x v="2"/>
    <s v="31-955-7362"/>
    <x v="161"/>
    <x v="7"/>
    <n v="77"/>
    <n v="45"/>
    <s v="Require"/>
    <n v="77"/>
    <s v="High Priority"/>
    <x v="10"/>
    <n v="88"/>
    <d v="2024-07-27T00:00:00"/>
    <d v="2024-06-22T00:00:00"/>
    <d v="2024-05-24T00:00:00"/>
    <n v="579"/>
    <n v="614"/>
    <n v="643"/>
    <s v="Safe"/>
    <s v="55 Cherokee Circle"/>
    <x v="72"/>
    <n v="7832"/>
    <n v="64"/>
    <s v="Discontinued"/>
    <n v="7744"/>
  </r>
  <r>
    <x v="797"/>
    <x v="84"/>
    <x v="4"/>
    <s v="17-345-5800"/>
    <x v="61"/>
    <x v="19"/>
    <n v="76"/>
    <n v="10"/>
    <s v="Sufficient"/>
    <n v="0"/>
    <s v="Normal"/>
    <x v="4"/>
    <n v="324"/>
    <d v="2024-05-13T00:00:00"/>
    <d v="2024-05-27T00:00:00"/>
    <d v="2024-12-18T00:00:00"/>
    <n v="654"/>
    <n v="640"/>
    <n v="435"/>
    <s v="Expiring Soon"/>
    <s v="1823 Elgar Park"/>
    <x v="58"/>
    <n v="22032"/>
    <n v="100"/>
    <s v="Backordered"/>
    <n v="21708"/>
  </r>
  <r>
    <x v="798"/>
    <x v="2"/>
    <x v="0"/>
    <s v="84-869-9980"/>
    <x v="143"/>
    <x v="40"/>
    <n v="48"/>
    <n v="22"/>
    <s v="Sufficient"/>
    <n v="0"/>
    <s v="Normal"/>
    <x v="94"/>
    <n v="575"/>
    <d v="2024-11-29T00:00:00"/>
    <d v="2024-01-12T00:00:00"/>
    <d v="2025-01-20T00:00:00"/>
    <n v="454"/>
    <n v="776"/>
    <n v="402"/>
    <s v="Expiring Soon"/>
    <s v="38436 Anthes Way"/>
    <x v="39"/>
    <n v="21850"/>
    <n v="61"/>
    <s v="Backordered"/>
    <n v="21275"/>
  </r>
  <r>
    <x v="799"/>
    <x v="115"/>
    <x v="6"/>
    <s v="89-439-6947"/>
    <x v="255"/>
    <x v="87"/>
    <n v="68"/>
    <n v="86"/>
    <s v="Sufficient"/>
    <n v="0"/>
    <s v="Normal"/>
    <x v="21"/>
    <n v="1170"/>
    <d v="2024-03-25T00:00:00"/>
    <d v="2024-03-20T00:00:00"/>
    <d v="2024-12-28T00:00:00"/>
    <n v="703"/>
    <n v="708"/>
    <n v="425"/>
    <s v="Expiring Soon"/>
    <s v="10577 Thierer Plaza"/>
    <x v="11"/>
    <n v="54990"/>
    <n v="95"/>
    <s v="Discontinued"/>
    <n v="53820"/>
  </r>
  <r>
    <x v="800"/>
    <x v="52"/>
    <x v="4"/>
    <s v="84-090-6472"/>
    <x v="161"/>
    <x v="42"/>
    <n v="66"/>
    <n v="85"/>
    <s v="Sufficient"/>
    <n v="0"/>
    <s v="Normal"/>
    <x v="38"/>
    <n v="357"/>
    <d v="2025-06-01T00:00:00"/>
    <d v="2024-10-31T00:00:00"/>
    <d v="2024-09-09T00:00:00"/>
    <n v="270"/>
    <n v="483"/>
    <n v="535"/>
    <s v="Expiring Soon"/>
    <s v="8682 Golf Course Junction"/>
    <x v="29"/>
    <n v="23205"/>
    <n v="58"/>
    <s v="Discontinued"/>
    <n v="22848"/>
  </r>
  <r>
    <x v="801"/>
    <x v="75"/>
    <x v="2"/>
    <s v="37-281-2537"/>
    <x v="323"/>
    <x v="17"/>
    <n v="69"/>
    <n v="4"/>
    <s v="Require"/>
    <n v="69"/>
    <s v="High Priority"/>
    <x v="2"/>
    <n v="390"/>
    <d v="2024-08-14T00:00:00"/>
    <d v="2024-06-15T00:00:00"/>
    <d v="2024-10-13T00:00:00"/>
    <n v="561"/>
    <n v="621"/>
    <n v="501"/>
    <s v="Expiring Soon"/>
    <s v="4 Old Shore Avenue"/>
    <x v="62"/>
    <n v="31200"/>
    <n v="26"/>
    <s v="Active"/>
    <n v="30810"/>
  </r>
  <r>
    <x v="802"/>
    <x v="28"/>
    <x v="3"/>
    <s v="41-772-9238"/>
    <x v="233"/>
    <x v="80"/>
    <n v="3"/>
    <n v="54"/>
    <s v="Sufficient"/>
    <n v="0"/>
    <s v="Normal"/>
    <x v="2"/>
    <n v="216"/>
    <d v="2024-03-03T00:00:00"/>
    <d v="2024-06-13T00:00:00"/>
    <d v="2024-12-13T00:00:00"/>
    <n v="725"/>
    <n v="623"/>
    <n v="440"/>
    <s v="Expiring Soon"/>
    <s v="65 Chinook Circle"/>
    <x v="49"/>
    <n v="15984"/>
    <n v="8"/>
    <s v="Discontinued"/>
    <n v="15768"/>
  </r>
  <r>
    <x v="803"/>
    <x v="55"/>
    <x v="2"/>
    <s v="34-667-8907"/>
    <x v="335"/>
    <x v="11"/>
    <n v="63"/>
    <n v="88"/>
    <s v="Require"/>
    <n v="63"/>
    <s v="High Priority"/>
    <x v="27"/>
    <n v="31.2"/>
    <d v="2024-09-05T00:00:00"/>
    <d v="2024-02-29T00:00:00"/>
    <d v="2024-05-24T00:00:00"/>
    <n v="539"/>
    <n v="728"/>
    <n v="643"/>
    <s v="Safe"/>
    <s v="12710 Gulseth Circle"/>
    <x v="45"/>
    <n v="2620.7999999999997"/>
    <n v="70"/>
    <s v="Active"/>
    <n v="2589.6"/>
  </r>
  <r>
    <x v="804"/>
    <x v="97"/>
    <x v="3"/>
    <s v="35-000-6015"/>
    <x v="210"/>
    <x v="30"/>
    <n v="13"/>
    <n v="13"/>
    <s v="Sufficient"/>
    <n v="0"/>
    <s v="Normal"/>
    <x v="6"/>
    <n v="97.5"/>
    <d v="2024-09-13T00:00:00"/>
    <d v="2025-02-19T00:00:00"/>
    <d v="2024-03-14T00:00:00"/>
    <n v="531"/>
    <n v="372"/>
    <n v="714"/>
    <s v="Safe"/>
    <s v="43591 East Road"/>
    <x v="45"/>
    <n v="8190"/>
    <n v="93"/>
    <s v="Active"/>
    <n v="8092.5"/>
  </r>
  <r>
    <x v="805"/>
    <x v="10"/>
    <x v="0"/>
    <s v="41-007-0132"/>
    <x v="283"/>
    <x v="30"/>
    <n v="83"/>
    <n v="21"/>
    <s v="Require"/>
    <n v="83"/>
    <s v="High Priority"/>
    <x v="10"/>
    <n v="78"/>
    <d v="2024-12-31T00:00:00"/>
    <d v="2024-04-23T00:00:00"/>
    <d v="2024-04-12T00:00:00"/>
    <n v="422"/>
    <n v="674"/>
    <n v="685"/>
    <s v="Safe"/>
    <s v="01 Hansons Crossing"/>
    <x v="21"/>
    <n v="5694"/>
    <n v="88"/>
    <s v="Active"/>
    <n v="5616"/>
  </r>
  <r>
    <x v="806"/>
    <x v="19"/>
    <x v="2"/>
    <s v="74-357-2990"/>
    <x v="39"/>
    <x v="88"/>
    <n v="61"/>
    <n v="4"/>
    <s v="Sufficient"/>
    <n v="0"/>
    <s v="Normal"/>
    <x v="8"/>
    <n v="83"/>
    <d v="2024-09-16T00:00:00"/>
    <d v="2024-05-11T00:00:00"/>
    <d v="2024-10-24T00:00:00"/>
    <n v="528"/>
    <n v="656"/>
    <n v="490"/>
    <s v="Expiring Soon"/>
    <s v="700 Northland Crossing"/>
    <x v="41"/>
    <n v="2905"/>
    <n v="7"/>
    <s v="Backordered"/>
    <n v="2822"/>
  </r>
  <r>
    <x v="807"/>
    <x v="26"/>
    <x v="2"/>
    <s v="02-575-2074"/>
    <x v="286"/>
    <x v="44"/>
    <n v="5"/>
    <n v="9"/>
    <s v="Sufficient"/>
    <n v="0"/>
    <s v="Normal"/>
    <x v="26"/>
    <n v="50.4"/>
    <d v="2025-01-16T00:00:00"/>
    <d v="2025-01-16T00:00:00"/>
    <d v="2024-03-04T00:00:00"/>
    <n v="406"/>
    <n v="406"/>
    <n v="724"/>
    <s v="Safe"/>
    <s v="98 Melody Street"/>
    <x v="55"/>
    <n v="1663.2"/>
    <n v="9"/>
    <s v="Discontinued"/>
    <n v="1612.8"/>
  </r>
  <r>
    <x v="808"/>
    <x v="82"/>
    <x v="6"/>
    <s v="90-453-4096"/>
    <x v="233"/>
    <x v="42"/>
    <n v="17"/>
    <n v="96"/>
    <s v="Sufficient"/>
    <n v="0"/>
    <s v="Normal"/>
    <x v="39"/>
    <n v="1530"/>
    <d v="2024-05-11T00:00:00"/>
    <d v="2024-02-07T00:00:00"/>
    <d v="2024-04-08T00:00:00"/>
    <n v="656"/>
    <n v="750"/>
    <n v="689"/>
    <s v="Safe"/>
    <s v="63787 Arkansas Street"/>
    <x v="57"/>
    <n v="140760"/>
    <n v="34"/>
    <s v="Discontinued"/>
    <n v="139230"/>
  </r>
  <r>
    <x v="809"/>
    <x v="98"/>
    <x v="2"/>
    <s v="60-038-7810"/>
    <x v="182"/>
    <x v="77"/>
    <n v="39"/>
    <n v="15"/>
    <s v="Sufficient"/>
    <n v="0"/>
    <s v="Normal"/>
    <x v="10"/>
    <n v="152"/>
    <d v="2024-06-12T00:00:00"/>
    <d v="2024-06-23T00:00:00"/>
    <d v="2024-08-16T00:00:00"/>
    <n v="624"/>
    <n v="613"/>
    <n v="559"/>
    <s v="Safe"/>
    <s v="2718 Londonderry Plaza"/>
    <x v="76"/>
    <n v="11704"/>
    <n v="70"/>
    <s v="Backordered"/>
    <n v="11552"/>
  </r>
  <r>
    <x v="810"/>
    <x v="112"/>
    <x v="2"/>
    <s v="81-999-7392"/>
    <x v="231"/>
    <x v="46"/>
    <n v="64"/>
    <n v="62"/>
    <s v="Sufficient"/>
    <n v="0"/>
    <s v="Normal"/>
    <x v="6"/>
    <n v="250"/>
    <d v="2024-12-15T00:00:00"/>
    <d v="2024-12-30T00:00:00"/>
    <d v="2024-08-24T00:00:00"/>
    <n v="438"/>
    <n v="423"/>
    <n v="551"/>
    <s v="Safe"/>
    <s v="77 Brown Circle"/>
    <x v="45"/>
    <n v="21000"/>
    <n v="44"/>
    <s v="Discontinued"/>
    <n v="20750"/>
  </r>
  <r>
    <x v="811"/>
    <x v="75"/>
    <x v="2"/>
    <s v="30-780-7583"/>
    <x v="336"/>
    <x v="85"/>
    <n v="45"/>
    <n v="44"/>
    <s v="Require"/>
    <n v="45"/>
    <s v="Normal"/>
    <x v="2"/>
    <n v="102"/>
    <d v="2024-07-25T00:00:00"/>
    <d v="2024-03-04T00:00:00"/>
    <d v="2024-10-10T00:00:00"/>
    <n v="581"/>
    <n v="724"/>
    <n v="504"/>
    <s v="Expiring Soon"/>
    <s v="60 Messerschmidt Pass"/>
    <x v="36"/>
    <n v="3774"/>
    <n v="16"/>
    <s v="Active"/>
    <n v="3672"/>
  </r>
  <r>
    <x v="812"/>
    <x v="95"/>
    <x v="6"/>
    <s v="76-797-9430"/>
    <x v="148"/>
    <x v="37"/>
    <n v="35"/>
    <n v="95"/>
    <s v="Sufficient"/>
    <n v="0"/>
    <s v="Normal"/>
    <x v="29"/>
    <n v="510"/>
    <d v="2024-10-22T00:00:00"/>
    <d v="2024-08-05T00:00:00"/>
    <d v="2024-08-16T00:00:00"/>
    <n v="492"/>
    <n v="570"/>
    <n v="559"/>
    <s v="Safe"/>
    <s v="5521 Wayridge Center"/>
    <x v="62"/>
    <n v="40800"/>
    <n v="89"/>
    <s v="Backordered"/>
    <n v="40290"/>
  </r>
  <r>
    <x v="813"/>
    <x v="103"/>
    <x v="2"/>
    <s v="28-521-7083"/>
    <x v="28"/>
    <x v="13"/>
    <n v="88"/>
    <n v="43"/>
    <s v="Require"/>
    <n v="88"/>
    <s v="High Priority"/>
    <x v="57"/>
    <n v="297"/>
    <d v="2025-12-02T00:00:00"/>
    <d v="2024-05-24T00:00:00"/>
    <d v="2024-04-19T00:00:00"/>
    <n v="86"/>
    <n v="643"/>
    <n v="678"/>
    <s v="Safe"/>
    <s v="4346 Columbus Way"/>
    <x v="68"/>
    <n v="24057"/>
    <n v="77"/>
    <s v="Backordered"/>
    <n v="23760"/>
  </r>
  <r>
    <x v="814"/>
    <x v="40"/>
    <x v="5"/>
    <s v="30-410-3509"/>
    <x v="185"/>
    <x v="14"/>
    <n v="56"/>
    <n v="80"/>
    <s v="Sufficient"/>
    <n v="0"/>
    <s v="Normal"/>
    <x v="4"/>
    <n v="376"/>
    <d v="2025-04-01T00:00:00"/>
    <d v="2024-02-12T00:00:00"/>
    <d v="2024-09-27T00:00:00"/>
    <n v="331"/>
    <n v="745"/>
    <n v="517"/>
    <s v="Expiring Soon"/>
    <s v="8425 New Castle Parkway"/>
    <x v="11"/>
    <n v="17672"/>
    <n v="96"/>
    <s v="Backordered"/>
    <n v="17296"/>
  </r>
  <r>
    <x v="815"/>
    <x v="91"/>
    <x v="2"/>
    <s v="67-596-1997"/>
    <x v="12"/>
    <x v="68"/>
    <n v="95"/>
    <n v="18"/>
    <s v="Require"/>
    <n v="95"/>
    <s v="High Priority"/>
    <x v="15"/>
    <n v="170"/>
    <d v="2024-10-14T00:00:00"/>
    <d v="2024-10-17T00:00:00"/>
    <d v="2024-05-12T00:00:00"/>
    <n v="500"/>
    <n v="497"/>
    <n v="655"/>
    <s v="Safe"/>
    <s v="856 School Plaza"/>
    <x v="69"/>
    <n v="6970"/>
    <n v="26"/>
    <s v="Discontinued"/>
    <n v="6800"/>
  </r>
  <r>
    <x v="816"/>
    <x v="29"/>
    <x v="1"/>
    <s v="26-280-5472"/>
    <x v="337"/>
    <x v="15"/>
    <n v="1"/>
    <n v="3"/>
    <s v="Sufficient"/>
    <n v="0"/>
    <s v="Normal"/>
    <x v="17"/>
    <n v="810"/>
    <d v="2024-04-16T00:00:00"/>
    <d v="2024-09-08T00:00:00"/>
    <d v="2024-11-28T00:00:00"/>
    <n v="681"/>
    <n v="536"/>
    <n v="455"/>
    <s v="Expiring Soon"/>
    <s v="68241 Hanson Circle"/>
    <x v="5"/>
    <n v="27540"/>
    <n v="63"/>
    <s v="Backordered"/>
    <n v="26730"/>
  </r>
  <r>
    <x v="817"/>
    <x v="5"/>
    <x v="0"/>
    <s v="78-092-4768"/>
    <x v="32"/>
    <x v="74"/>
    <n v="42"/>
    <n v="20"/>
    <s v="Sufficient"/>
    <n v="0"/>
    <s v="Normal"/>
    <x v="5"/>
    <n v="87.5"/>
    <d v="2024-06-11T00:00:00"/>
    <d v="2025-02-19T00:00:00"/>
    <d v="2024-07-24T00:00:00"/>
    <n v="625"/>
    <n v="372"/>
    <n v="582"/>
    <s v="Safe"/>
    <s v="336 Old Shore Lane"/>
    <x v="80"/>
    <n v="7612.5"/>
    <n v="59"/>
    <s v="Active"/>
    <n v="7525"/>
  </r>
  <r>
    <x v="818"/>
    <x v="69"/>
    <x v="0"/>
    <s v="83-172-5527"/>
    <x v="325"/>
    <x v="42"/>
    <n v="12"/>
    <n v="94"/>
    <s v="Sufficient"/>
    <n v="0"/>
    <s v="Normal"/>
    <x v="32"/>
    <n v="807.5"/>
    <d v="2024-03-24T00:00:00"/>
    <d v="2024-10-25T00:00:00"/>
    <d v="2024-03-14T00:00:00"/>
    <n v="704"/>
    <n v="489"/>
    <n v="714"/>
    <s v="Safe"/>
    <s v="2 Columbus Drive"/>
    <x v="51"/>
    <n v="20995"/>
    <n v="32"/>
    <s v="Discontinued"/>
    <n v="20187.5"/>
  </r>
  <r>
    <x v="819"/>
    <x v="66"/>
    <x v="0"/>
    <s v="65-620-9866"/>
    <x v="155"/>
    <x v="35"/>
    <n v="2"/>
    <n v="49"/>
    <s v="Sufficient"/>
    <n v="0"/>
    <s v="Normal"/>
    <x v="10"/>
    <n v="48"/>
    <d v="2024-02-06T00:00:00"/>
    <d v="2025-01-25T00:00:00"/>
    <d v="2024-09-05T00:00:00"/>
    <n v="751"/>
    <n v="397"/>
    <n v="539"/>
    <s v="Expiring Soon"/>
    <s v="47817 Oneill Park"/>
    <x v="60"/>
    <n v="4704"/>
    <n v="82"/>
    <s v="Active"/>
    <n v="4656"/>
  </r>
  <r>
    <x v="820"/>
    <x v="105"/>
    <x v="6"/>
    <s v="85-454-9252"/>
    <x v="133"/>
    <x v="45"/>
    <n v="31"/>
    <n v="86"/>
    <s v="Sufficient"/>
    <n v="0"/>
    <s v="Normal"/>
    <x v="1"/>
    <n v="1640"/>
    <d v="2024-10-04T00:00:00"/>
    <d v="2024-05-17T00:00:00"/>
    <d v="2025-01-08T00:00:00"/>
    <n v="510"/>
    <n v="650"/>
    <n v="414"/>
    <s v="Expiring Soon"/>
    <s v="6410 Northwestern Pass"/>
    <x v="15"/>
    <n v="108240"/>
    <n v="74"/>
    <s v="Active"/>
    <n v="106600"/>
  </r>
  <r>
    <x v="821"/>
    <x v="110"/>
    <x v="2"/>
    <s v="75-448-1356"/>
    <x v="300"/>
    <x v="85"/>
    <n v="14"/>
    <n v="17"/>
    <s v="Sufficient"/>
    <n v="0"/>
    <s v="Normal"/>
    <x v="16"/>
    <n v="59.5"/>
    <d v="2024-03-24T00:00:00"/>
    <d v="2024-05-10T00:00:00"/>
    <d v="2024-04-14T00:00:00"/>
    <n v="704"/>
    <n v="657"/>
    <n v="683"/>
    <s v="Safe"/>
    <s v="2 Northridge Street"/>
    <x v="66"/>
    <n v="2142"/>
    <n v="64"/>
    <s v="Discontinued"/>
    <n v="2082.5"/>
  </r>
  <r>
    <x v="822"/>
    <x v="79"/>
    <x v="3"/>
    <s v="29-968-4976"/>
    <x v="48"/>
    <x v="71"/>
    <n v="97"/>
    <n v="63"/>
    <s v="Require"/>
    <n v="97"/>
    <s v="High Priority"/>
    <x v="20"/>
    <n v="57.499999999999993"/>
    <d v="2024-10-22T00:00:00"/>
    <d v="2024-06-22T00:00:00"/>
    <d v="2024-08-15T00:00:00"/>
    <n v="492"/>
    <n v="614"/>
    <n v="560"/>
    <s v="Safe"/>
    <s v="685 Independence Junction"/>
    <x v="53"/>
    <n v="4139.9999999999991"/>
    <n v="23"/>
    <s v="Discontinued"/>
    <n v="4082.4999999999991"/>
  </r>
  <r>
    <x v="823"/>
    <x v="70"/>
    <x v="6"/>
    <s v="60-159-3514"/>
    <x v="115"/>
    <x v="61"/>
    <n v="59"/>
    <n v="87"/>
    <s v="Require"/>
    <n v="59"/>
    <s v="Normal"/>
    <x v="11"/>
    <n v="392"/>
    <d v="2025-01-26T00:00:00"/>
    <d v="2024-12-23T00:00:00"/>
    <d v="2024-07-29T00:00:00"/>
    <n v="396"/>
    <n v="430"/>
    <n v="577"/>
    <s v="Safe"/>
    <s v="1792 Crownhardt Street"/>
    <x v="29"/>
    <n v="25480"/>
    <n v="45"/>
    <s v="Active"/>
    <n v="25088"/>
  </r>
  <r>
    <x v="824"/>
    <x v="107"/>
    <x v="4"/>
    <s v="72-002-3904"/>
    <x v="86"/>
    <x v="18"/>
    <n v="3"/>
    <n v="10"/>
    <s v="Sufficient"/>
    <n v="0"/>
    <s v="Normal"/>
    <x v="10"/>
    <n v="144"/>
    <d v="2025-01-18T00:00:00"/>
    <d v="2024-07-31T00:00:00"/>
    <d v="2024-10-05T00:00:00"/>
    <n v="404"/>
    <n v="575"/>
    <n v="509"/>
    <s v="Expiring Soon"/>
    <s v="9171 Redwing Street"/>
    <x v="20"/>
    <n v="7488"/>
    <n v="14"/>
    <s v="Backordered"/>
    <n v="7344"/>
  </r>
  <r>
    <x v="825"/>
    <x v="23"/>
    <x v="2"/>
    <s v="91-215-9838"/>
    <x v="78"/>
    <x v="17"/>
    <n v="42"/>
    <n v="62"/>
    <s v="Sufficient"/>
    <n v="0"/>
    <s v="Normal"/>
    <x v="101"/>
    <n v="409.5"/>
    <d v="2024-10-24T00:00:00"/>
    <d v="2024-06-19T00:00:00"/>
    <d v="2024-07-13T00:00:00"/>
    <n v="490"/>
    <n v="617"/>
    <n v="593"/>
    <s v="Safe"/>
    <s v="33145 Butterfield Avenue"/>
    <x v="46"/>
    <n v="22113"/>
    <n v="2"/>
    <s v="Active"/>
    <n v="21703.5"/>
  </r>
  <r>
    <x v="826"/>
    <x v="103"/>
    <x v="2"/>
    <s v="40-515-1141"/>
    <x v="272"/>
    <x v="2"/>
    <n v="66"/>
    <n v="28"/>
    <s v="Require"/>
    <n v="66"/>
    <s v="High Priority"/>
    <x v="57"/>
    <n v="165"/>
    <d v="2024-09-08T00:00:00"/>
    <d v="2025-08-02T00:00:00"/>
    <d v="2024-12-28T00:00:00"/>
    <n v="536"/>
    <n v="208"/>
    <n v="425"/>
    <s v="Expiring Soon"/>
    <s v="898 Rowland Trail"/>
    <x v="13"/>
    <n v="10395"/>
    <n v="98"/>
    <s v="Active"/>
    <n v="10230"/>
  </r>
  <r>
    <x v="827"/>
    <x v="31"/>
    <x v="2"/>
    <s v="75-256-5638"/>
    <x v="123"/>
    <x v="30"/>
    <n v="37"/>
    <n v="48"/>
    <s v="Sufficient"/>
    <n v="0"/>
    <s v="Normal"/>
    <x v="10"/>
    <n v="78"/>
    <d v="2024-11-27T00:00:00"/>
    <d v="2024-08-26T00:00:00"/>
    <d v="2024-06-24T00:00:00"/>
    <n v="456"/>
    <n v="549"/>
    <n v="612"/>
    <s v="Safe"/>
    <s v="425 Shasta Terrace"/>
    <x v="28"/>
    <n v="1950"/>
    <n v="19"/>
    <s v="Active"/>
    <n v="1872"/>
  </r>
  <r>
    <x v="828"/>
    <x v="27"/>
    <x v="2"/>
    <s v="54-724-8610"/>
    <x v="216"/>
    <x v="39"/>
    <n v="81"/>
    <n v="65"/>
    <s v="Require"/>
    <n v="81"/>
    <s v="High Priority"/>
    <x v="16"/>
    <n v="49"/>
    <d v="2024-11-17T00:00:00"/>
    <d v="2024-03-15T00:00:00"/>
    <d v="2024-10-22T00:00:00"/>
    <n v="466"/>
    <n v="713"/>
    <n v="492"/>
    <s v="Expiring Soon"/>
    <s v="1661 Springview Terrace"/>
    <x v="49"/>
    <n v="3626"/>
    <n v="84"/>
    <s v="Active"/>
    <n v="3577"/>
  </r>
  <r>
    <x v="829"/>
    <x v="45"/>
    <x v="2"/>
    <s v="78-379-0369"/>
    <x v="185"/>
    <x v="59"/>
    <n v="37"/>
    <n v="57"/>
    <s v="Sufficient"/>
    <n v="0"/>
    <s v="Normal"/>
    <x v="3"/>
    <n v="111"/>
    <d v="2025-02-14T00:00:00"/>
    <d v="2024-04-03T00:00:00"/>
    <d v="2024-12-18T00:00:00"/>
    <n v="377"/>
    <n v="694"/>
    <n v="435"/>
    <s v="Expiring Soon"/>
    <s v="28351 Cascade Plaza"/>
    <x v="56"/>
    <n v="10101"/>
    <n v="18"/>
    <s v="Active"/>
    <n v="9990"/>
  </r>
  <r>
    <x v="830"/>
    <x v="20"/>
    <x v="4"/>
    <s v="02-811-7933"/>
    <x v="289"/>
    <x v="21"/>
    <n v="41"/>
    <n v="98"/>
    <s v="Sufficient"/>
    <n v="0"/>
    <s v="Normal"/>
    <x v="106"/>
    <n v="749.7"/>
    <d v="2024-10-22T00:00:00"/>
    <d v="2024-12-17T00:00:00"/>
    <d v="2024-08-14T00:00:00"/>
    <n v="492"/>
    <n v="436"/>
    <n v="561"/>
    <s v="Safe"/>
    <s v="854 Kipling Point"/>
    <x v="36"/>
    <n v="27738.9"/>
    <n v="7"/>
    <s v="Active"/>
    <n v="26989.200000000001"/>
  </r>
  <r>
    <x v="831"/>
    <x v="76"/>
    <x v="2"/>
    <s v="78-726-6352"/>
    <x v="15"/>
    <x v="28"/>
    <n v="67"/>
    <n v="57"/>
    <s v="Require"/>
    <n v="67"/>
    <s v="High Priority"/>
    <x v="4"/>
    <n v="188"/>
    <d v="2024-04-12T00:00:00"/>
    <d v="2024-07-22T00:00:00"/>
    <d v="2025-02-23T00:00:00"/>
    <n v="685"/>
    <n v="584"/>
    <n v="368"/>
    <s v="Expiring Soon"/>
    <s v="04 Hagan Crossing"/>
    <x v="66"/>
    <n v="6768"/>
    <n v="48"/>
    <s v="Backordered"/>
    <n v="6580"/>
  </r>
  <r>
    <x v="832"/>
    <x v="89"/>
    <x v="4"/>
    <s v="58-226-6435"/>
    <x v="129"/>
    <x v="83"/>
    <n v="94"/>
    <n v="79"/>
    <s v="Require"/>
    <n v="94"/>
    <s v="High Priority"/>
    <x v="6"/>
    <n v="105"/>
    <d v="2024-12-17T00:00:00"/>
    <d v="2024-12-21T00:00:00"/>
    <d v="2024-05-16T00:00:00"/>
    <n v="436"/>
    <n v="432"/>
    <n v="651"/>
    <s v="Safe"/>
    <s v="93 Longview Junction"/>
    <x v="26"/>
    <n v="6405"/>
    <n v="92"/>
    <s v="Backordered"/>
    <n v="6300"/>
  </r>
  <r>
    <x v="833"/>
    <x v="112"/>
    <x v="2"/>
    <s v="70-453-8646"/>
    <x v="180"/>
    <x v="90"/>
    <n v="49"/>
    <n v="73"/>
    <s v="Require"/>
    <n v="49"/>
    <s v="Normal"/>
    <x v="6"/>
    <n v="80"/>
    <d v="2024-06-07T00:00:00"/>
    <d v="2024-04-22T00:00:00"/>
    <d v="2024-05-27T00:00:00"/>
    <n v="629"/>
    <n v="675"/>
    <n v="640"/>
    <s v="Safe"/>
    <s v="43 Lakewood Junction"/>
    <x v="62"/>
    <n v="6400"/>
    <n v="36"/>
    <s v="Discontinued"/>
    <n v="6320"/>
  </r>
  <r>
    <x v="834"/>
    <x v="71"/>
    <x v="2"/>
    <s v="55-251-3001"/>
    <x v="142"/>
    <x v="20"/>
    <n v="56"/>
    <n v="72"/>
    <s v="Sufficient"/>
    <n v="0"/>
    <s v="Normal"/>
    <x v="10"/>
    <n v="176"/>
    <d v="2025-12-01T00:00:00"/>
    <d v="2024-12-04T00:00:00"/>
    <d v="2024-06-28T00:00:00"/>
    <n v="87"/>
    <n v="449"/>
    <n v="608"/>
    <s v="Safe"/>
    <s v="7698 Logan Drive"/>
    <x v="28"/>
    <n v="4400"/>
    <n v="36"/>
    <s v="Active"/>
    <n v="4224"/>
  </r>
  <r>
    <x v="835"/>
    <x v="109"/>
    <x v="4"/>
    <s v="37-921-2953"/>
    <x v="338"/>
    <x v="76"/>
    <n v="69"/>
    <n v="71"/>
    <s v="Sufficient"/>
    <n v="0"/>
    <s v="Normal"/>
    <x v="5"/>
    <n v="140"/>
    <d v="2024-08-27T00:00:00"/>
    <d v="2024-03-05T00:00:00"/>
    <d v="2024-04-17T00:00:00"/>
    <n v="548"/>
    <n v="723"/>
    <n v="680"/>
    <s v="Safe"/>
    <s v="15658 Talisman Lane"/>
    <x v="69"/>
    <n v="5740"/>
    <n v="43"/>
    <s v="Backordered"/>
    <n v="5600"/>
  </r>
  <r>
    <x v="836"/>
    <x v="41"/>
    <x v="2"/>
    <s v="22-506-4911"/>
    <x v="238"/>
    <x v="80"/>
    <n v="59"/>
    <n v="90"/>
    <s v="Require"/>
    <n v="59"/>
    <s v="Normal"/>
    <x v="7"/>
    <n v="108"/>
    <d v="2024-08-07T00:00:00"/>
    <d v="2024-09-12T00:00:00"/>
    <d v="2024-11-11T00:00:00"/>
    <n v="568"/>
    <n v="532"/>
    <n v="472"/>
    <s v="Expiring Soon"/>
    <s v="183 Buell Park"/>
    <x v="28"/>
    <n v="2700"/>
    <n v="60"/>
    <s v="Discontinued"/>
    <n v="2592"/>
  </r>
  <r>
    <x v="837"/>
    <x v="14"/>
    <x v="0"/>
    <s v="42-201-4328"/>
    <x v="55"/>
    <x v="73"/>
    <n v="77"/>
    <n v="7"/>
    <s v="Require"/>
    <n v="77"/>
    <s v="High Priority"/>
    <x v="3"/>
    <n v="16.5"/>
    <d v="2024-10-26T00:00:00"/>
    <d v="2024-05-11T00:00:00"/>
    <d v="2024-07-10T00:00:00"/>
    <n v="488"/>
    <n v="656"/>
    <n v="596"/>
    <s v="Safe"/>
    <s v="06 Lake View Trail"/>
    <x v="76"/>
    <n v="1270.5"/>
    <n v="46"/>
    <s v="Backordered"/>
    <n v="1254"/>
  </r>
  <r>
    <x v="838"/>
    <x v="76"/>
    <x v="2"/>
    <s v="70-591-9841"/>
    <x v="200"/>
    <x v="69"/>
    <n v="83"/>
    <n v="50"/>
    <s v="Require"/>
    <n v="83"/>
    <s v="High Priority"/>
    <x v="4"/>
    <n v="160"/>
    <d v="2024-05-06T00:00:00"/>
    <d v="2024-03-09T00:00:00"/>
    <d v="2024-06-16T00:00:00"/>
    <n v="661"/>
    <n v="719"/>
    <n v="620"/>
    <s v="Safe"/>
    <s v="36124 Carberry Junction"/>
    <x v="57"/>
    <n v="14720"/>
    <n v="50"/>
    <s v="Active"/>
    <n v="14560"/>
  </r>
  <r>
    <x v="839"/>
    <x v="14"/>
    <x v="0"/>
    <s v="63-057-0462"/>
    <x v="333"/>
    <x v="21"/>
    <n v="43"/>
    <n v="8"/>
    <s v="Sufficient"/>
    <n v="0"/>
    <s v="Normal"/>
    <x v="3"/>
    <n v="94.5"/>
    <d v="2024-08-20T00:00:00"/>
    <d v="2024-04-20T00:00:00"/>
    <d v="2024-12-08T00:00:00"/>
    <n v="555"/>
    <n v="677"/>
    <n v="445"/>
    <s v="Expiring Soon"/>
    <s v="33774 Carberry Circle"/>
    <x v="79"/>
    <n v="5197.5"/>
    <n v="72"/>
    <s v="Active"/>
    <n v="5103"/>
  </r>
  <r>
    <x v="840"/>
    <x v="21"/>
    <x v="0"/>
    <s v="90-940-9550"/>
    <x v="302"/>
    <x v="82"/>
    <n v="75"/>
    <n v="43"/>
    <s v="Sufficient"/>
    <n v="0"/>
    <s v="Normal"/>
    <x v="3"/>
    <n v="135"/>
    <d v="2024-05-28T00:00:00"/>
    <d v="2024-09-18T00:00:00"/>
    <d v="2025-02-23T00:00:00"/>
    <n v="639"/>
    <n v="526"/>
    <n v="368"/>
    <s v="Expiring Soon"/>
    <s v="36 Bobwhite Parkway"/>
    <x v="62"/>
    <n v="10800"/>
    <n v="57"/>
    <s v="Discontinued"/>
    <n v="10665"/>
  </r>
  <r>
    <x v="841"/>
    <x v="38"/>
    <x v="5"/>
    <s v="64-070-7611"/>
    <x v="166"/>
    <x v="28"/>
    <n v="26"/>
    <n v="40"/>
    <s v="Sufficient"/>
    <n v="0"/>
    <s v="Normal"/>
    <x v="107"/>
    <n v="152.75"/>
    <d v="2024-12-13T00:00:00"/>
    <d v="2025-12-01T00:00:00"/>
    <d v="2024-11-26T00:00:00"/>
    <n v="440"/>
    <n v="87"/>
    <n v="457"/>
    <s v="Expiring Soon"/>
    <s v="55276 Golf Hill"/>
    <x v="43"/>
    <n v="4582.5"/>
    <n v="72"/>
    <s v="Active"/>
    <n v="4429.75"/>
  </r>
  <r>
    <x v="842"/>
    <x v="99"/>
    <x v="5"/>
    <s v="95-609-1485"/>
    <x v="204"/>
    <x v="50"/>
    <n v="2"/>
    <n v="84"/>
    <s v="Sufficient"/>
    <n v="0"/>
    <s v="Normal"/>
    <x v="4"/>
    <n v="116"/>
    <d v="2024-03-21T00:00:00"/>
    <d v="2024-04-19T00:00:00"/>
    <d v="2024-09-25T00:00:00"/>
    <n v="707"/>
    <n v="678"/>
    <n v="519"/>
    <s v="Expiring Soon"/>
    <s v="9821 Novick Hill"/>
    <x v="62"/>
    <n v="9280"/>
    <n v="85"/>
    <s v="Backordered"/>
    <n v="9164"/>
  </r>
  <r>
    <x v="843"/>
    <x v="76"/>
    <x v="2"/>
    <s v="61-382-5182"/>
    <x v="282"/>
    <x v="14"/>
    <n v="69"/>
    <n v="68"/>
    <s v="Sufficient"/>
    <n v="0"/>
    <s v="Normal"/>
    <x v="4"/>
    <n v="376"/>
    <d v="2024-08-07T00:00:00"/>
    <d v="2025-01-16T00:00:00"/>
    <d v="2025-02-13T00:00:00"/>
    <n v="568"/>
    <n v="406"/>
    <n v="378"/>
    <s v="Expiring Soon"/>
    <s v="832 Goodland Alley"/>
    <x v="38"/>
    <n v="9024"/>
    <n v="20"/>
    <s v="Discontinued"/>
    <n v="8648"/>
  </r>
  <r>
    <x v="844"/>
    <x v="34"/>
    <x v="2"/>
    <s v="35-835-8848"/>
    <x v="68"/>
    <x v="90"/>
    <n v="63"/>
    <n v="92"/>
    <s v="Require"/>
    <n v="63"/>
    <s v="High Priority"/>
    <x v="108"/>
    <n v="156.80000000000001"/>
    <d v="2024-11-17T00:00:00"/>
    <d v="2024-07-25T00:00:00"/>
    <d v="2024-11-09T00:00:00"/>
    <n v="466"/>
    <n v="581"/>
    <n v="474"/>
    <s v="Expiring Soon"/>
    <s v="8239 Laurel Way"/>
    <x v="45"/>
    <n v="13171.2"/>
    <n v="34"/>
    <s v="Discontinued"/>
    <n v="13014.400000000001"/>
  </r>
  <r>
    <x v="845"/>
    <x v="4"/>
    <x v="2"/>
    <s v="84-941-3034"/>
    <x v="211"/>
    <x v="69"/>
    <n v="3"/>
    <n v="5"/>
    <s v="Sufficient"/>
    <n v="0"/>
    <s v="Normal"/>
    <x v="4"/>
    <n v="160"/>
    <d v="2024-04-03T00:00:00"/>
    <d v="2024-06-15T00:00:00"/>
    <d v="2024-06-24T00:00:00"/>
    <n v="694"/>
    <n v="621"/>
    <n v="612"/>
    <s v="Safe"/>
    <s v="29 Vera Drive"/>
    <x v="78"/>
    <n v="7200"/>
    <n v="69"/>
    <s v="Discontinued"/>
    <n v="7040"/>
  </r>
  <r>
    <x v="846"/>
    <x v="7"/>
    <x v="4"/>
    <s v="31-483-9201"/>
    <x v="232"/>
    <x v="74"/>
    <n v="66"/>
    <n v="1"/>
    <s v="Require"/>
    <n v="66"/>
    <s v="High Priority"/>
    <x v="6"/>
    <n v="125"/>
    <d v="2024-10-22T00:00:00"/>
    <d v="2024-07-12T00:00:00"/>
    <d v="2025-02-04T00:00:00"/>
    <n v="492"/>
    <n v="594"/>
    <n v="387"/>
    <s v="Expiring Soon"/>
    <s v="23560 Talmadge Center"/>
    <x v="50"/>
    <n v="9500"/>
    <n v="73"/>
    <s v="Active"/>
    <n v="9375"/>
  </r>
  <r>
    <x v="847"/>
    <x v="73"/>
    <x v="6"/>
    <s v="25-790-1641"/>
    <x v="250"/>
    <x v="18"/>
    <n v="29"/>
    <n v="10"/>
    <s v="Sufficient"/>
    <n v="0"/>
    <s v="Normal"/>
    <x v="12"/>
    <n v="576"/>
    <d v="2024-06-03T00:00:00"/>
    <d v="2024-07-04T00:00:00"/>
    <d v="2024-03-24T00:00:00"/>
    <n v="633"/>
    <n v="602"/>
    <n v="704"/>
    <s v="Safe"/>
    <s v="46 Colorado Place"/>
    <x v="46"/>
    <n v="31104"/>
    <n v="38"/>
    <s v="Discontinued"/>
    <n v="30528"/>
  </r>
  <r>
    <x v="848"/>
    <x v="75"/>
    <x v="2"/>
    <s v="56-196-9896"/>
    <x v="69"/>
    <x v="0"/>
    <n v="35"/>
    <n v="55"/>
    <s v="Require"/>
    <n v="35"/>
    <s v="Normal"/>
    <x v="2"/>
    <n v="132"/>
    <d v="2024-08-30T00:00:00"/>
    <d v="2024-08-27T00:00:00"/>
    <d v="2024-10-26T00:00:00"/>
    <n v="545"/>
    <n v="548"/>
    <n v="488"/>
    <s v="Expiring Soon"/>
    <s v="62238 Mallory Place"/>
    <x v="69"/>
    <n v="5412"/>
    <n v="27"/>
    <s v="Active"/>
    <n v="5280"/>
  </r>
  <r>
    <x v="849"/>
    <x v="61"/>
    <x v="5"/>
    <s v="80-833-3051"/>
    <x v="230"/>
    <x v="65"/>
    <n v="76"/>
    <n v="70"/>
    <s v="Require"/>
    <n v="76"/>
    <s v="High Priority"/>
    <x v="15"/>
    <n v="115"/>
    <d v="2025-07-01T00:00:00"/>
    <d v="2024-09-19T00:00:00"/>
    <d v="2024-09-01T00:00:00"/>
    <n v="240"/>
    <n v="525"/>
    <n v="543"/>
    <s v="Expiring Soon"/>
    <s v="40 Cody Pass"/>
    <x v="23"/>
    <n v="11155"/>
    <n v="38"/>
    <s v="Backordered"/>
    <n v="11040"/>
  </r>
  <r>
    <x v="850"/>
    <x v="105"/>
    <x v="6"/>
    <s v="10-950-0546"/>
    <x v="218"/>
    <x v="51"/>
    <n v="72"/>
    <n v="70"/>
    <s v="Require"/>
    <n v="72"/>
    <s v="High Priority"/>
    <x v="1"/>
    <n v="700"/>
    <d v="2024-04-17T00:00:00"/>
    <d v="2024-04-04T00:00:00"/>
    <d v="2025-02-10T00:00:00"/>
    <n v="680"/>
    <n v="693"/>
    <n v="381"/>
    <s v="Expiring Soon"/>
    <s v="29150 Farmco Crossing"/>
    <x v="49"/>
    <n v="51800"/>
    <n v="15"/>
    <s v="Backordered"/>
    <n v="51100"/>
  </r>
  <r>
    <x v="851"/>
    <x v="26"/>
    <x v="2"/>
    <s v="14-108-0409"/>
    <x v="253"/>
    <x v="3"/>
    <n v="93"/>
    <n v="29"/>
    <s v="Require"/>
    <n v="93"/>
    <s v="High Priority"/>
    <x v="5"/>
    <n v="21"/>
    <d v="2025-02-20T00:00:00"/>
    <d v="2024-06-12T00:00:00"/>
    <d v="2024-08-15T00:00:00"/>
    <n v="371"/>
    <n v="624"/>
    <n v="560"/>
    <s v="Safe"/>
    <s v="546 Declaration Place"/>
    <x v="78"/>
    <n v="945"/>
    <n v="12"/>
    <s v="Backordered"/>
    <n v="924"/>
  </r>
  <r>
    <x v="852"/>
    <x v="88"/>
    <x v="4"/>
    <s v="74-619-4608"/>
    <x v="182"/>
    <x v="66"/>
    <n v="23"/>
    <n v="1"/>
    <s v="Sufficient"/>
    <n v="0"/>
    <s v="Normal"/>
    <x v="18"/>
    <n v="774"/>
    <d v="2024-06-20T00:00:00"/>
    <d v="2024-05-19T00:00:00"/>
    <d v="2024-03-23T00:00:00"/>
    <n v="616"/>
    <n v="648"/>
    <n v="705"/>
    <s v="Safe"/>
    <s v="7 Lunder Hill"/>
    <x v="10"/>
    <n v="77400"/>
    <n v="86"/>
    <s v="Backordered"/>
    <n v="76626"/>
  </r>
  <r>
    <x v="853"/>
    <x v="101"/>
    <x v="6"/>
    <s v="34-014-5873"/>
    <x v="87"/>
    <x v="8"/>
    <n v="96"/>
    <n v="90"/>
    <s v="Require"/>
    <n v="96"/>
    <s v="High Priority"/>
    <x v="53"/>
    <n v="682.5"/>
    <d v="2025-02-14T00:00:00"/>
    <d v="2024-11-08T00:00:00"/>
    <d v="2024-12-24T00:00:00"/>
    <n v="377"/>
    <n v="475"/>
    <n v="429"/>
    <s v="Expiring Soon"/>
    <s v="884 Sloan Drive"/>
    <x v="54"/>
    <n v="61425"/>
    <n v="75"/>
    <s v="Backordered"/>
    <n v="60742.5"/>
  </r>
  <r>
    <x v="854"/>
    <x v="107"/>
    <x v="4"/>
    <s v="74-119-8973"/>
    <x v="274"/>
    <x v="65"/>
    <n v="99"/>
    <n v="97"/>
    <s v="Require"/>
    <n v="99"/>
    <s v="High Priority"/>
    <x v="10"/>
    <n v="46"/>
    <d v="2024-09-06T00:00:00"/>
    <d v="2024-06-04T00:00:00"/>
    <d v="2024-04-10T00:00:00"/>
    <n v="538"/>
    <n v="632"/>
    <n v="687"/>
    <s v="Safe"/>
    <s v="15 Oriole Park"/>
    <x v="58"/>
    <n v="3128"/>
    <n v="76"/>
    <s v="Discontinued"/>
    <n v="3082"/>
  </r>
  <r>
    <x v="855"/>
    <x v="31"/>
    <x v="2"/>
    <s v="30-820-2883"/>
    <x v="67"/>
    <x v="84"/>
    <n v="40"/>
    <n v="100"/>
    <s v="Sufficient"/>
    <n v="0"/>
    <s v="Normal"/>
    <x v="10"/>
    <n v="196"/>
    <d v="2025-03-02T00:00:00"/>
    <d v="2024-10-30T00:00:00"/>
    <d v="2024-12-19T00:00:00"/>
    <n v="361"/>
    <n v="484"/>
    <n v="434"/>
    <s v="Expiring Soon"/>
    <s v="9171 Norway Maple Trail"/>
    <x v="17"/>
    <n v="9016"/>
    <n v="9"/>
    <s v="Active"/>
    <n v="8820"/>
  </r>
  <r>
    <x v="856"/>
    <x v="119"/>
    <x v="2"/>
    <s v="61-040-9004"/>
    <x v="13"/>
    <x v="50"/>
    <n v="66"/>
    <n v="21"/>
    <s v="Require"/>
    <n v="66"/>
    <s v="High Priority"/>
    <x v="12"/>
    <n v="232"/>
    <d v="2024-10-29T00:00:00"/>
    <d v="2024-11-07T00:00:00"/>
    <d v="2024-11-07T00:00:00"/>
    <n v="485"/>
    <n v="476"/>
    <n v="476"/>
    <s v="Expiring Soon"/>
    <s v="8119 Homewood Drive"/>
    <x v="49"/>
    <n v="17168"/>
    <n v="93"/>
    <s v="Discontinued"/>
    <n v="16936"/>
  </r>
  <r>
    <x v="857"/>
    <x v="72"/>
    <x v="2"/>
    <s v="46-830-4835"/>
    <x v="339"/>
    <x v="90"/>
    <n v="27"/>
    <n v="26"/>
    <s v="Sufficient"/>
    <n v="0"/>
    <s v="Normal"/>
    <x v="15"/>
    <n v="160"/>
    <d v="2024-05-30T00:00:00"/>
    <d v="2024-11-20T00:00:00"/>
    <d v="2025-01-14T00:00:00"/>
    <n v="637"/>
    <n v="463"/>
    <n v="408"/>
    <s v="Expiring Soon"/>
    <s v="25923 Loeprich Junction"/>
    <x v="39"/>
    <n v="6080"/>
    <n v="79"/>
    <s v="Backordered"/>
    <n v="5920"/>
  </r>
  <r>
    <x v="858"/>
    <x v="25"/>
    <x v="2"/>
    <s v="75-553-7424"/>
    <x v="170"/>
    <x v="36"/>
    <n v="74"/>
    <n v="48"/>
    <s v="Sufficient"/>
    <n v="0"/>
    <s v="Normal"/>
    <x v="0"/>
    <n v="378"/>
    <d v="2024-12-24T00:00:00"/>
    <d v="2024-10-17T00:00:00"/>
    <d v="2024-05-24T00:00:00"/>
    <n v="429"/>
    <n v="497"/>
    <n v="643"/>
    <s v="Safe"/>
    <s v="7051 Calypso Place"/>
    <x v="44"/>
    <n v="24192"/>
    <n v="32"/>
    <s v="Backordered"/>
    <n v="23814"/>
  </r>
  <r>
    <x v="859"/>
    <x v="109"/>
    <x v="4"/>
    <s v="01-495-9336"/>
    <x v="108"/>
    <x v="66"/>
    <n v="20"/>
    <n v="67"/>
    <s v="Sufficient"/>
    <n v="0"/>
    <s v="Normal"/>
    <x v="5"/>
    <n v="150.5"/>
    <d v="2025-12-02T00:00:00"/>
    <d v="2024-07-07T00:00:00"/>
    <d v="2024-08-03T00:00:00"/>
    <n v="86"/>
    <n v="599"/>
    <n v="572"/>
    <s v="Safe"/>
    <s v="09264 Forest Dale Drive"/>
    <x v="48"/>
    <n v="12491.5"/>
    <n v="82"/>
    <s v="Discontinued"/>
    <n v="12341"/>
  </r>
  <r>
    <x v="860"/>
    <x v="2"/>
    <x v="0"/>
    <s v="66-684-1941"/>
    <x v="334"/>
    <x v="73"/>
    <n v="58"/>
    <n v="26"/>
    <s v="Require"/>
    <n v="58"/>
    <s v="Normal"/>
    <x v="69"/>
    <n v="68.2"/>
    <d v="2024-06-06T00:00:00"/>
    <d v="2024-03-12T00:00:00"/>
    <d v="2024-07-08T00:00:00"/>
    <n v="630"/>
    <n v="716"/>
    <n v="598"/>
    <s v="Safe"/>
    <s v="662 Vernon Point"/>
    <x v="65"/>
    <n v="3341.8"/>
    <n v="34"/>
    <s v="Active"/>
    <n v="3273.6000000000004"/>
  </r>
  <r>
    <x v="861"/>
    <x v="92"/>
    <x v="0"/>
    <s v="48-557-5036"/>
    <x v="155"/>
    <x v="34"/>
    <n v="69"/>
    <n v="64"/>
    <s v="Require"/>
    <n v="69"/>
    <s v="High Priority"/>
    <x v="45"/>
    <n v="165"/>
    <d v="2025-02-23T00:00:00"/>
    <d v="2024-09-03T00:00:00"/>
    <d v="2025-01-02T00:00:00"/>
    <n v="368"/>
    <n v="541"/>
    <n v="420"/>
    <s v="Expiring Soon"/>
    <s v="46 Orin Drive"/>
    <x v="32"/>
    <n v="8415"/>
    <n v="6"/>
    <s v="Active"/>
    <n v="8250"/>
  </r>
  <r>
    <x v="862"/>
    <x v="118"/>
    <x v="5"/>
    <s v="53-799-3174"/>
    <x v="211"/>
    <x v="62"/>
    <n v="48"/>
    <n v="9"/>
    <s v="Sufficient"/>
    <n v="0"/>
    <s v="Normal"/>
    <x v="16"/>
    <n v="203"/>
    <d v="2024-07-12T00:00:00"/>
    <d v="2024-03-08T00:00:00"/>
    <d v="2024-03-19T00:00:00"/>
    <n v="594"/>
    <n v="720"/>
    <n v="709"/>
    <s v="Safe"/>
    <s v="8524 Shelley Way"/>
    <x v="60"/>
    <n v="19894"/>
    <n v="69"/>
    <s v="Active"/>
    <n v="19691"/>
  </r>
  <r>
    <x v="863"/>
    <x v="47"/>
    <x v="4"/>
    <s v="98-558-5813"/>
    <x v="101"/>
    <x v="56"/>
    <n v="95"/>
    <n v="62"/>
    <s v="Require"/>
    <n v="95"/>
    <s v="High Priority"/>
    <x v="2"/>
    <n v="384"/>
    <d v="2024-05-24T00:00:00"/>
    <d v="2024-08-22T00:00:00"/>
    <d v="2024-05-17T00:00:00"/>
    <n v="643"/>
    <n v="553"/>
    <n v="650"/>
    <s v="Safe"/>
    <s v="6 Anniversary Circle"/>
    <x v="79"/>
    <n v="21120"/>
    <n v="1"/>
    <s v="Discontinued"/>
    <n v="20736"/>
  </r>
  <r>
    <x v="864"/>
    <x v="79"/>
    <x v="3"/>
    <s v="16-869-7328"/>
    <x v="163"/>
    <x v="26"/>
    <n v="80"/>
    <n v="87"/>
    <s v="Require"/>
    <n v="80"/>
    <s v="High Priority"/>
    <x v="20"/>
    <n v="43.699999999999996"/>
    <d v="2024-11-10T00:00:00"/>
    <d v="2024-10-23T00:00:00"/>
    <d v="2024-12-30T00:00:00"/>
    <n v="473"/>
    <n v="491"/>
    <n v="423"/>
    <s v="Expiring Soon"/>
    <s v="0087 Bluejay Plaza"/>
    <x v="55"/>
    <n v="1442.1"/>
    <n v="38"/>
    <s v="Backordered"/>
    <n v="1398.3999999999999"/>
  </r>
  <r>
    <x v="865"/>
    <x v="119"/>
    <x v="2"/>
    <s v="34-730-9079"/>
    <x v="22"/>
    <x v="9"/>
    <n v="41"/>
    <n v="100"/>
    <s v="Sufficient"/>
    <n v="0"/>
    <s v="Normal"/>
    <x v="12"/>
    <n v="344"/>
    <d v="2024-06-16T00:00:00"/>
    <d v="2024-08-04T00:00:00"/>
    <d v="2024-06-01T00:00:00"/>
    <n v="620"/>
    <n v="571"/>
    <n v="635"/>
    <s v="Safe"/>
    <s v="61057 Hallows Junction"/>
    <x v="9"/>
    <n v="9288"/>
    <n v="78"/>
    <s v="Active"/>
    <n v="8944"/>
  </r>
  <r>
    <x v="866"/>
    <x v="59"/>
    <x v="3"/>
    <s v="25-741-5987"/>
    <x v="69"/>
    <x v="54"/>
    <n v="62"/>
    <n v="47"/>
    <s v="Require"/>
    <n v="62"/>
    <s v="High Priority"/>
    <x v="4"/>
    <n v="152"/>
    <d v="2024-02-12T00:00:00"/>
    <d v="2024-12-12T00:00:00"/>
    <d v="2024-11-13T00:00:00"/>
    <n v="745"/>
    <n v="441"/>
    <n v="470"/>
    <s v="Expiring Soon"/>
    <s v="13 Westport Hill"/>
    <x v="69"/>
    <n v="6232"/>
    <n v="34"/>
    <s v="Discontinued"/>
    <n v="6080"/>
  </r>
  <r>
    <x v="867"/>
    <x v="83"/>
    <x v="4"/>
    <s v="03-983-0515"/>
    <x v="237"/>
    <x v="67"/>
    <n v="66"/>
    <n v="74"/>
    <s v="Sufficient"/>
    <n v="0"/>
    <s v="Normal"/>
    <x v="6"/>
    <n v="175"/>
    <d v="2024-11-11T00:00:00"/>
    <d v="2024-11-07T00:00:00"/>
    <d v="2024-03-28T00:00:00"/>
    <n v="472"/>
    <n v="476"/>
    <n v="700"/>
    <s v="Safe"/>
    <s v="53 Lawn Circle"/>
    <x v="11"/>
    <n v="8225"/>
    <n v="77"/>
    <s v="Active"/>
    <n v="8050"/>
  </r>
  <r>
    <x v="868"/>
    <x v="91"/>
    <x v="2"/>
    <s v="39-506-2186"/>
    <x v="140"/>
    <x v="27"/>
    <n v="3"/>
    <n v="39"/>
    <s v="Sufficient"/>
    <n v="0"/>
    <s v="Normal"/>
    <x v="15"/>
    <n v="90"/>
    <d v="2024-10-18T00:00:00"/>
    <d v="2025-02-16T00:00:00"/>
    <d v="2024-11-24T00:00:00"/>
    <n v="496"/>
    <n v="375"/>
    <n v="459"/>
    <s v="Expiring Soon"/>
    <s v="25 Drewry Alley"/>
    <x v="63"/>
    <n v="5220"/>
    <n v="61"/>
    <s v="Backordered"/>
    <n v="5130"/>
  </r>
  <r>
    <x v="869"/>
    <x v="104"/>
    <x v="0"/>
    <s v="83-780-4531"/>
    <x v="10"/>
    <x v="29"/>
    <n v="81"/>
    <n v="47"/>
    <s v="Require"/>
    <n v="81"/>
    <s v="High Priority"/>
    <x v="6"/>
    <n v="115"/>
    <d v="2024-05-09T00:00:00"/>
    <d v="2024-11-09T00:00:00"/>
    <d v="2025-01-16T00:00:00"/>
    <n v="658"/>
    <n v="474"/>
    <n v="406"/>
    <s v="Expiring Soon"/>
    <s v="9 Kipling Road"/>
    <x v="67"/>
    <n v="5520"/>
    <n v="48"/>
    <s v="Active"/>
    <n v="5405"/>
  </r>
  <r>
    <x v="870"/>
    <x v="1"/>
    <x v="1"/>
    <s v="39-055-1703"/>
    <x v="340"/>
    <x v="87"/>
    <n v="34"/>
    <n v="39"/>
    <s v="Sufficient"/>
    <n v="0"/>
    <s v="Normal"/>
    <x v="109"/>
    <n v="1599"/>
    <d v="2024-11-13T00:00:00"/>
    <d v="2024-08-26T00:00:00"/>
    <d v="2024-08-23T00:00:00"/>
    <n v="470"/>
    <n v="549"/>
    <n v="552"/>
    <s v="Safe"/>
    <s v="697 Hoepker Center"/>
    <x v="4"/>
    <n v="99138"/>
    <n v="2"/>
    <s v="Active"/>
    <n v="97539"/>
  </r>
  <r>
    <x v="871"/>
    <x v="79"/>
    <x v="3"/>
    <s v="28-465-9141"/>
    <x v="69"/>
    <x v="58"/>
    <n v="20"/>
    <n v="75"/>
    <s v="Sufficient"/>
    <n v="0"/>
    <s v="Normal"/>
    <x v="20"/>
    <n v="121.89999999999999"/>
    <d v="2024-12-06T00:00:00"/>
    <d v="2024-01-10T00:00:00"/>
    <d v="2025-01-04T00:00:00"/>
    <n v="447"/>
    <n v="778"/>
    <n v="418"/>
    <s v="Expiring Soon"/>
    <s v="085 Reinke Pass"/>
    <x v="48"/>
    <n v="10117.699999999999"/>
    <n v="77"/>
    <s v="Backordered"/>
    <n v="9995.7999999999993"/>
  </r>
  <r>
    <x v="872"/>
    <x v="30"/>
    <x v="6"/>
    <s v="86-184-4829"/>
    <x v="115"/>
    <x v="38"/>
    <n v="71"/>
    <n v="4"/>
    <s v="Require"/>
    <n v="71"/>
    <s v="High Priority"/>
    <x v="18"/>
    <n v="603"/>
    <d v="2024-12-19T00:00:00"/>
    <d v="2024-04-14T00:00:00"/>
    <d v="2024-07-08T00:00:00"/>
    <n v="434"/>
    <n v="683"/>
    <n v="598"/>
    <s v="Safe"/>
    <s v="269 Dakota Trail"/>
    <x v="50"/>
    <n v="45828"/>
    <n v="34"/>
    <s v="Backordered"/>
    <n v="45225"/>
  </r>
  <r>
    <x v="873"/>
    <x v="120"/>
    <x v="4"/>
    <s v="51-215-2283"/>
    <x v="308"/>
    <x v="80"/>
    <n v="30"/>
    <n v="44"/>
    <s v="Sufficient"/>
    <n v="0"/>
    <s v="Normal"/>
    <x v="88"/>
    <n v="7.2"/>
    <d v="2024-11-04T00:00:00"/>
    <d v="2024-03-03T00:00:00"/>
    <d v="2024-05-26T00:00:00"/>
    <n v="479"/>
    <n v="725"/>
    <n v="641"/>
    <s v="Safe"/>
    <s v="553 Hooker Trail"/>
    <x v="58"/>
    <n v="489.6"/>
    <n v="88"/>
    <s v="Backordered"/>
    <n v="482.40000000000003"/>
  </r>
  <r>
    <x v="874"/>
    <x v="92"/>
    <x v="0"/>
    <s v="99-455-0707"/>
    <x v="339"/>
    <x v="30"/>
    <n v="53"/>
    <n v="64"/>
    <s v="Require"/>
    <n v="53"/>
    <s v="Normal"/>
    <x v="45"/>
    <n v="107.25"/>
    <d v="2024-06-22T00:00:00"/>
    <d v="2024-02-07T00:00:00"/>
    <d v="2024-12-27T00:00:00"/>
    <n v="614"/>
    <n v="750"/>
    <n v="426"/>
    <s v="Expiring Soon"/>
    <s v="11 Thackeray Hill"/>
    <x v="57"/>
    <n v="9867"/>
    <n v="8"/>
    <s v="Active"/>
    <n v="9759.75"/>
  </r>
  <r>
    <x v="875"/>
    <x v="116"/>
    <x v="2"/>
    <s v="32-402-9679"/>
    <x v="308"/>
    <x v="12"/>
    <n v="87"/>
    <n v="13"/>
    <s v="Sufficient"/>
    <n v="0"/>
    <s v="Normal"/>
    <x v="10"/>
    <n v="190"/>
    <d v="2024-12-10T00:00:00"/>
    <d v="2024-02-03T00:00:00"/>
    <d v="2024-08-04T00:00:00"/>
    <n v="443"/>
    <n v="754"/>
    <n v="571"/>
    <s v="Safe"/>
    <s v="803 5th Alley"/>
    <x v="26"/>
    <n v="11590"/>
    <n v="4"/>
    <s v="Backordered"/>
    <n v="11400"/>
  </r>
  <r>
    <x v="876"/>
    <x v="69"/>
    <x v="0"/>
    <s v="49-559-7092"/>
    <x v="81"/>
    <x v="3"/>
    <n v="56"/>
    <n v="92"/>
    <s v="Require"/>
    <n v="56"/>
    <s v="Normal"/>
    <x v="32"/>
    <n v="114"/>
    <d v="2024-08-05T00:00:00"/>
    <d v="2024-12-15T00:00:00"/>
    <d v="2024-05-13T00:00:00"/>
    <n v="570"/>
    <n v="438"/>
    <n v="654"/>
    <s v="Safe"/>
    <s v="2 Veith Crossing"/>
    <x v="8"/>
    <n v="6384"/>
    <n v="6"/>
    <s v="Active"/>
    <n v="6270"/>
  </r>
  <r>
    <x v="877"/>
    <x v="114"/>
    <x v="0"/>
    <s v="35-979-6839"/>
    <x v="173"/>
    <x v="84"/>
    <n v="30"/>
    <n v="39"/>
    <s v="Sufficient"/>
    <n v="0"/>
    <s v="Normal"/>
    <x v="29"/>
    <n v="980"/>
    <d v="2024-11-25T00:00:00"/>
    <d v="2024-04-14T00:00:00"/>
    <d v="2024-08-10T00:00:00"/>
    <n v="458"/>
    <n v="683"/>
    <n v="565"/>
    <s v="Safe"/>
    <s v="652 High Crossing Lane"/>
    <x v="2"/>
    <n v="30380"/>
    <n v="26"/>
    <s v="Active"/>
    <n v="29400"/>
  </r>
  <r>
    <x v="878"/>
    <x v="65"/>
    <x v="0"/>
    <s v="46-316-6919"/>
    <x v="213"/>
    <x v="74"/>
    <n v="14"/>
    <n v="99"/>
    <s v="Sufficient"/>
    <n v="0"/>
    <s v="Normal"/>
    <x v="30"/>
    <n v="237.5"/>
    <d v="2025-09-01T00:00:00"/>
    <d v="2024-03-28T00:00:00"/>
    <d v="2024-04-15T00:00:00"/>
    <n v="178"/>
    <n v="700"/>
    <n v="682"/>
    <s v="Safe"/>
    <s v="8182 Hazelcrest Place"/>
    <x v="20"/>
    <n v="12350"/>
    <n v="75"/>
    <s v="Active"/>
    <n v="12112.5"/>
  </r>
  <r>
    <x v="879"/>
    <x v="32"/>
    <x v="2"/>
    <s v="47-026-0505"/>
    <x v="80"/>
    <x v="84"/>
    <n v="14"/>
    <n v="11"/>
    <s v="Sufficient"/>
    <n v="0"/>
    <s v="Normal"/>
    <x v="6"/>
    <n v="245"/>
    <d v="2024-04-17T00:00:00"/>
    <d v="2024-01-12T00:00:00"/>
    <d v="2024-03-20T00:00:00"/>
    <n v="680"/>
    <n v="776"/>
    <n v="708"/>
    <s v="Safe"/>
    <s v="6251 Eliot Hill"/>
    <x v="67"/>
    <n v="11760"/>
    <n v="38"/>
    <s v="Discontinued"/>
    <n v="11515"/>
  </r>
  <r>
    <x v="880"/>
    <x v="6"/>
    <x v="3"/>
    <s v="85-978-7855"/>
    <x v="92"/>
    <x v="44"/>
    <n v="32"/>
    <n v="71"/>
    <s v="Require"/>
    <n v="32"/>
    <s v="Normal"/>
    <x v="6"/>
    <n v="70"/>
    <d v="2024-12-22T00:00:00"/>
    <d v="2024-02-05T00:00:00"/>
    <d v="2024-12-06T00:00:00"/>
    <n v="431"/>
    <n v="752"/>
    <n v="447"/>
    <s v="Expiring Soon"/>
    <s v="82 Hintze Court"/>
    <x v="0"/>
    <n v="2240"/>
    <n v="49"/>
    <s v="Discontinued"/>
    <n v="2170"/>
  </r>
  <r>
    <x v="881"/>
    <x v="26"/>
    <x v="2"/>
    <s v="87-032-6971"/>
    <x v="110"/>
    <x v="38"/>
    <n v="14"/>
    <n v="25"/>
    <s v="Sufficient"/>
    <n v="0"/>
    <s v="Normal"/>
    <x v="26"/>
    <n v="120.60000000000001"/>
    <d v="2024-02-05T00:00:00"/>
    <d v="2024-08-20T00:00:00"/>
    <d v="2024-10-16T00:00:00"/>
    <n v="752"/>
    <n v="555"/>
    <n v="498"/>
    <s v="Expiring Soon"/>
    <s v="38 Killdeer Point"/>
    <x v="68"/>
    <n v="9768.6"/>
    <n v="77"/>
    <s v="Active"/>
    <n v="9648"/>
  </r>
  <r>
    <x v="882"/>
    <x v="31"/>
    <x v="2"/>
    <s v="27-061-4764"/>
    <x v="242"/>
    <x v="53"/>
    <n v="93"/>
    <n v="37"/>
    <s v="Require"/>
    <n v="93"/>
    <s v="High Priority"/>
    <x v="10"/>
    <n v="40"/>
    <d v="2024-10-20T00:00:00"/>
    <d v="2024-07-03T00:00:00"/>
    <d v="2024-12-25T00:00:00"/>
    <n v="494"/>
    <n v="603"/>
    <n v="428"/>
    <s v="Expiring Soon"/>
    <s v="06 Shopko Pass"/>
    <x v="61"/>
    <n v="920"/>
    <n v="2"/>
    <s v="Discontinued"/>
    <n v="880"/>
  </r>
  <r>
    <x v="883"/>
    <x v="17"/>
    <x v="6"/>
    <s v="71-300-8176"/>
    <x v="82"/>
    <x v="38"/>
    <n v="83"/>
    <n v="90"/>
    <s v="Require"/>
    <n v="83"/>
    <s v="High Priority"/>
    <x v="110"/>
    <n v="777.19999999999993"/>
    <d v="2024-10-27T00:00:00"/>
    <d v="2024-09-30T00:00:00"/>
    <d v="2024-08-29T00:00:00"/>
    <n v="487"/>
    <n v="514"/>
    <n v="546"/>
    <s v="Expiring Soon"/>
    <s v="374 Blue Bill Park Point"/>
    <x v="15"/>
    <n v="51295.199999999997"/>
    <n v="77"/>
    <s v="Active"/>
    <n v="50518"/>
  </r>
  <r>
    <x v="884"/>
    <x v="22"/>
    <x v="4"/>
    <s v="47-831-9154"/>
    <x v="175"/>
    <x v="14"/>
    <n v="60"/>
    <n v="78"/>
    <s v="Sufficient"/>
    <n v="0"/>
    <s v="Normal"/>
    <x v="14"/>
    <n v="75.2"/>
    <d v="2024-08-12T00:00:00"/>
    <d v="2024-07-03T00:00:00"/>
    <d v="2024-09-20T00:00:00"/>
    <n v="563"/>
    <n v="603"/>
    <n v="524"/>
    <s v="Expiring Soon"/>
    <s v="79 Monterey Avenue"/>
    <x v="10"/>
    <n v="7520"/>
    <n v="42"/>
    <s v="Active"/>
    <n v="7444.8"/>
  </r>
  <r>
    <x v="885"/>
    <x v="46"/>
    <x v="1"/>
    <s v="79-366-7207"/>
    <x v="341"/>
    <x v="1"/>
    <n v="58"/>
    <n v="84"/>
    <s v="Require"/>
    <n v="58"/>
    <s v="Normal"/>
    <x v="15"/>
    <n v="225"/>
    <d v="2025-06-01T00:00:00"/>
    <d v="2024-03-21T00:00:00"/>
    <d v="2024-03-30T00:00:00"/>
    <n v="270"/>
    <n v="707"/>
    <n v="698"/>
    <s v="Safe"/>
    <s v="22555 Macpherson Plaza"/>
    <x v="54"/>
    <n v="20250"/>
    <n v="67"/>
    <s v="Active"/>
    <n v="20025"/>
  </r>
  <r>
    <x v="886"/>
    <x v="95"/>
    <x v="6"/>
    <s v="38-603-6412"/>
    <x v="67"/>
    <x v="66"/>
    <n v="55"/>
    <n v="96"/>
    <s v="Sufficient"/>
    <n v="0"/>
    <s v="Normal"/>
    <x v="29"/>
    <n v="860"/>
    <d v="2024-12-19T00:00:00"/>
    <d v="2024-09-07T00:00:00"/>
    <d v="2024-09-29T00:00:00"/>
    <n v="434"/>
    <n v="537"/>
    <n v="515"/>
    <s v="Expiring Soon"/>
    <s v="7 Harper Drive"/>
    <x v="36"/>
    <n v="31820"/>
    <n v="53"/>
    <s v="Backordered"/>
    <n v="30960"/>
  </r>
  <r>
    <x v="887"/>
    <x v="114"/>
    <x v="0"/>
    <s v="89-574-3430"/>
    <x v="41"/>
    <x v="18"/>
    <n v="82"/>
    <n v="52"/>
    <s v="Require"/>
    <n v="82"/>
    <s v="High Priority"/>
    <x v="102"/>
    <n v="702"/>
    <d v="2024-03-08T00:00:00"/>
    <d v="2024-09-07T00:00:00"/>
    <d v="2024-09-28T00:00:00"/>
    <n v="720"/>
    <n v="537"/>
    <n v="516"/>
    <s v="Expiring Soon"/>
    <s v="8569 Bashford Court"/>
    <x v="32"/>
    <n v="35802"/>
    <n v="95"/>
    <s v="Backordered"/>
    <n v="35100"/>
  </r>
  <r>
    <x v="888"/>
    <x v="18"/>
    <x v="2"/>
    <s v="99-145-4924"/>
    <x v="141"/>
    <x v="22"/>
    <n v="61"/>
    <n v="28"/>
    <s v="Require"/>
    <n v="61"/>
    <s v="High Priority"/>
    <x v="70"/>
    <n v="65.100000000000009"/>
    <d v="2024-10-03T00:00:00"/>
    <d v="2024-09-07T00:00:00"/>
    <d v="2024-08-17T00:00:00"/>
    <n v="511"/>
    <n v="537"/>
    <n v="558"/>
    <s v="Safe"/>
    <s v="62494 Longview Drive"/>
    <x v="79"/>
    <n v="3580.5000000000005"/>
    <n v="70"/>
    <s v="Active"/>
    <n v="3515.4000000000005"/>
  </r>
  <r>
    <x v="889"/>
    <x v="56"/>
    <x v="5"/>
    <s v="65-160-1426"/>
    <x v="342"/>
    <x v="3"/>
    <n v="7"/>
    <n v="23"/>
    <s v="Sufficient"/>
    <n v="0"/>
    <s v="Normal"/>
    <x v="2"/>
    <n v="72"/>
    <d v="2025-06-02T00:00:00"/>
    <d v="2025-02-17T00:00:00"/>
    <d v="2024-06-23T00:00:00"/>
    <n v="269"/>
    <n v="374"/>
    <n v="613"/>
    <s v="Safe"/>
    <s v="32 6th Lane"/>
    <x v="53"/>
    <n v="5184"/>
    <n v="16"/>
    <s v="Discontinued"/>
    <n v="5112"/>
  </r>
  <r>
    <x v="890"/>
    <x v="81"/>
    <x v="4"/>
    <s v="29-122-7037"/>
    <x v="254"/>
    <x v="86"/>
    <n v="93"/>
    <n v="75"/>
    <s v="Require"/>
    <n v="93"/>
    <s v="High Priority"/>
    <x v="11"/>
    <n v="497"/>
    <d v="2024-09-10T00:00:00"/>
    <d v="2024-08-19T00:00:00"/>
    <d v="2025-02-03T00:00:00"/>
    <n v="534"/>
    <n v="556"/>
    <n v="388"/>
    <s v="Expiring Soon"/>
    <s v="890 Eggendart Pass"/>
    <x v="76"/>
    <n v="38269"/>
    <n v="58"/>
    <s v="Discontinued"/>
    <n v="37772"/>
  </r>
  <r>
    <x v="891"/>
    <x v="95"/>
    <x v="6"/>
    <s v="44-760-4337"/>
    <x v="194"/>
    <x v="56"/>
    <n v="1"/>
    <n v="92"/>
    <s v="Sufficient"/>
    <n v="0"/>
    <s v="Normal"/>
    <x v="29"/>
    <n v="640"/>
    <d v="2024-05-04T00:00:00"/>
    <d v="2024-04-23T00:00:00"/>
    <d v="2025-01-24T00:00:00"/>
    <n v="663"/>
    <n v="674"/>
    <n v="398"/>
    <s v="Expiring Soon"/>
    <s v="4 Doe Crossing Avenue"/>
    <x v="65"/>
    <n v="31360"/>
    <n v="15"/>
    <s v="Active"/>
    <n v="30720"/>
  </r>
  <r>
    <x v="892"/>
    <x v="117"/>
    <x v="3"/>
    <s v="15-655-3923"/>
    <x v="44"/>
    <x v="52"/>
    <n v="79"/>
    <n v="66"/>
    <s v="Sufficient"/>
    <n v="0"/>
    <s v="Normal"/>
    <x v="15"/>
    <n v="445"/>
    <d v="2024-07-31T00:00:00"/>
    <d v="2024-12-20T00:00:00"/>
    <d v="2024-10-17T00:00:00"/>
    <n v="575"/>
    <n v="433"/>
    <n v="497"/>
    <s v="Expiring Soon"/>
    <s v="1275 Lawn Center"/>
    <x v="56"/>
    <n v="40495"/>
    <n v="31"/>
    <s v="Discontinued"/>
    <n v="40050"/>
  </r>
  <r>
    <x v="893"/>
    <x v="90"/>
    <x v="3"/>
    <s v="56-422-1480"/>
    <x v="318"/>
    <x v="74"/>
    <n v="36"/>
    <n v="96"/>
    <s v="Sufficient"/>
    <n v="0"/>
    <s v="Normal"/>
    <x v="42"/>
    <n v="325"/>
    <d v="2024-12-12T00:00:00"/>
    <d v="2024-12-08T00:00:00"/>
    <d v="2024-07-01T00:00:00"/>
    <n v="441"/>
    <n v="445"/>
    <n v="605"/>
    <s v="Safe"/>
    <s v="8868 Armistice Place"/>
    <x v="59"/>
    <n v="17225"/>
    <n v="73"/>
    <s v="Backordered"/>
    <n v="16900"/>
  </r>
  <r>
    <x v="894"/>
    <x v="34"/>
    <x v="2"/>
    <s v="94-157-1762"/>
    <x v="242"/>
    <x v="58"/>
    <n v="98"/>
    <n v="23"/>
    <s v="Require"/>
    <n v="98"/>
    <s v="High Priority"/>
    <x v="15"/>
    <n v="265"/>
    <d v="2025-02-24T00:00:00"/>
    <d v="2024-04-07T00:00:00"/>
    <d v="2024-09-29T00:00:00"/>
    <n v="367"/>
    <n v="690"/>
    <n v="515"/>
    <s v="Expiring Soon"/>
    <s v="917 Westerfield Terrace"/>
    <x v="69"/>
    <n v="10865"/>
    <n v="84"/>
    <s v="Backordered"/>
    <n v="10600"/>
  </r>
  <r>
    <x v="895"/>
    <x v="30"/>
    <x v="6"/>
    <s v="30-934-3251"/>
    <x v="326"/>
    <x v="26"/>
    <n v="99"/>
    <n v="78"/>
    <s v="Require"/>
    <n v="99"/>
    <s v="High Priority"/>
    <x v="18"/>
    <n v="171"/>
    <d v="2024-11-21T00:00:00"/>
    <d v="2025-02-17T00:00:00"/>
    <d v="2024-12-30T00:00:00"/>
    <n v="462"/>
    <n v="374"/>
    <n v="423"/>
    <s v="Expiring Soon"/>
    <s v="1005 Lyons Junction"/>
    <x v="18"/>
    <n v="4959"/>
    <n v="54"/>
    <s v="Discontinued"/>
    <n v="4788"/>
  </r>
  <r>
    <x v="896"/>
    <x v="50"/>
    <x v="2"/>
    <s v="37-519-7762"/>
    <x v="241"/>
    <x v="52"/>
    <n v="40"/>
    <n v="64"/>
    <s v="Sufficient"/>
    <n v="0"/>
    <s v="Normal"/>
    <x v="4"/>
    <n v="356"/>
    <d v="2024-10-16T00:00:00"/>
    <d v="2025-12-02T00:00:00"/>
    <d v="2024-09-19T00:00:00"/>
    <n v="498"/>
    <n v="86"/>
    <n v="525"/>
    <s v="Expiring Soon"/>
    <s v="185 Stone Corner Parkway"/>
    <x v="47"/>
    <n v="33108"/>
    <n v="48"/>
    <s v="Active"/>
    <n v="32752"/>
  </r>
  <r>
    <x v="897"/>
    <x v="73"/>
    <x v="6"/>
    <s v="69-416-9493"/>
    <x v="48"/>
    <x v="6"/>
    <n v="12"/>
    <n v="8"/>
    <s v="Sufficient"/>
    <n v="0"/>
    <s v="Normal"/>
    <x v="12"/>
    <n v="768"/>
    <d v="2024-11-05T00:00:00"/>
    <d v="2024-05-24T00:00:00"/>
    <d v="2024-08-20T00:00:00"/>
    <n v="478"/>
    <n v="643"/>
    <n v="555"/>
    <s v="Safe"/>
    <s v="0 Village Green Street"/>
    <x v="23"/>
    <n v="74496"/>
    <n v="92"/>
    <s v="Active"/>
    <n v="73728"/>
  </r>
  <r>
    <x v="898"/>
    <x v="20"/>
    <x v="4"/>
    <s v="39-714-7313"/>
    <x v="343"/>
    <x v="60"/>
    <n v="56"/>
    <n v="34"/>
    <s v="Require"/>
    <n v="56"/>
    <s v="Normal"/>
    <x v="13"/>
    <n v="624"/>
    <d v="2024-09-27T00:00:00"/>
    <d v="2024-04-10T00:00:00"/>
    <d v="2024-07-28T00:00:00"/>
    <n v="517"/>
    <n v="687"/>
    <n v="578"/>
    <s v="Safe"/>
    <s v="0 Fordem Place"/>
    <x v="2"/>
    <n v="19344"/>
    <n v="69"/>
    <s v="Backordered"/>
    <n v="18720"/>
  </r>
  <r>
    <x v="899"/>
    <x v="90"/>
    <x v="3"/>
    <s v="46-590-7639"/>
    <x v="251"/>
    <x v="23"/>
    <n v="20"/>
    <n v="8"/>
    <s v="Sufficient"/>
    <n v="0"/>
    <s v="Normal"/>
    <x v="42"/>
    <n v="630.5"/>
    <d v="2024-06-16T00:00:00"/>
    <d v="2024-06-11T00:00:00"/>
    <d v="2024-11-09T00:00:00"/>
    <n v="620"/>
    <n v="625"/>
    <n v="474"/>
    <s v="Expiring Soon"/>
    <s v="8851 Superior Park"/>
    <x v="32"/>
    <n v="32155.5"/>
    <n v="51"/>
    <s v="Active"/>
    <n v="31525"/>
  </r>
  <r>
    <x v="900"/>
    <x v="105"/>
    <x v="6"/>
    <s v="62-312-2748"/>
    <x v="228"/>
    <x v="20"/>
    <n v="42"/>
    <n v="68"/>
    <s v="Sufficient"/>
    <n v="0"/>
    <s v="Normal"/>
    <x v="1"/>
    <n v="1760"/>
    <d v="2024-06-23T00:00:00"/>
    <d v="2024-11-29T00:00:00"/>
    <d v="2024-04-09T00:00:00"/>
    <n v="613"/>
    <n v="454"/>
    <n v="688"/>
    <s v="Safe"/>
    <s v="1715 Dottie Pass"/>
    <x v="57"/>
    <n v="161920"/>
    <n v="29"/>
    <s v="Active"/>
    <n v="160160"/>
  </r>
  <r>
    <x v="901"/>
    <x v="65"/>
    <x v="0"/>
    <s v="81-676-3345"/>
    <x v="309"/>
    <x v="64"/>
    <n v="44"/>
    <n v="89"/>
    <s v="Require"/>
    <n v="44"/>
    <s v="Normal"/>
    <x v="30"/>
    <n v="156.75"/>
    <d v="2024-03-15T00:00:00"/>
    <d v="2024-05-09T00:00:00"/>
    <d v="2024-04-17T00:00:00"/>
    <n v="713"/>
    <n v="658"/>
    <n v="680"/>
    <s v="Safe"/>
    <s v="75 Cascade Avenue"/>
    <x v="47"/>
    <n v="14577.75"/>
    <n v="19"/>
    <s v="Discontinued"/>
    <n v="14421"/>
  </r>
  <r>
    <x v="902"/>
    <x v="65"/>
    <x v="0"/>
    <s v="79-091-7381"/>
    <x v="48"/>
    <x v="84"/>
    <n v="20"/>
    <n v="81"/>
    <s v="Sufficient"/>
    <n v="0"/>
    <s v="Normal"/>
    <x v="30"/>
    <n v="465.5"/>
    <d v="2024-08-14T00:00:00"/>
    <d v="2024-10-07T00:00:00"/>
    <d v="2024-12-30T00:00:00"/>
    <n v="561"/>
    <n v="507"/>
    <n v="423"/>
    <s v="Expiring Soon"/>
    <s v="012 Mockingbird Court"/>
    <x v="32"/>
    <n v="23740.5"/>
    <n v="23"/>
    <s v="Backordered"/>
    <n v="23275"/>
  </r>
  <r>
    <x v="903"/>
    <x v="76"/>
    <x v="2"/>
    <s v="95-944-5323"/>
    <x v="74"/>
    <x v="1"/>
    <n v="79"/>
    <n v="95"/>
    <s v="Require"/>
    <n v="79"/>
    <s v="High Priority"/>
    <x v="4"/>
    <n v="180"/>
    <d v="2024-06-12T00:00:00"/>
    <d v="2024-06-26T00:00:00"/>
    <d v="2024-11-15T00:00:00"/>
    <n v="624"/>
    <n v="610"/>
    <n v="468"/>
    <s v="Expiring Soon"/>
    <s v="41 Stephen Crossing"/>
    <x v="45"/>
    <n v="15120"/>
    <n v="62"/>
    <s v="Backordered"/>
    <n v="14940"/>
  </r>
  <r>
    <x v="904"/>
    <x v="77"/>
    <x v="0"/>
    <s v="57-774-4116"/>
    <x v="292"/>
    <x v="76"/>
    <n v="86"/>
    <n v="50"/>
    <s v="Require"/>
    <n v="86"/>
    <s v="High Priority"/>
    <x v="26"/>
    <n v="144"/>
    <d v="2024-05-05T00:00:00"/>
    <d v="2024-07-22T00:00:00"/>
    <d v="2025-02-24T00:00:00"/>
    <n v="662"/>
    <n v="584"/>
    <n v="367"/>
    <s v="Expiring Soon"/>
    <s v="3053 Sachs Center"/>
    <x v="17"/>
    <n v="6624"/>
    <n v="69"/>
    <s v="Discontinued"/>
    <n v="6480"/>
  </r>
  <r>
    <x v="905"/>
    <x v="105"/>
    <x v="6"/>
    <s v="28-977-3789"/>
    <x v="121"/>
    <x v="75"/>
    <n v="43"/>
    <n v="96"/>
    <s v="Sufficient"/>
    <n v="0"/>
    <s v="Normal"/>
    <x v="1"/>
    <n v="1360"/>
    <d v="2024-11-17T00:00:00"/>
    <d v="2024-04-28T00:00:00"/>
    <d v="2024-10-15T00:00:00"/>
    <n v="466"/>
    <n v="669"/>
    <n v="499"/>
    <s v="Expiring Soon"/>
    <s v="5 Ohio Lane"/>
    <x v="71"/>
    <n v="102000"/>
    <n v="35"/>
    <s v="Backordered"/>
    <n v="100640"/>
  </r>
  <r>
    <x v="906"/>
    <x v="106"/>
    <x v="2"/>
    <s v="60-959-6355"/>
    <x v="204"/>
    <x v="82"/>
    <n v="91"/>
    <n v="62"/>
    <s v="Require"/>
    <n v="91"/>
    <s v="High Priority"/>
    <x v="15"/>
    <n v="450"/>
    <d v="2024-11-24T00:00:00"/>
    <d v="2024-11-27T00:00:00"/>
    <d v="2024-11-24T00:00:00"/>
    <n v="459"/>
    <n v="456"/>
    <n v="459"/>
    <s v="Expiring Soon"/>
    <s v="537 Maple Alley"/>
    <x v="5"/>
    <n v="15300"/>
    <n v="72"/>
    <s v="Active"/>
    <n v="14850"/>
  </r>
  <r>
    <x v="907"/>
    <x v="17"/>
    <x v="6"/>
    <s v="32-745-8366"/>
    <x v="212"/>
    <x v="52"/>
    <n v="67"/>
    <n v="89"/>
    <s v="Sufficient"/>
    <n v="0"/>
    <s v="Normal"/>
    <x v="13"/>
    <n v="1068"/>
    <d v="2025-02-14T00:00:00"/>
    <d v="2025-05-01T00:00:00"/>
    <d v="2024-11-10T00:00:00"/>
    <n v="377"/>
    <n v="301"/>
    <n v="473"/>
    <s v="Expiring Soon"/>
    <s v="22 Hudson Pass"/>
    <x v="40"/>
    <n v="102528"/>
    <n v="42"/>
    <s v="Discontinued"/>
    <n v="101460"/>
  </r>
  <r>
    <x v="908"/>
    <x v="26"/>
    <x v="2"/>
    <s v="83-401-2709"/>
    <x v="258"/>
    <x v="54"/>
    <n v="94"/>
    <n v="87"/>
    <s v="Require"/>
    <n v="94"/>
    <s v="High Priority"/>
    <x v="26"/>
    <n v="68.400000000000006"/>
    <d v="2024-05-27T00:00:00"/>
    <d v="2024-03-05T00:00:00"/>
    <d v="2024-08-21T00:00:00"/>
    <n v="640"/>
    <n v="723"/>
    <n v="554"/>
    <s v="Safe"/>
    <s v="43211 Lakeland Place"/>
    <x v="72"/>
    <n v="6087.6"/>
    <n v="100"/>
    <s v="Discontinued"/>
    <n v="6019.2000000000007"/>
  </r>
  <r>
    <x v="909"/>
    <x v="18"/>
    <x v="2"/>
    <s v="49-901-0828"/>
    <x v="344"/>
    <x v="47"/>
    <n v="37"/>
    <n v="74"/>
    <s v="Sufficient"/>
    <n v="0"/>
    <s v="Normal"/>
    <x v="70"/>
    <n v="207.9"/>
    <d v="2024-07-25T00:00:00"/>
    <d v="2024-12-21T00:00:00"/>
    <d v="2024-03-02T00:00:00"/>
    <n v="581"/>
    <n v="432"/>
    <n v="726"/>
    <s v="Safe"/>
    <s v="92 Bartelt Terrace"/>
    <x v="17"/>
    <n v="9563.4"/>
    <n v="46"/>
    <s v="Active"/>
    <n v="9355.5"/>
  </r>
  <r>
    <x v="910"/>
    <x v="86"/>
    <x v="0"/>
    <s v="96-918-7047"/>
    <x v="153"/>
    <x v="57"/>
    <n v="19"/>
    <n v="20"/>
    <s v="Sufficient"/>
    <n v="0"/>
    <s v="Normal"/>
    <x v="28"/>
    <n v="158.4"/>
    <d v="2024-09-18T00:00:00"/>
    <d v="2024-07-09T00:00:00"/>
    <d v="2024-06-01T00:00:00"/>
    <n v="526"/>
    <n v="597"/>
    <n v="635"/>
    <s v="Safe"/>
    <s v="5649 Vidon Plaza"/>
    <x v="43"/>
    <n v="4752"/>
    <n v="49"/>
    <s v="Active"/>
    <n v="4593.6000000000004"/>
  </r>
  <r>
    <x v="911"/>
    <x v="75"/>
    <x v="2"/>
    <s v="29-295-9755"/>
    <x v="280"/>
    <x v="57"/>
    <n v="28"/>
    <n v="7"/>
    <s v="Sufficient"/>
    <n v="0"/>
    <s v="Normal"/>
    <x v="2"/>
    <n v="396"/>
    <d v="2024-04-27T00:00:00"/>
    <d v="2024-10-26T00:00:00"/>
    <d v="2024-08-14T00:00:00"/>
    <n v="670"/>
    <n v="488"/>
    <n v="561"/>
    <s v="Safe"/>
    <s v="156 Golf Course Alley"/>
    <x v="1"/>
    <n v="33660"/>
    <n v="6"/>
    <s v="Backordered"/>
    <n v="33264"/>
  </r>
  <r>
    <x v="912"/>
    <x v="14"/>
    <x v="0"/>
    <s v="44-199-6832"/>
    <x v="171"/>
    <x v="56"/>
    <n v="11"/>
    <n v="97"/>
    <s v="Sufficient"/>
    <n v="0"/>
    <s v="Normal"/>
    <x v="3"/>
    <n v="96"/>
    <d v="2024-12-26T00:00:00"/>
    <d v="2024-12-18T00:00:00"/>
    <d v="2024-07-05T00:00:00"/>
    <n v="427"/>
    <n v="435"/>
    <n v="601"/>
    <s v="Safe"/>
    <s v="8583 Northwestern Terrace"/>
    <x v="55"/>
    <n v="3168"/>
    <n v="83"/>
    <s v="Discontinued"/>
    <n v="3072"/>
  </r>
  <r>
    <x v="913"/>
    <x v="2"/>
    <x v="0"/>
    <s v="98-791-5014"/>
    <x v="307"/>
    <x v="27"/>
    <n v="78"/>
    <n v="43"/>
    <s v="Require"/>
    <n v="78"/>
    <s v="High Priority"/>
    <x v="2"/>
    <n v="108"/>
    <d v="2025-04-01T00:00:00"/>
    <d v="2024-05-07T00:00:00"/>
    <d v="2024-03-13T00:00:00"/>
    <n v="331"/>
    <n v="660"/>
    <n v="715"/>
    <s v="Safe"/>
    <s v="7 Ridge Oak Pass"/>
    <x v="1"/>
    <n v="9180"/>
    <n v="97"/>
    <s v="Active"/>
    <n v="9072"/>
  </r>
  <r>
    <x v="914"/>
    <x v="92"/>
    <x v="0"/>
    <s v="41-881-1166"/>
    <x v="216"/>
    <x v="66"/>
    <n v="100"/>
    <n v="78"/>
    <s v="Require"/>
    <n v="100"/>
    <s v="High Priority"/>
    <x v="45"/>
    <n v="236.5"/>
    <d v="2024-06-04T00:00:00"/>
    <d v="2024-05-28T00:00:00"/>
    <d v="2025-02-05T00:00:00"/>
    <n v="632"/>
    <n v="639"/>
    <n v="386"/>
    <s v="Expiring Soon"/>
    <s v="0 Moose Lane"/>
    <x v="20"/>
    <n v="12298"/>
    <n v="91"/>
    <s v="Backordered"/>
    <n v="12061.5"/>
  </r>
  <r>
    <x v="915"/>
    <x v="46"/>
    <x v="1"/>
    <s v="44-646-7502"/>
    <x v="37"/>
    <x v="51"/>
    <n v="88"/>
    <n v="87"/>
    <s v="Require"/>
    <n v="88"/>
    <s v="High Priority"/>
    <x v="64"/>
    <n v="164.5"/>
    <d v="2024-05-04T00:00:00"/>
    <d v="2024-12-10T00:00:00"/>
    <d v="2024-11-21T00:00:00"/>
    <n v="663"/>
    <n v="443"/>
    <n v="462"/>
    <s v="Expiring Soon"/>
    <s v="24 South Trail"/>
    <x v="34"/>
    <n v="6415.5"/>
    <n v="62"/>
    <s v="Active"/>
    <n v="6251"/>
  </r>
  <r>
    <x v="916"/>
    <x v="18"/>
    <x v="2"/>
    <s v="08-824-4585"/>
    <x v="165"/>
    <x v="11"/>
    <n v="70"/>
    <n v="52"/>
    <s v="Require"/>
    <n v="70"/>
    <s v="High Priority"/>
    <x v="10"/>
    <n v="52"/>
    <d v="2024-07-09T00:00:00"/>
    <d v="2024-10-03T00:00:00"/>
    <d v="2024-11-03T00:00:00"/>
    <n v="597"/>
    <n v="511"/>
    <n v="480"/>
    <s v="Expiring Soon"/>
    <s v="00 Ridgeway Plaza"/>
    <x v="66"/>
    <n v="1872"/>
    <n v="10"/>
    <s v="Discontinued"/>
    <n v="1820"/>
  </r>
  <r>
    <x v="917"/>
    <x v="20"/>
    <x v="4"/>
    <s v="35-927-4986"/>
    <x v="27"/>
    <x v="76"/>
    <n v="100"/>
    <n v="48"/>
    <s v="Require"/>
    <n v="100"/>
    <s v="High Priority"/>
    <x v="13"/>
    <n v="960"/>
    <d v="2024-08-18T00:00:00"/>
    <d v="2024-12-10T00:00:00"/>
    <d v="2024-04-06T00:00:00"/>
    <n v="557"/>
    <n v="443"/>
    <n v="691"/>
    <s v="Safe"/>
    <s v="9463 Northland Court"/>
    <x v="10"/>
    <n v="96000"/>
    <n v="28"/>
    <s v="Backordered"/>
    <n v="95040"/>
  </r>
  <r>
    <x v="918"/>
    <x v="32"/>
    <x v="2"/>
    <s v="82-313-4469"/>
    <x v="132"/>
    <x v="21"/>
    <n v="56"/>
    <n v="33"/>
    <s v="Sufficient"/>
    <n v="0"/>
    <s v="Normal"/>
    <x v="6"/>
    <n v="157.5"/>
    <d v="2025-09-01T00:00:00"/>
    <d v="2024-07-06T00:00:00"/>
    <d v="2024-10-16T00:00:00"/>
    <n v="178"/>
    <n v="600"/>
    <n v="498"/>
    <s v="Expiring Soon"/>
    <s v="7944 Elgar Alley"/>
    <x v="41"/>
    <n v="5512.5"/>
    <n v="16"/>
    <s v="Backordered"/>
    <n v="5355"/>
  </r>
  <r>
    <x v="919"/>
    <x v="113"/>
    <x v="5"/>
    <s v="51-076-1164"/>
    <x v="70"/>
    <x v="52"/>
    <n v="22"/>
    <n v="23"/>
    <s v="Sufficient"/>
    <n v="0"/>
    <s v="Normal"/>
    <x v="57"/>
    <n v="489.5"/>
    <d v="2024-12-05T00:00:00"/>
    <d v="2024-06-25T00:00:00"/>
    <d v="2024-08-14T00:00:00"/>
    <n v="448"/>
    <n v="611"/>
    <n v="561"/>
    <s v="Safe"/>
    <s v="88 Lighthouse Bay Crossing"/>
    <x v="48"/>
    <n v="40628.5"/>
    <n v="25"/>
    <s v="Discontinued"/>
    <n v="40139"/>
  </r>
  <r>
    <x v="920"/>
    <x v="116"/>
    <x v="2"/>
    <s v="81-276-8218"/>
    <x v="318"/>
    <x v="76"/>
    <n v="60"/>
    <n v="71"/>
    <s v="Sufficient"/>
    <n v="0"/>
    <s v="Normal"/>
    <x v="10"/>
    <n v="160"/>
    <d v="2024-08-10T00:00:00"/>
    <d v="2024-06-15T00:00:00"/>
    <d v="2024-08-17T00:00:00"/>
    <n v="565"/>
    <n v="621"/>
    <n v="558"/>
    <s v="Safe"/>
    <s v="18 Daystar Parkway"/>
    <x v="60"/>
    <n v="15680"/>
    <n v="13"/>
    <s v="Active"/>
    <n v="15520"/>
  </r>
  <r>
    <x v="921"/>
    <x v="87"/>
    <x v="3"/>
    <s v="48-538-8538"/>
    <x v="65"/>
    <x v="41"/>
    <n v="66"/>
    <n v="50"/>
    <s v="Require"/>
    <n v="66"/>
    <s v="High Priority"/>
    <x v="10"/>
    <n v="82"/>
    <d v="2025-02-18T00:00:00"/>
    <d v="2024-07-30T00:00:00"/>
    <d v="2024-03-16T00:00:00"/>
    <n v="373"/>
    <n v="576"/>
    <n v="712"/>
    <s v="Safe"/>
    <s v="74 Sugar Plaza"/>
    <x v="79"/>
    <n v="4510"/>
    <n v="74"/>
    <s v="Backordered"/>
    <n v="4428"/>
  </r>
  <r>
    <x v="922"/>
    <x v="61"/>
    <x v="5"/>
    <s v="01-165-8830"/>
    <x v="345"/>
    <x v="58"/>
    <n v="19"/>
    <n v="94"/>
    <s v="Sufficient"/>
    <n v="0"/>
    <s v="Normal"/>
    <x v="15"/>
    <n v="265"/>
    <d v="2024-03-29T00:00:00"/>
    <d v="2024-12-11T00:00:00"/>
    <d v="2024-10-18T00:00:00"/>
    <n v="699"/>
    <n v="442"/>
    <n v="496"/>
    <s v="Expiring Soon"/>
    <s v="29755 Daystar Street"/>
    <x v="19"/>
    <n v="21730"/>
    <n v="56"/>
    <s v="Discontinued"/>
    <n v="21465"/>
  </r>
  <r>
    <x v="923"/>
    <x v="30"/>
    <x v="6"/>
    <s v="26-730-0925"/>
    <x v="20"/>
    <x v="33"/>
    <n v="91"/>
    <n v="40"/>
    <s v="Require"/>
    <n v="91"/>
    <s v="High Priority"/>
    <x v="18"/>
    <n v="549"/>
    <d v="2025-08-01T00:00:00"/>
    <d v="2024-08-27T00:00:00"/>
    <d v="2024-06-09T00:00:00"/>
    <n v="209"/>
    <n v="548"/>
    <n v="627"/>
    <s v="Safe"/>
    <s v="21530 Prentice Place"/>
    <x v="5"/>
    <n v="18666"/>
    <n v="76"/>
    <s v="Active"/>
    <n v="18117"/>
  </r>
  <r>
    <x v="924"/>
    <x v="9"/>
    <x v="4"/>
    <s v="10-694-6636"/>
    <x v="264"/>
    <x v="67"/>
    <n v="92"/>
    <n v="74"/>
    <s v="Require"/>
    <n v="92"/>
    <s v="High Priority"/>
    <x v="8"/>
    <n v="70"/>
    <d v="2024-11-30T00:00:00"/>
    <d v="2024-08-17T00:00:00"/>
    <d v="2024-07-11T00:00:00"/>
    <n v="453"/>
    <n v="558"/>
    <n v="595"/>
    <s v="Safe"/>
    <s v="1 Mockingbird Parkway"/>
    <x v="3"/>
    <n v="6650"/>
    <n v="26"/>
    <s v="Backordered"/>
    <n v="6580"/>
  </r>
  <r>
    <x v="925"/>
    <x v="34"/>
    <x v="2"/>
    <s v="86-441-7850"/>
    <x v="157"/>
    <x v="49"/>
    <n v="69"/>
    <n v="1"/>
    <s v="Sufficient"/>
    <n v="0"/>
    <s v="Normal"/>
    <x v="15"/>
    <n v="365"/>
    <d v="2024-05-11T00:00:00"/>
    <d v="2024-05-14T00:00:00"/>
    <d v="2024-09-17T00:00:00"/>
    <n v="656"/>
    <n v="653"/>
    <n v="527"/>
    <s v="Expiring Soon"/>
    <s v="54706 Prairieview Point"/>
    <x v="25"/>
    <n v="18250"/>
    <n v="67"/>
    <s v="Active"/>
    <n v="17885"/>
  </r>
  <r>
    <x v="926"/>
    <x v="100"/>
    <x v="2"/>
    <s v="07-520-1107"/>
    <x v="20"/>
    <x v="34"/>
    <n v="15"/>
    <n v="89"/>
    <s v="Sufficient"/>
    <n v="0"/>
    <s v="Normal"/>
    <x v="4"/>
    <n v="240"/>
    <d v="2024-07-06T00:00:00"/>
    <d v="2025-02-21T00:00:00"/>
    <d v="2024-04-11T00:00:00"/>
    <n v="600"/>
    <n v="370"/>
    <n v="686"/>
    <s v="Safe"/>
    <s v="5325 Milwaukee Lane"/>
    <x v="7"/>
    <n v="5040"/>
    <n v="29"/>
    <s v="Discontinued"/>
    <n v="4800"/>
  </r>
  <r>
    <x v="927"/>
    <x v="75"/>
    <x v="2"/>
    <s v="12-566-2563"/>
    <x v="52"/>
    <x v="20"/>
    <n v="24"/>
    <n v="44"/>
    <s v="Sufficient"/>
    <n v="0"/>
    <s v="Normal"/>
    <x v="2"/>
    <n v="528"/>
    <d v="2024-05-11T00:00:00"/>
    <d v="2024-08-11T00:00:00"/>
    <d v="2024-12-18T00:00:00"/>
    <n v="656"/>
    <n v="564"/>
    <n v="435"/>
    <s v="Expiring Soon"/>
    <s v="901 Norway Maple Crossing"/>
    <x v="53"/>
    <n v="38016"/>
    <n v="88"/>
    <s v="Backordered"/>
    <n v="37488"/>
  </r>
  <r>
    <x v="928"/>
    <x v="78"/>
    <x v="2"/>
    <s v="84-949-8378"/>
    <x v="52"/>
    <x v="12"/>
    <n v="6"/>
    <n v="59"/>
    <s v="Sufficient"/>
    <n v="0"/>
    <s v="Normal"/>
    <x v="6"/>
    <n v="237.5"/>
    <d v="2024-12-31T00:00:00"/>
    <d v="2024-08-15T00:00:00"/>
    <d v="2024-09-29T00:00:00"/>
    <n v="422"/>
    <n v="560"/>
    <n v="515"/>
    <s v="Expiring Soon"/>
    <s v="4 Loomis Way"/>
    <x v="65"/>
    <n v="11637.5"/>
    <n v="77"/>
    <s v="Active"/>
    <n v="11400"/>
  </r>
  <r>
    <x v="929"/>
    <x v="86"/>
    <x v="0"/>
    <s v="31-281-2352"/>
    <x v="100"/>
    <x v="28"/>
    <n v="30"/>
    <n v="16"/>
    <s v="Sufficient"/>
    <n v="0"/>
    <s v="Normal"/>
    <x v="6"/>
    <n v="117.5"/>
    <d v="2024-10-03T00:00:00"/>
    <d v="2024-11-07T00:00:00"/>
    <d v="2024-05-23T00:00:00"/>
    <n v="511"/>
    <n v="476"/>
    <n v="644"/>
    <s v="Safe"/>
    <s v="8499 Hanover Terrace"/>
    <x v="70"/>
    <n v="2585"/>
    <n v="81"/>
    <s v="Active"/>
    <n v="2467.5"/>
  </r>
  <r>
    <x v="930"/>
    <x v="49"/>
    <x v="4"/>
    <s v="02-510-0629"/>
    <x v="106"/>
    <x v="35"/>
    <n v="1"/>
    <n v="65"/>
    <s v="Sufficient"/>
    <n v="0"/>
    <s v="Normal"/>
    <x v="11"/>
    <n v="168"/>
    <d v="2024-11-18T00:00:00"/>
    <d v="2024-12-07T00:00:00"/>
    <d v="2024-02-29T00:00:00"/>
    <n v="465"/>
    <n v="446"/>
    <n v="728"/>
    <s v="Safe"/>
    <s v="40 Merchant Terrace"/>
    <x v="63"/>
    <n v="9744"/>
    <n v="61"/>
    <s v="Active"/>
    <n v="9576"/>
  </r>
  <r>
    <x v="931"/>
    <x v="95"/>
    <x v="6"/>
    <s v="60-309-5783"/>
    <x v="159"/>
    <x v="81"/>
    <n v="51"/>
    <n v="70"/>
    <s v="Sufficient"/>
    <n v="0"/>
    <s v="Normal"/>
    <x v="29"/>
    <n v="930"/>
    <d v="2024-04-22T00:00:00"/>
    <d v="2024-12-06T00:00:00"/>
    <d v="2024-09-04T00:00:00"/>
    <n v="675"/>
    <n v="447"/>
    <n v="540"/>
    <s v="Expiring Soon"/>
    <s v="4 Stang Place"/>
    <x v="68"/>
    <n v="75330"/>
    <n v="18"/>
    <s v="Active"/>
    <n v="74400"/>
  </r>
  <r>
    <x v="932"/>
    <x v="97"/>
    <x v="3"/>
    <s v="91-451-2016"/>
    <x v="342"/>
    <x v="76"/>
    <n v="24"/>
    <n v="60"/>
    <s v="Sufficient"/>
    <n v="0"/>
    <s v="Normal"/>
    <x v="6"/>
    <n v="200"/>
    <d v="2025-01-21T00:00:00"/>
    <d v="2024-11-13T00:00:00"/>
    <d v="2024-04-28T00:00:00"/>
    <n v="401"/>
    <n v="470"/>
    <n v="669"/>
    <s v="Safe"/>
    <s v="1 Green Hill"/>
    <x v="60"/>
    <n v="19600"/>
    <n v="38"/>
    <s v="Active"/>
    <n v="19400"/>
  </r>
  <r>
    <x v="933"/>
    <x v="110"/>
    <x v="2"/>
    <s v="39-412-7454"/>
    <x v="115"/>
    <x v="25"/>
    <n v="58"/>
    <n v="13"/>
    <s v="Sufficient"/>
    <n v="0"/>
    <s v="Normal"/>
    <x v="16"/>
    <n v="269.5"/>
    <d v="2024-06-22T00:00:00"/>
    <d v="2024-05-23T00:00:00"/>
    <d v="2024-04-16T00:00:00"/>
    <n v="614"/>
    <n v="644"/>
    <n v="681"/>
    <s v="Safe"/>
    <s v="6225 Westend Pass"/>
    <x v="13"/>
    <n v="16978.5"/>
    <n v="28"/>
    <s v="Discontinued"/>
    <n v="16709"/>
  </r>
  <r>
    <x v="934"/>
    <x v="18"/>
    <x v="2"/>
    <s v="04-391-8892"/>
    <x v="110"/>
    <x v="83"/>
    <n v="48"/>
    <n v="18"/>
    <s v="Require"/>
    <n v="48"/>
    <s v="Normal"/>
    <x v="10"/>
    <n v="84"/>
    <d v="2025-09-01T00:00:00"/>
    <d v="2024-04-19T00:00:00"/>
    <d v="2024-04-23T00:00:00"/>
    <n v="178"/>
    <n v="678"/>
    <n v="674"/>
    <s v="Safe"/>
    <s v="1615 Bellgrove Crossing"/>
    <x v="34"/>
    <n v="3276"/>
    <n v="57"/>
    <s v="Active"/>
    <n v="3192"/>
  </r>
  <r>
    <x v="935"/>
    <x v="89"/>
    <x v="4"/>
    <s v="62-687-0951"/>
    <x v="72"/>
    <x v="40"/>
    <n v="1"/>
    <n v="23"/>
    <s v="Sufficient"/>
    <n v="0"/>
    <s v="Normal"/>
    <x v="6"/>
    <n v="230"/>
    <d v="2024-08-27T00:00:00"/>
    <d v="2024-02-10T00:00:00"/>
    <d v="2024-04-13T00:00:00"/>
    <n v="548"/>
    <n v="747"/>
    <n v="684"/>
    <s v="Safe"/>
    <s v="35 Portage Road"/>
    <x v="16"/>
    <n v="17940"/>
    <n v="36"/>
    <s v="Discontinued"/>
    <n v="17710"/>
  </r>
  <r>
    <x v="936"/>
    <x v="23"/>
    <x v="2"/>
    <s v="70-825-7341"/>
    <x v="189"/>
    <x v="19"/>
    <n v="23"/>
    <n v="17"/>
    <s v="Sufficient"/>
    <n v="0"/>
    <s v="Normal"/>
    <x v="94"/>
    <n v="506.25"/>
    <d v="2024-05-26T00:00:00"/>
    <d v="2024-08-05T00:00:00"/>
    <d v="2024-07-16T00:00:00"/>
    <n v="641"/>
    <n v="570"/>
    <n v="590"/>
    <s v="Safe"/>
    <s v="911 Merry Junction"/>
    <x v="57"/>
    <n v="46575"/>
    <n v="78"/>
    <s v="Active"/>
    <n v="46068.75"/>
  </r>
  <r>
    <x v="937"/>
    <x v="65"/>
    <x v="0"/>
    <s v="71-467-4910"/>
    <x v="346"/>
    <x v="29"/>
    <n v="39"/>
    <n v="11"/>
    <s v="Sufficient"/>
    <n v="0"/>
    <s v="Normal"/>
    <x v="30"/>
    <n v="218.5"/>
    <d v="2024-10-10T00:00:00"/>
    <d v="2024-08-16T00:00:00"/>
    <d v="2024-11-10T00:00:00"/>
    <n v="504"/>
    <n v="559"/>
    <n v="473"/>
    <s v="Expiring Soon"/>
    <s v="63578 Butternut Hill"/>
    <x v="66"/>
    <n v="7866"/>
    <n v="54"/>
    <s v="Active"/>
    <n v="7647.5"/>
  </r>
  <r>
    <x v="938"/>
    <x v="104"/>
    <x v="0"/>
    <s v="37-728-5274"/>
    <x v="36"/>
    <x v="7"/>
    <n v="67"/>
    <n v="31"/>
    <s v="Require"/>
    <n v="67"/>
    <s v="High Priority"/>
    <x v="6"/>
    <n v="110"/>
    <d v="2024-07-14T00:00:00"/>
    <d v="2024-03-18T00:00:00"/>
    <d v="2024-06-05T00:00:00"/>
    <n v="592"/>
    <n v="710"/>
    <n v="631"/>
    <s v="Safe"/>
    <s v="83291 Hansons Crossing"/>
    <x v="37"/>
    <n v="4840"/>
    <n v="72"/>
    <s v="Discontinued"/>
    <n v="4730"/>
  </r>
  <r>
    <x v="939"/>
    <x v="38"/>
    <x v="5"/>
    <s v="68-493-0378"/>
    <x v="154"/>
    <x v="54"/>
    <n v="37"/>
    <n v="27"/>
    <s v="Sufficient"/>
    <n v="0"/>
    <s v="Normal"/>
    <x v="16"/>
    <n v="133"/>
    <d v="2024-06-14T00:00:00"/>
    <d v="2024-05-10T00:00:00"/>
    <d v="2024-07-14T00:00:00"/>
    <n v="622"/>
    <n v="657"/>
    <n v="592"/>
    <s v="Safe"/>
    <s v="883 Marcy Place"/>
    <x v="78"/>
    <n v="5985"/>
    <n v="88"/>
    <s v="Backordered"/>
    <n v="5852"/>
  </r>
  <r>
    <x v="940"/>
    <x v="107"/>
    <x v="4"/>
    <s v="11-466-3182"/>
    <x v="193"/>
    <x v="56"/>
    <n v="28"/>
    <n v="35"/>
    <s v="Sufficient"/>
    <n v="0"/>
    <s v="Normal"/>
    <x v="10"/>
    <n v="128"/>
    <d v="2024-05-11T00:00:00"/>
    <d v="2024-07-11T00:00:00"/>
    <d v="2024-02-27T00:00:00"/>
    <n v="656"/>
    <n v="595"/>
    <n v="730"/>
    <s v="Safe"/>
    <s v="55309 6th Junction"/>
    <x v="49"/>
    <n v="9472"/>
    <n v="50"/>
    <s v="Active"/>
    <n v="9344"/>
  </r>
  <r>
    <x v="941"/>
    <x v="3"/>
    <x v="0"/>
    <s v="52-340-4509"/>
    <x v="229"/>
    <x v="30"/>
    <n v="2"/>
    <n v="71"/>
    <s v="Sufficient"/>
    <n v="0"/>
    <s v="Normal"/>
    <x v="79"/>
    <n v="56.55"/>
    <d v="2024-04-29T00:00:00"/>
    <d v="2024-03-18T00:00:00"/>
    <d v="2024-04-21T00:00:00"/>
    <n v="668"/>
    <n v="710"/>
    <n v="676"/>
    <s v="Safe"/>
    <s v="09 Londonderry Hill"/>
    <x v="14"/>
    <n v="1131"/>
    <n v="70"/>
    <s v="Backordered"/>
    <n v="1074.45"/>
  </r>
  <r>
    <x v="942"/>
    <x v="42"/>
    <x v="5"/>
    <s v="73-445-3017"/>
    <x v="333"/>
    <x v="83"/>
    <n v="88"/>
    <n v="95"/>
    <s v="Require"/>
    <n v="88"/>
    <s v="High Priority"/>
    <x v="6"/>
    <n v="105"/>
    <d v="2024-03-28T00:00:00"/>
    <d v="2025-01-28T00:00:00"/>
    <d v="2024-04-24T00:00:00"/>
    <n v="700"/>
    <n v="394"/>
    <n v="673"/>
    <s v="Safe"/>
    <s v="4 Hagan Court"/>
    <x v="6"/>
    <n v="7035"/>
    <n v="94"/>
    <s v="Backordered"/>
    <n v="6930"/>
  </r>
  <r>
    <x v="943"/>
    <x v="10"/>
    <x v="0"/>
    <s v="45-602-6533"/>
    <x v="131"/>
    <x v="50"/>
    <n v="54"/>
    <n v="54"/>
    <s v="Require"/>
    <n v="54"/>
    <s v="Normal"/>
    <x v="10"/>
    <n v="58"/>
    <d v="2024-10-27T00:00:00"/>
    <d v="2025-02-24T00:00:00"/>
    <d v="2024-12-25T00:00:00"/>
    <n v="487"/>
    <n v="367"/>
    <n v="428"/>
    <s v="Expiring Soon"/>
    <s v="185 Saint Paul Road"/>
    <x v="63"/>
    <n v="3364"/>
    <n v="63"/>
    <s v="Backordered"/>
    <n v="3306"/>
  </r>
  <r>
    <x v="944"/>
    <x v="26"/>
    <x v="2"/>
    <s v="01-853-2191"/>
    <x v="108"/>
    <x v="34"/>
    <n v="63"/>
    <n v="81"/>
    <s v="Require"/>
    <n v="63"/>
    <s v="High Priority"/>
    <x v="26"/>
    <n v="108"/>
    <d v="2025-01-26T00:00:00"/>
    <d v="2024-03-10T00:00:00"/>
    <d v="2024-05-01T00:00:00"/>
    <n v="396"/>
    <n v="718"/>
    <n v="666"/>
    <s v="Safe"/>
    <s v="0847 Artisan Hill"/>
    <x v="49"/>
    <n v="7992"/>
    <n v="31"/>
    <s v="Active"/>
    <n v="7884"/>
  </r>
  <r>
    <x v="945"/>
    <x v="20"/>
    <x v="4"/>
    <s v="60-284-1974"/>
    <x v="155"/>
    <x v="17"/>
    <n v="54"/>
    <n v="29"/>
    <s v="Sufficient"/>
    <n v="0"/>
    <s v="Normal"/>
    <x v="13"/>
    <n v="780"/>
    <d v="2024-11-30T00:00:00"/>
    <d v="2024-11-29T00:00:00"/>
    <d v="2024-04-12T00:00:00"/>
    <n v="453"/>
    <n v="454"/>
    <n v="685"/>
    <s v="Safe"/>
    <s v="3 Bayside Point"/>
    <x v="12"/>
    <n v="53820"/>
    <n v="79"/>
    <s v="Backordered"/>
    <n v="53040"/>
  </r>
  <r>
    <x v="946"/>
    <x v="53"/>
    <x v="2"/>
    <s v="63-969-9608"/>
    <x v="347"/>
    <x v="52"/>
    <n v="96"/>
    <n v="94"/>
    <s v="Require"/>
    <n v="96"/>
    <s v="High Priority"/>
    <x v="0"/>
    <n v="400.5"/>
    <d v="2024-10-06T00:00:00"/>
    <d v="2025-06-01T00:00:00"/>
    <d v="2024-09-19T00:00:00"/>
    <n v="508"/>
    <n v="270"/>
    <n v="525"/>
    <s v="Expiring Soon"/>
    <s v="521 Burning Wood Trail"/>
    <x v="39"/>
    <n v="15219"/>
    <n v="96"/>
    <s v="Discontinued"/>
    <n v="14818.5"/>
  </r>
  <r>
    <x v="947"/>
    <x v="6"/>
    <x v="3"/>
    <s v="91-002-3027"/>
    <x v="111"/>
    <x v="74"/>
    <n v="40"/>
    <n v="69"/>
    <s v="Sufficient"/>
    <n v="0"/>
    <s v="Normal"/>
    <x v="6"/>
    <n v="125"/>
    <d v="2024-06-30T00:00:00"/>
    <d v="2024-03-31T00:00:00"/>
    <d v="2024-08-26T00:00:00"/>
    <n v="606"/>
    <n v="697"/>
    <n v="549"/>
    <s v="Expiring Soon"/>
    <s v="5 Mesta Center"/>
    <x v="64"/>
    <n v="3500"/>
    <n v="98"/>
    <s v="Active"/>
    <n v="3375"/>
  </r>
  <r>
    <x v="948"/>
    <x v="53"/>
    <x v="2"/>
    <s v="17-167-4304"/>
    <x v="84"/>
    <x v="14"/>
    <n v="18"/>
    <n v="84"/>
    <s v="Sufficient"/>
    <n v="0"/>
    <s v="Normal"/>
    <x v="0"/>
    <n v="423"/>
    <d v="2025-04-01T00:00:00"/>
    <d v="2024-10-15T00:00:00"/>
    <d v="2024-09-17T00:00:00"/>
    <n v="331"/>
    <n v="499"/>
    <n v="527"/>
    <s v="Expiring Soon"/>
    <s v="1666 Dayton Terrace"/>
    <x v="37"/>
    <n v="18612"/>
    <n v="49"/>
    <s v="Discontinued"/>
    <n v="18189"/>
  </r>
  <r>
    <x v="949"/>
    <x v="79"/>
    <x v="3"/>
    <s v="81-588-5701"/>
    <x v="301"/>
    <x v="23"/>
    <n v="32"/>
    <n v="43"/>
    <s v="Sufficient"/>
    <n v="0"/>
    <s v="Normal"/>
    <x v="20"/>
    <n v="223.1"/>
    <d v="2024-06-10T00:00:00"/>
    <d v="2024-03-05T00:00:00"/>
    <d v="2024-05-30T00:00:00"/>
    <n v="626"/>
    <n v="723"/>
    <n v="637"/>
    <s v="Safe"/>
    <s v="20 Butterfield Lane"/>
    <x v="19"/>
    <n v="18294.2"/>
    <n v="98"/>
    <s v="Active"/>
    <n v="18071.100000000002"/>
  </r>
  <r>
    <x v="950"/>
    <x v="99"/>
    <x v="5"/>
    <s v="43-679-7350"/>
    <x v="287"/>
    <x v="18"/>
    <n v="78"/>
    <n v="1"/>
    <s v="Require"/>
    <n v="78"/>
    <s v="High Priority"/>
    <x v="4"/>
    <n v="288"/>
    <d v="2024-10-11T00:00:00"/>
    <d v="2024-03-28T00:00:00"/>
    <d v="2025-01-03T00:00:00"/>
    <n v="503"/>
    <n v="700"/>
    <n v="419"/>
    <s v="Expiring Soon"/>
    <s v="297 Petterle Way"/>
    <x v="1"/>
    <n v="24480"/>
    <n v="30"/>
    <s v="Discontinued"/>
    <n v="24192"/>
  </r>
  <r>
    <x v="951"/>
    <x v="58"/>
    <x v="4"/>
    <s v="37-996-3243"/>
    <x v="348"/>
    <x v="10"/>
    <n v="91"/>
    <n v="14"/>
    <s v="Require"/>
    <n v="91"/>
    <s v="High Priority"/>
    <x v="6"/>
    <n v="155"/>
    <d v="2024-09-21T00:00:00"/>
    <d v="2024-05-31T00:00:00"/>
    <d v="2024-12-08T00:00:00"/>
    <n v="523"/>
    <n v="636"/>
    <n v="445"/>
    <s v="Expiring Soon"/>
    <s v="668 Claremont Place"/>
    <x v="69"/>
    <n v="6355"/>
    <n v="77"/>
    <s v="Discontinued"/>
    <n v="6200"/>
  </r>
  <r>
    <x v="952"/>
    <x v="110"/>
    <x v="2"/>
    <s v="82-157-4299"/>
    <x v="215"/>
    <x v="7"/>
    <n v="92"/>
    <n v="92"/>
    <s v="Require"/>
    <n v="92"/>
    <s v="High Priority"/>
    <x v="16"/>
    <n v="154"/>
    <d v="2024-08-03T00:00:00"/>
    <d v="2025-11-01T00:00:00"/>
    <d v="2024-09-25T00:00:00"/>
    <n v="572"/>
    <n v="117"/>
    <n v="519"/>
    <s v="Expiring Soon"/>
    <s v="2 Hooker Terrace"/>
    <x v="69"/>
    <n v="6314"/>
    <n v="61"/>
    <s v="Active"/>
    <n v="6160"/>
  </r>
  <r>
    <x v="953"/>
    <x v="59"/>
    <x v="3"/>
    <s v="90-378-8463"/>
    <x v="158"/>
    <x v="55"/>
    <n v="25"/>
    <n v="39"/>
    <s v="Require"/>
    <n v="25"/>
    <s v="Normal"/>
    <x v="4"/>
    <n v="84"/>
    <d v="2024-07-30T00:00:00"/>
    <d v="2024-10-09T00:00:00"/>
    <d v="2024-02-29T00:00:00"/>
    <n v="576"/>
    <n v="505"/>
    <n v="728"/>
    <s v="Safe"/>
    <s v="99 Twin Pines Alley"/>
    <x v="33"/>
    <n v="6636"/>
    <n v="30"/>
    <s v="Active"/>
    <n v="6552"/>
  </r>
  <r>
    <x v="954"/>
    <x v="111"/>
    <x v="0"/>
    <s v="48-700-8059"/>
    <x v="149"/>
    <x v="8"/>
    <n v="39"/>
    <n v="48"/>
    <s v="Sufficient"/>
    <n v="0"/>
    <s v="Normal"/>
    <x v="15"/>
    <n v="455"/>
    <d v="2024-03-31T00:00:00"/>
    <d v="2024-12-21T00:00:00"/>
    <d v="2024-11-16T00:00:00"/>
    <n v="697"/>
    <n v="432"/>
    <n v="467"/>
    <s v="Expiring Soon"/>
    <s v="9262 Sullivan Crossing"/>
    <x v="67"/>
    <n v="21840"/>
    <n v="18"/>
    <s v="Active"/>
    <n v="21385"/>
  </r>
  <r>
    <x v="955"/>
    <x v="82"/>
    <x v="6"/>
    <s v="00-258-2525"/>
    <x v="231"/>
    <x v="89"/>
    <n v="24"/>
    <n v="66"/>
    <s v="Sufficient"/>
    <n v="0"/>
    <s v="Normal"/>
    <x v="39"/>
    <n v="1566"/>
    <d v="2024-05-20T00:00:00"/>
    <d v="2024-11-24T00:00:00"/>
    <d v="2024-05-04T00:00:00"/>
    <n v="647"/>
    <n v="459"/>
    <n v="663"/>
    <s v="Safe"/>
    <s v="35 Waxwing Center"/>
    <x v="70"/>
    <n v="34452"/>
    <n v="34"/>
    <s v="Active"/>
    <n v="32886"/>
  </r>
  <r>
    <x v="956"/>
    <x v="16"/>
    <x v="2"/>
    <s v="41-867-9911"/>
    <x v="258"/>
    <x v="33"/>
    <n v="17"/>
    <n v="69"/>
    <s v="Sufficient"/>
    <n v="0"/>
    <s v="Normal"/>
    <x v="111"/>
    <n v="153.72"/>
    <d v="2024-05-22T00:00:00"/>
    <d v="2024-07-05T00:00:00"/>
    <d v="2024-06-17T00:00:00"/>
    <n v="645"/>
    <n v="601"/>
    <n v="619"/>
    <s v="Safe"/>
    <s v="676 Redwing Trail"/>
    <x v="2"/>
    <n v="4765.32"/>
    <n v="29"/>
    <s v="Active"/>
    <n v="4611.5999999999995"/>
  </r>
  <r>
    <x v="957"/>
    <x v="45"/>
    <x v="2"/>
    <s v="66-680-8738"/>
    <x v="102"/>
    <x v="33"/>
    <n v="81"/>
    <n v="99"/>
    <s v="Require"/>
    <n v="81"/>
    <s v="High Priority"/>
    <x v="3"/>
    <n v="91.5"/>
    <d v="2024-10-27T00:00:00"/>
    <d v="2024-03-13T00:00:00"/>
    <d v="2024-04-24T00:00:00"/>
    <n v="487"/>
    <n v="715"/>
    <n v="673"/>
    <s v="Safe"/>
    <s v="1509 Hoard Circle"/>
    <x v="51"/>
    <n v="2379"/>
    <n v="76"/>
    <s v="Discontinued"/>
    <n v="2287.5"/>
  </r>
  <r>
    <x v="958"/>
    <x v="116"/>
    <x v="2"/>
    <s v="26-061-5253"/>
    <x v="285"/>
    <x v="16"/>
    <n v="1"/>
    <n v="28"/>
    <s v="Sufficient"/>
    <n v="0"/>
    <s v="Normal"/>
    <x v="10"/>
    <n v="98"/>
    <d v="2024-01-12T00:00:00"/>
    <d v="2024-12-23T00:00:00"/>
    <d v="2024-11-18T00:00:00"/>
    <n v="776"/>
    <n v="430"/>
    <n v="465"/>
    <s v="Expiring Soon"/>
    <s v="7015 Ramsey Lane"/>
    <x v="23"/>
    <n v="9506"/>
    <n v="95"/>
    <s v="Active"/>
    <n v="9408"/>
  </r>
  <r>
    <x v="959"/>
    <x v="35"/>
    <x v="2"/>
    <s v="17-546-8875"/>
    <x v="304"/>
    <x v="89"/>
    <n v="1"/>
    <n v="98"/>
    <s v="Sufficient"/>
    <n v="0"/>
    <s v="Normal"/>
    <x v="6"/>
    <n v="217.5"/>
    <d v="2024-07-04T00:00:00"/>
    <d v="2024-07-10T00:00:00"/>
    <d v="2024-07-19T00:00:00"/>
    <n v="602"/>
    <n v="596"/>
    <n v="587"/>
    <s v="Safe"/>
    <s v="30968 Anzinger Court"/>
    <x v="26"/>
    <n v="13267.5"/>
    <n v="84"/>
    <s v="Discontinued"/>
    <n v="13050"/>
  </r>
  <r>
    <x v="960"/>
    <x v="38"/>
    <x v="5"/>
    <s v="44-451-2764"/>
    <x v="48"/>
    <x v="81"/>
    <n v="55"/>
    <n v="95"/>
    <s v="Sufficient"/>
    <n v="0"/>
    <s v="Normal"/>
    <x v="107"/>
    <n v="302.25"/>
    <d v="2025-11-02T00:00:00"/>
    <d v="2024-05-03T00:00:00"/>
    <d v="2024-12-19T00:00:00"/>
    <n v="116"/>
    <n v="664"/>
    <n v="434"/>
    <s v="Expiring Soon"/>
    <s v="4 Orin Lane"/>
    <x v="8"/>
    <n v="16926"/>
    <n v="72"/>
    <s v="Backordered"/>
    <n v="16623.75"/>
  </r>
  <r>
    <x v="961"/>
    <x v="96"/>
    <x v="0"/>
    <s v="85-823-7428"/>
    <x v="116"/>
    <x v="5"/>
    <n v="13"/>
    <n v="71"/>
    <s v="Sufficient"/>
    <n v="0"/>
    <s v="Normal"/>
    <x v="24"/>
    <n v="244.75"/>
    <d v="2024-04-26T00:00:00"/>
    <d v="2024-10-22T00:00:00"/>
    <d v="2024-04-14T00:00:00"/>
    <n v="671"/>
    <n v="492"/>
    <n v="683"/>
    <s v="Safe"/>
    <s v="98 Bartillon Trail"/>
    <x v="36"/>
    <n v="9055.75"/>
    <n v="4"/>
    <s v="Backordered"/>
    <n v="8811"/>
  </r>
  <r>
    <x v="962"/>
    <x v="84"/>
    <x v="4"/>
    <s v="40-907-4937"/>
    <x v="307"/>
    <x v="50"/>
    <n v="39"/>
    <n v="80"/>
    <s v="Require"/>
    <n v="39"/>
    <s v="Normal"/>
    <x v="4"/>
    <n v="116"/>
    <d v="2024-05-29T00:00:00"/>
    <d v="2024-03-11T00:00:00"/>
    <d v="2024-04-06T00:00:00"/>
    <n v="638"/>
    <n v="717"/>
    <n v="691"/>
    <s v="Safe"/>
    <s v="19 Aberg Trail"/>
    <x v="61"/>
    <n v="2668"/>
    <n v="85"/>
    <s v="Backordered"/>
    <n v="2552"/>
  </r>
  <r>
    <x v="963"/>
    <x v="120"/>
    <x v="4"/>
    <s v="06-175-9657"/>
    <x v="14"/>
    <x v="21"/>
    <n v="62"/>
    <n v="18"/>
    <s v="Sufficient"/>
    <n v="0"/>
    <s v="Normal"/>
    <x v="88"/>
    <n v="12.600000000000001"/>
    <d v="2024-04-17T00:00:00"/>
    <d v="2024-02-04T00:00:00"/>
    <d v="2024-11-05T00:00:00"/>
    <n v="680"/>
    <n v="753"/>
    <n v="478"/>
    <s v="Expiring Soon"/>
    <s v="588 Waywood Trail"/>
    <x v="6"/>
    <n v="844.2"/>
    <n v="17"/>
    <s v="Active"/>
    <n v="831.6"/>
  </r>
  <r>
    <x v="964"/>
    <x v="55"/>
    <x v="2"/>
    <s v="12-433-6490"/>
    <x v="277"/>
    <x v="83"/>
    <n v="69"/>
    <n v="54"/>
    <s v="Require"/>
    <n v="69"/>
    <s v="High Priority"/>
    <x v="27"/>
    <n v="50.4"/>
    <d v="2025-01-19T00:00:00"/>
    <d v="2024-06-03T00:00:00"/>
    <d v="2024-03-01T00:00:00"/>
    <n v="403"/>
    <n v="633"/>
    <n v="727"/>
    <s v="Safe"/>
    <s v="3 Del Mar Point"/>
    <x v="31"/>
    <n v="2167.1999999999998"/>
    <n v="96"/>
    <s v="Active"/>
    <n v="2116.7999999999997"/>
  </r>
  <r>
    <x v="965"/>
    <x v="31"/>
    <x v="2"/>
    <s v="09-387-1119"/>
    <x v="339"/>
    <x v="59"/>
    <n v="4"/>
    <n v="39"/>
    <s v="Sufficient"/>
    <n v="0"/>
    <s v="Normal"/>
    <x v="10"/>
    <n v="148"/>
    <d v="2024-12-26T00:00:00"/>
    <d v="2024-05-04T00:00:00"/>
    <d v="2024-08-07T00:00:00"/>
    <n v="427"/>
    <n v="663"/>
    <n v="568"/>
    <s v="Safe"/>
    <s v="42 Green Ridge Terrace"/>
    <x v="23"/>
    <n v="14356"/>
    <n v="24"/>
    <s v="Backordered"/>
    <n v="14208"/>
  </r>
  <r>
    <x v="966"/>
    <x v="33"/>
    <x v="0"/>
    <s v="59-979-6740"/>
    <x v="291"/>
    <x v="0"/>
    <n v="77"/>
    <n v="15"/>
    <s v="Require"/>
    <n v="77"/>
    <s v="High Priority"/>
    <x v="7"/>
    <n v="66"/>
    <d v="2024-11-04T00:00:00"/>
    <d v="2024-05-29T00:00:00"/>
    <d v="2024-07-29T00:00:00"/>
    <n v="479"/>
    <n v="638"/>
    <n v="577"/>
    <s v="Safe"/>
    <s v="9431 Clarendon Pass"/>
    <x v="58"/>
    <n v="4488"/>
    <n v="46"/>
    <s v="Active"/>
    <n v="4422"/>
  </r>
  <r>
    <x v="967"/>
    <x v="120"/>
    <x v="4"/>
    <s v="97-571-0561"/>
    <x v="108"/>
    <x v="88"/>
    <n v="35"/>
    <n v="43"/>
    <s v="Sufficient"/>
    <n v="0"/>
    <s v="Normal"/>
    <x v="88"/>
    <n v="16.600000000000001"/>
    <d v="2024-08-14T00:00:00"/>
    <d v="2024-08-26T00:00:00"/>
    <d v="2024-09-06T00:00:00"/>
    <n v="561"/>
    <n v="549"/>
    <n v="538"/>
    <s v="Expiring Soon"/>
    <s v="739 Rowland Way"/>
    <x v="24"/>
    <n v="1560.4"/>
    <n v="68"/>
    <s v="Discontinued"/>
    <n v="1543.8000000000002"/>
  </r>
  <r>
    <x v="968"/>
    <x v="114"/>
    <x v="0"/>
    <s v="96-177-4040"/>
    <x v="41"/>
    <x v="90"/>
    <n v="91"/>
    <n v="80"/>
    <s v="Require"/>
    <n v="91"/>
    <s v="High Priority"/>
    <x v="29"/>
    <n v="320"/>
    <d v="2024-10-18T00:00:00"/>
    <d v="2024-08-28T00:00:00"/>
    <d v="2025-01-16T00:00:00"/>
    <n v="496"/>
    <n v="547"/>
    <n v="406"/>
    <s v="Expiring Soon"/>
    <s v="77 Monument Court"/>
    <x v="12"/>
    <n v="22080"/>
    <n v="80"/>
    <s v="Discontinued"/>
    <n v="21760"/>
  </r>
  <r>
    <x v="969"/>
    <x v="110"/>
    <x v="2"/>
    <s v="18-490-4140"/>
    <x v="325"/>
    <x v="36"/>
    <n v="46"/>
    <n v="80"/>
    <s v="Sufficient"/>
    <n v="0"/>
    <s v="Normal"/>
    <x v="16"/>
    <n v="294"/>
    <d v="2024-05-18T00:00:00"/>
    <d v="2024-02-10T00:00:00"/>
    <d v="2024-12-24T00:00:00"/>
    <n v="649"/>
    <n v="747"/>
    <n v="429"/>
    <s v="Expiring Soon"/>
    <s v="82955 Dayton Street"/>
    <x v="15"/>
    <n v="19404"/>
    <n v="84"/>
    <s v="Discontinued"/>
    <n v="19110"/>
  </r>
  <r>
    <x v="970"/>
    <x v="4"/>
    <x v="2"/>
    <s v="69-415-3675"/>
    <x v="231"/>
    <x v="0"/>
    <n v="56"/>
    <n v="72"/>
    <s v="Require"/>
    <n v="56"/>
    <s v="Normal"/>
    <x v="4"/>
    <n v="88"/>
    <d v="2024-09-04T00:00:00"/>
    <d v="2024-08-06T00:00:00"/>
    <d v="2024-12-03T00:00:00"/>
    <n v="540"/>
    <n v="569"/>
    <n v="450"/>
    <s v="Expiring Soon"/>
    <s v="95 Kingsford Terrace"/>
    <x v="73"/>
    <n v="6160"/>
    <n v="39"/>
    <s v="Discontinued"/>
    <n v="6072"/>
  </r>
  <r>
    <x v="971"/>
    <x v="57"/>
    <x v="2"/>
    <s v="34-315-1199"/>
    <x v="258"/>
    <x v="46"/>
    <n v="52"/>
    <n v="2"/>
    <s v="Sufficient"/>
    <n v="0"/>
    <s v="Normal"/>
    <x v="7"/>
    <n v="300"/>
    <d v="2024-08-03T00:00:00"/>
    <d v="2024-11-29T00:00:00"/>
    <d v="2024-10-17T00:00:00"/>
    <n v="572"/>
    <n v="454"/>
    <n v="497"/>
    <s v="Expiring Soon"/>
    <s v="56 Esker Park"/>
    <x v="52"/>
    <n v="25800"/>
    <n v="70"/>
    <s v="Backordered"/>
    <n v="25500"/>
  </r>
  <r>
    <x v="972"/>
    <x v="88"/>
    <x v="4"/>
    <s v="49-590-1752"/>
    <x v="314"/>
    <x v="80"/>
    <n v="77"/>
    <n v="49"/>
    <s v="Require"/>
    <n v="77"/>
    <s v="High Priority"/>
    <x v="18"/>
    <n v="324"/>
    <d v="2024-10-04T00:00:00"/>
    <d v="2024-10-24T00:00:00"/>
    <d v="2025-02-09T00:00:00"/>
    <n v="510"/>
    <n v="490"/>
    <n v="382"/>
    <s v="Expiring Soon"/>
    <s v="0782 Dapin Avenue"/>
    <x v="43"/>
    <n v="9720"/>
    <n v="84"/>
    <s v="Active"/>
    <n v="9396"/>
  </r>
  <r>
    <x v="973"/>
    <x v="105"/>
    <x v="6"/>
    <s v="19-985-9694"/>
    <x v="156"/>
    <x v="39"/>
    <n v="67"/>
    <n v="65"/>
    <s v="Require"/>
    <n v="67"/>
    <s v="High Priority"/>
    <x v="1"/>
    <n v="280"/>
    <d v="2024-03-14T00:00:00"/>
    <d v="2024-10-19T00:00:00"/>
    <d v="2024-10-19T00:00:00"/>
    <n v="714"/>
    <n v="495"/>
    <n v="495"/>
    <s v="Expiring Soon"/>
    <s v="3 John Wall Point"/>
    <x v="75"/>
    <n v="19880"/>
    <n v="94"/>
    <s v="Discontinued"/>
    <n v="19600"/>
  </r>
  <r>
    <x v="974"/>
    <x v="10"/>
    <x v="0"/>
    <s v="68-415-1025"/>
    <x v="330"/>
    <x v="54"/>
    <n v="82"/>
    <n v="17"/>
    <s v="Require"/>
    <n v="82"/>
    <s v="High Priority"/>
    <x v="10"/>
    <n v="76"/>
    <d v="2024-12-29T00:00:00"/>
    <d v="2024-03-21T00:00:00"/>
    <d v="2024-08-06T00:00:00"/>
    <n v="424"/>
    <n v="707"/>
    <n v="569"/>
    <s v="Safe"/>
    <s v="642 Arizona Point"/>
    <x v="20"/>
    <n v="3952"/>
    <n v="47"/>
    <s v="Discontinued"/>
    <n v="3876"/>
  </r>
  <r>
    <x v="975"/>
    <x v="51"/>
    <x v="2"/>
    <s v="17-562-1176"/>
    <x v="63"/>
    <x v="23"/>
    <n v="52"/>
    <n v="80"/>
    <s v="Sufficient"/>
    <n v="0"/>
    <s v="Normal"/>
    <x v="7"/>
    <n v="291"/>
    <d v="2025-01-19T00:00:00"/>
    <d v="2024-07-17T00:00:00"/>
    <d v="2024-10-13T00:00:00"/>
    <n v="403"/>
    <n v="589"/>
    <n v="501"/>
    <s v="Expiring Soon"/>
    <s v="5 Loftsgordon Trail"/>
    <x v="70"/>
    <n v="6402"/>
    <n v="90"/>
    <s v="Backordered"/>
    <n v="6111"/>
  </r>
  <r>
    <x v="976"/>
    <x v="85"/>
    <x v="1"/>
    <s v="57-412-5368"/>
    <x v="171"/>
    <x v="56"/>
    <n v="66"/>
    <n v="28"/>
    <s v="Require"/>
    <n v="66"/>
    <s v="High Priority"/>
    <x v="12"/>
    <n v="512"/>
    <d v="2024-05-28T00:00:00"/>
    <d v="2025-01-14T00:00:00"/>
    <d v="2024-08-19T00:00:00"/>
    <n v="639"/>
    <n v="408"/>
    <n v="556"/>
    <s v="Safe"/>
    <s v="0 Sutteridge Trail"/>
    <x v="28"/>
    <n v="12800"/>
    <n v="52"/>
    <s v="Discontinued"/>
    <n v="12288"/>
  </r>
  <r>
    <x v="977"/>
    <x v="98"/>
    <x v="2"/>
    <s v="67-674-0287"/>
    <x v="228"/>
    <x v="39"/>
    <n v="75"/>
    <n v="19"/>
    <s v="Require"/>
    <n v="75"/>
    <s v="High Priority"/>
    <x v="67"/>
    <n v="26.599999999999998"/>
    <d v="2024-12-24T00:00:00"/>
    <d v="2024-11-05T00:00:00"/>
    <d v="2024-03-04T00:00:00"/>
    <n v="429"/>
    <n v="478"/>
    <n v="724"/>
    <s v="Safe"/>
    <s v="4033 Sloan Hill"/>
    <x v="10"/>
    <n v="2660"/>
    <n v="84"/>
    <s v="Backordered"/>
    <n v="2633.4"/>
  </r>
  <r>
    <x v="978"/>
    <x v="80"/>
    <x v="3"/>
    <s v="87-159-6467"/>
    <x v="147"/>
    <x v="35"/>
    <n v="89"/>
    <n v="27"/>
    <s v="Require"/>
    <n v="89"/>
    <s v="High Priority"/>
    <x v="29"/>
    <n v="240"/>
    <d v="2024-10-04T00:00:00"/>
    <d v="2024-10-15T00:00:00"/>
    <d v="2024-03-28T00:00:00"/>
    <n v="510"/>
    <n v="499"/>
    <n v="700"/>
    <s v="Safe"/>
    <s v="8 Thackeray Drive"/>
    <x v="77"/>
    <n v="23760"/>
    <n v="1"/>
    <s v="Discontinued"/>
    <n v="23520"/>
  </r>
  <r>
    <x v="979"/>
    <x v="70"/>
    <x v="6"/>
    <s v="94-006-6480"/>
    <x v="179"/>
    <x v="46"/>
    <n v="61"/>
    <n v="21"/>
    <s v="Sufficient"/>
    <n v="0"/>
    <s v="Normal"/>
    <x v="11"/>
    <n v="700"/>
    <d v="2024-09-21T00:00:00"/>
    <d v="2024-12-25T00:00:00"/>
    <d v="2024-05-18T00:00:00"/>
    <n v="523"/>
    <n v="428"/>
    <n v="649"/>
    <s v="Safe"/>
    <s v="674 Ryan Alley"/>
    <x v="1"/>
    <n v="59500"/>
    <n v="79"/>
    <s v="Backordered"/>
    <n v="58800"/>
  </r>
  <r>
    <x v="980"/>
    <x v="65"/>
    <x v="0"/>
    <s v="86-841-6074"/>
    <x v="220"/>
    <x v="10"/>
    <n v="36"/>
    <n v="96"/>
    <s v="Sufficient"/>
    <n v="0"/>
    <s v="Normal"/>
    <x v="30"/>
    <n v="294.5"/>
    <d v="2024-03-04T00:00:00"/>
    <d v="2024-10-04T00:00:00"/>
    <d v="2024-05-27T00:00:00"/>
    <n v="724"/>
    <n v="510"/>
    <n v="640"/>
    <s v="Safe"/>
    <s v="63 Debra Park"/>
    <x v="2"/>
    <n v="9129.5"/>
    <n v="25"/>
    <s v="Discontinued"/>
    <n v="8835"/>
  </r>
  <r>
    <x v="981"/>
    <x v="96"/>
    <x v="0"/>
    <s v="86-841-4440"/>
    <x v="49"/>
    <x v="86"/>
    <n v="60"/>
    <n v="62"/>
    <s v="Sufficient"/>
    <n v="0"/>
    <s v="Normal"/>
    <x v="0"/>
    <n v="319.5"/>
    <d v="2024-08-27T00:00:00"/>
    <d v="2024-03-25T00:00:00"/>
    <d v="2024-03-14T00:00:00"/>
    <n v="548"/>
    <n v="703"/>
    <n v="714"/>
    <s v="Safe"/>
    <s v="308 Doe Crossing Pass"/>
    <x v="30"/>
    <n v="19170"/>
    <n v="63"/>
    <s v="Discontinued"/>
    <n v="18850.5"/>
  </r>
  <r>
    <x v="982"/>
    <x v="20"/>
    <x v="4"/>
    <s v="82-995-0739"/>
    <x v="169"/>
    <x v="54"/>
    <n v="67"/>
    <n v="66"/>
    <s v="Require"/>
    <n v="67"/>
    <s v="High Priority"/>
    <x v="13"/>
    <n v="456"/>
    <d v="2024-01-04T00:00:00"/>
    <d v="2024-12-21T00:00:00"/>
    <d v="2024-04-08T00:00:00"/>
    <n v="784"/>
    <n v="432"/>
    <n v="689"/>
    <s v="Safe"/>
    <s v="73 Graedel Street"/>
    <x v="41"/>
    <n v="15960"/>
    <n v="24"/>
    <s v="Discontinued"/>
    <n v="15504"/>
  </r>
  <r>
    <x v="983"/>
    <x v="86"/>
    <x v="0"/>
    <s v="81-234-0741"/>
    <x v="114"/>
    <x v="20"/>
    <n v="34"/>
    <n v="94"/>
    <s v="Sufficient"/>
    <n v="0"/>
    <s v="Normal"/>
    <x v="28"/>
    <n v="211.2"/>
    <d v="2024-12-27T00:00:00"/>
    <d v="2025-02-20T00:00:00"/>
    <d v="2024-10-30T00:00:00"/>
    <n v="426"/>
    <n v="371"/>
    <n v="484"/>
    <s v="Expiring Soon"/>
    <s v="53 Forest Run Plaza"/>
    <x v="3"/>
    <n v="20064"/>
    <n v="63"/>
    <s v="Active"/>
    <n v="19852.8"/>
  </r>
  <r>
    <x v="984"/>
    <x v="40"/>
    <x v="5"/>
    <s v="99-864-0256"/>
    <x v="216"/>
    <x v="69"/>
    <n v="30"/>
    <n v="65"/>
    <s v="Sufficient"/>
    <n v="0"/>
    <s v="Normal"/>
    <x v="0"/>
    <n v="180"/>
    <d v="2024-02-07T00:00:00"/>
    <d v="2024-03-19T00:00:00"/>
    <d v="2024-05-14T00:00:00"/>
    <n v="750"/>
    <n v="709"/>
    <n v="653"/>
    <s v="Safe"/>
    <s v="94 Mallory Center"/>
    <x v="46"/>
    <n v="9720"/>
    <n v="29"/>
    <s v="Active"/>
    <n v="9540"/>
  </r>
  <r>
    <x v="985"/>
    <x v="16"/>
    <x v="2"/>
    <s v="57-473-8672"/>
    <x v="81"/>
    <x v="20"/>
    <n v="78"/>
    <n v="17"/>
    <s v="Sufficient"/>
    <n v="0"/>
    <s v="Normal"/>
    <x v="6"/>
    <n v="220"/>
    <d v="2024-06-09T00:00:00"/>
    <d v="2024-12-28T00:00:00"/>
    <d v="2024-11-04T00:00:00"/>
    <n v="627"/>
    <n v="425"/>
    <n v="479"/>
    <s v="Expiring Soon"/>
    <s v="58 Corscot Terrace"/>
    <x v="63"/>
    <n v="12760"/>
    <n v="21"/>
    <s v="Active"/>
    <n v="12540"/>
  </r>
  <r>
    <x v="986"/>
    <x v="88"/>
    <x v="4"/>
    <s v="93-877-9384"/>
    <x v="349"/>
    <x v="34"/>
    <n v="9"/>
    <n v="89"/>
    <s v="Sufficient"/>
    <n v="0"/>
    <s v="Normal"/>
    <x v="18"/>
    <n v="540"/>
    <d v="2024-01-06T00:00:00"/>
    <d v="2024-02-06T00:00:00"/>
    <d v="2024-10-05T00:00:00"/>
    <n v="782"/>
    <n v="751"/>
    <n v="509"/>
    <s v="Expiring Soon"/>
    <s v="5 Oxford Pass"/>
    <x v="3"/>
    <n v="51300"/>
    <n v="63"/>
    <s v="Active"/>
    <n v="50760"/>
  </r>
  <r>
    <x v="987"/>
    <x v="19"/>
    <x v="2"/>
    <s v="96-215-2767"/>
    <x v="287"/>
    <x v="14"/>
    <n v="90"/>
    <n v="12"/>
    <s v="Sufficient"/>
    <n v="0"/>
    <s v="Normal"/>
    <x v="80"/>
    <n v="84.600000000000009"/>
    <d v="2024-03-10T00:00:00"/>
    <d v="2024-10-24T00:00:00"/>
    <d v="2024-11-01T00:00:00"/>
    <n v="718"/>
    <n v="490"/>
    <n v="482"/>
    <s v="Expiring Soon"/>
    <s v="081 Jana Lane"/>
    <x v="60"/>
    <n v="8290.8000000000011"/>
    <n v="71"/>
    <s v="Active"/>
    <n v="8206.2000000000007"/>
  </r>
  <r>
    <x v="988"/>
    <x v="80"/>
    <x v="3"/>
    <s v="77-783-4107"/>
    <x v="60"/>
    <x v="2"/>
    <n v="48"/>
    <n v="52"/>
    <s v="Require"/>
    <n v="48"/>
    <s v="Normal"/>
    <x v="29"/>
    <n v="300"/>
    <d v="2024-11-06T00:00:00"/>
    <d v="2024-07-12T00:00:00"/>
    <d v="2024-04-30T00:00:00"/>
    <n v="477"/>
    <n v="594"/>
    <n v="667"/>
    <s v="Safe"/>
    <s v="00616 Manitowish Parkway"/>
    <x v="70"/>
    <n v="6600"/>
    <n v="78"/>
    <s v="Active"/>
    <n v="6300"/>
  </r>
  <r>
    <x v="989"/>
    <x v="108"/>
    <x v="2"/>
    <s v="93-358-1118"/>
    <x v="297"/>
    <x v="26"/>
    <n v="28"/>
    <n v="83"/>
    <s v="Require"/>
    <n v="28"/>
    <s v="Normal"/>
    <x v="0"/>
    <n v="85.5"/>
    <d v="2024-11-26T00:00:00"/>
    <d v="2024-01-03T00:00:00"/>
    <d v="2024-08-27T00:00:00"/>
    <n v="457"/>
    <n v="785"/>
    <n v="548"/>
    <s v="Expiring Soon"/>
    <s v="309 Burning Wood Center"/>
    <x v="56"/>
    <n v="7780.5"/>
    <n v="73"/>
    <s v="Discontinued"/>
    <n v="76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F5184-4AA4-41EC-B528-1DFB34F8A97F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87:B509" firstHeaderRow="1" firstDataRow="1" firstDataCol="1"/>
  <pivotFields count="26">
    <pivotField showAll="0"/>
    <pivotField axis="axisRow" showAll="0">
      <items count="122">
        <item x="5"/>
        <item x="69"/>
        <item x="95"/>
        <item x="110"/>
        <item x="106"/>
        <item x="1"/>
        <item x="54"/>
        <item x="91"/>
        <item x="80"/>
        <item x="74"/>
        <item x="96"/>
        <item x="53"/>
        <item x="36"/>
        <item x="2"/>
        <item x="46"/>
        <item x="60"/>
        <item x="14"/>
        <item x="50"/>
        <item x="104"/>
        <item x="37"/>
        <item x="56"/>
        <item x="83"/>
        <item x="19"/>
        <item x="79"/>
        <item x="45"/>
        <item x="78"/>
        <item x="88"/>
        <item x="62"/>
        <item x="119"/>
        <item x="61"/>
        <item x="72"/>
        <item x="117"/>
        <item x="111"/>
        <item x="73"/>
        <item x="6"/>
        <item x="67"/>
        <item x="58"/>
        <item x="26"/>
        <item x="99"/>
        <item x="120"/>
        <item x="9"/>
        <item x="7"/>
        <item x="22"/>
        <item x="89"/>
        <item x="51"/>
        <item x="107"/>
        <item x="13"/>
        <item x="64"/>
        <item x="81"/>
        <item x="103"/>
        <item x="8"/>
        <item x="18"/>
        <item x="43"/>
        <item x="85"/>
        <item x="30"/>
        <item x="105"/>
        <item x="52"/>
        <item x="29"/>
        <item x="65"/>
        <item x="100"/>
        <item x="39"/>
        <item x="35"/>
        <item x="71"/>
        <item x="98"/>
        <item x="3"/>
        <item x="101"/>
        <item x="34"/>
        <item x="102"/>
        <item x="49"/>
        <item x="38"/>
        <item x="23"/>
        <item x="24"/>
        <item x="28"/>
        <item x="31"/>
        <item x="41"/>
        <item x="63"/>
        <item x="108"/>
        <item x="20"/>
        <item x="76"/>
        <item x="59"/>
        <item x="25"/>
        <item x="57"/>
        <item x="27"/>
        <item x="4"/>
        <item x="75"/>
        <item x="55"/>
        <item x="86"/>
        <item x="21"/>
        <item x="66"/>
        <item x="47"/>
        <item x="93"/>
        <item x="11"/>
        <item x="115"/>
        <item x="44"/>
        <item x="90"/>
        <item x="33"/>
        <item x="84"/>
        <item x="40"/>
        <item x="16"/>
        <item x="12"/>
        <item x="97"/>
        <item x="0"/>
        <item x="116"/>
        <item x="15"/>
        <item x="70"/>
        <item x="112"/>
        <item x="17"/>
        <item x="82"/>
        <item x="113"/>
        <item x="87"/>
        <item x="94"/>
        <item x="68"/>
        <item x="42"/>
        <item x="77"/>
        <item x="10"/>
        <item x="48"/>
        <item x="118"/>
        <item x="92"/>
        <item x="114"/>
        <item x="109"/>
        <item x="32"/>
        <item t="default"/>
      </items>
    </pivotField>
    <pivotField showAll="0">
      <items count="9">
        <item x="5"/>
        <item x="1"/>
        <item x="4"/>
        <item x="2"/>
        <item x="0"/>
        <item x="3"/>
        <item x="6"/>
        <item x="7"/>
        <item t="default"/>
      </items>
    </pivotField>
    <pivotField showAll="0"/>
    <pivotField showAll="0"/>
    <pivotField dataField="1" numFmtId="1" showAll="0"/>
    <pivotField showAll="0"/>
    <pivotField showAll="0"/>
    <pivotField showAll="0"/>
    <pivotField showAll="0"/>
    <pivotField showAll="0"/>
    <pivotField showAll="0"/>
    <pivotField numFmtId="164"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</pivotFields>
  <rowFields count="1">
    <field x="1"/>
  </rowFields>
  <rowItems count="1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 t="grand">
      <x/>
    </i>
  </rowItems>
  <colItems count="1">
    <i/>
  </colItems>
  <dataFields count="1">
    <dataField name="Sum of Stock_Quantity" fld="5" baseField="1" baseItem="0" numFmtId="1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F63E5-0C6E-4940-A748-CA9EA01C9FDB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2:B383" firstHeaderRow="1" firstDataRow="1" firstDataCol="1"/>
  <pivotFields count="26">
    <pivotField dataField="1" showAll="0">
      <items count="991">
        <item x="278"/>
        <item x="207"/>
        <item x="180"/>
        <item x="826"/>
        <item x="296"/>
        <item x="290"/>
        <item x="773"/>
        <item x="764"/>
        <item x="701"/>
        <item x="260"/>
        <item x="575"/>
        <item x="754"/>
        <item x="619"/>
        <item x="182"/>
        <item x="220"/>
        <item x="195"/>
        <item x="396"/>
        <item x="667"/>
        <item x="631"/>
        <item x="302"/>
        <item x="687"/>
        <item x="530"/>
        <item x="840"/>
        <item x="367"/>
        <item x="648"/>
        <item x="26"/>
        <item x="675"/>
        <item x="758"/>
        <item x="140"/>
        <item x="540"/>
        <item x="361"/>
        <item x="53"/>
        <item x="965"/>
        <item x="337"/>
        <item x="534"/>
        <item x="157"/>
        <item x="76"/>
        <item x="665"/>
        <item x="867"/>
        <item x="881"/>
        <item x="341"/>
        <item x="697"/>
        <item x="368"/>
        <item x="557"/>
        <item x="651"/>
        <item x="32"/>
        <item x="304"/>
        <item x="379"/>
        <item x="305"/>
        <item x="130"/>
        <item x="906"/>
        <item x="377"/>
        <item x="770"/>
        <item x="310"/>
        <item x="46"/>
        <item x="779"/>
        <item x="298"/>
        <item x="683"/>
        <item x="591"/>
        <item x="609"/>
        <item x="75"/>
        <item x="767"/>
        <item x="509"/>
        <item x="89"/>
        <item x="887"/>
        <item x="196"/>
        <item x="177"/>
        <item x="959"/>
        <item x="335"/>
        <item x="399"/>
        <item x="495"/>
        <item x="2"/>
        <item x="472"/>
        <item x="291"/>
        <item x="167"/>
        <item x="928"/>
        <item x="567"/>
        <item x="954"/>
        <item x="711"/>
        <item x="884"/>
        <item x="690"/>
        <item x="620"/>
        <item x="73"/>
        <item x="426"/>
        <item x="971"/>
        <item x="343"/>
        <item x="649"/>
        <item x="695"/>
        <item x="616"/>
        <item x="760"/>
        <item x="586"/>
        <item x="718"/>
        <item x="209"/>
        <item x="316"/>
        <item x="293"/>
        <item x="483"/>
        <item x="389"/>
        <item x="216"/>
        <item x="910"/>
        <item x="269"/>
        <item x="974"/>
        <item x="397"/>
        <item x="553"/>
        <item x="169"/>
        <item x="262"/>
        <item x="579"/>
        <item x="541"/>
        <item x="314"/>
        <item x="185"/>
        <item x="685"/>
        <item x="583"/>
        <item x="814"/>
        <item x="731"/>
        <item x="522"/>
        <item x="960"/>
        <item x="514"/>
        <item x="81"/>
        <item x="605"/>
        <item x="13"/>
        <item x="440"/>
        <item x="40"/>
        <item x="48"/>
        <item x="768"/>
        <item x="60"/>
        <item x="515"/>
        <item x="97"/>
        <item x="243"/>
        <item x="479"/>
        <item x="430"/>
        <item x="866"/>
        <item x="423"/>
        <item x="497"/>
        <item x="694"/>
        <item x="78"/>
        <item x="883"/>
        <item x="356"/>
        <item x="458"/>
        <item x="360"/>
        <item x="624"/>
        <item x="170"/>
        <item x="568"/>
        <item x="95"/>
        <item x="787"/>
        <item x="831"/>
        <item x="569"/>
        <item x="84"/>
        <item x="777"/>
        <item x="946"/>
        <item x="958"/>
        <item x="382"/>
        <item x="849"/>
        <item x="92"/>
        <item x="120"/>
        <item x="978"/>
        <item x="524"/>
        <item x="135"/>
        <item x="286"/>
        <item x="188"/>
        <item x="952"/>
        <item x="65"/>
        <item x="308"/>
        <item x="640"/>
        <item x="543"/>
        <item x="560"/>
        <item x="309"/>
        <item x="578"/>
        <item x="317"/>
        <item x="218"/>
        <item x="480"/>
        <item x="857"/>
        <item x="879"/>
        <item x="933"/>
        <item x="795"/>
        <item x="119"/>
        <item x="885"/>
        <item x="228"/>
        <item x="283"/>
        <item x="29"/>
        <item x="490"/>
        <item x="327"/>
        <item x="385"/>
        <item x="875"/>
        <item x="544"/>
        <item x="776"/>
        <item x="771"/>
        <item x="602"/>
        <item x="513"/>
        <item x="920"/>
        <item x="897"/>
        <item x="940"/>
        <item x="179"/>
        <item x="192"/>
        <item x="689"/>
        <item x="117"/>
        <item x="834"/>
        <item x="258"/>
        <item x="630"/>
        <item x="905"/>
        <item x="853"/>
        <item x="862"/>
        <item x="383"/>
        <item x="680"/>
        <item x="149"/>
        <item x="86"/>
        <item x="844"/>
        <item x="193"/>
        <item x="66"/>
        <item x="621"/>
        <item x="394"/>
        <item x="673"/>
        <item x="520"/>
        <item x="593"/>
        <item x="501"/>
        <item x="5"/>
        <item x="755"/>
        <item x="447"/>
        <item x="942"/>
        <item x="462"/>
        <item x="350"/>
        <item x="904"/>
        <item x="42"/>
        <item x="778"/>
        <item x="452"/>
        <item x="331"/>
        <item x="85"/>
        <item x="598"/>
        <item x="329"/>
        <item x="493"/>
        <item x="14"/>
        <item x="859"/>
        <item x="972"/>
        <item x="386"/>
        <item x="257"/>
        <item x="150"/>
        <item x="454"/>
        <item x="921"/>
        <item x="485"/>
        <item x="822"/>
        <item x="816"/>
        <item x="184"/>
        <item x="160"/>
        <item x="841"/>
        <item x="926"/>
        <item x="931"/>
        <item x="263"/>
        <item x="888"/>
        <item x="919"/>
        <item x="727"/>
        <item x="94"/>
        <item x="20"/>
        <item x="645"/>
        <item x="890"/>
        <item x="722"/>
        <item x="945"/>
        <item x="71"/>
        <item x="156"/>
        <item x="455"/>
        <item x="38"/>
        <item x="87"/>
        <item x="823"/>
        <item x="284"/>
        <item x="635"/>
        <item x="107"/>
        <item x="736"/>
        <item x="523"/>
        <item x="151"/>
        <item x="828"/>
        <item x="900"/>
        <item x="300"/>
        <item x="235"/>
        <item x="741"/>
        <item x="677"/>
        <item x="803"/>
        <item x="57"/>
        <item x="453"/>
        <item x="392"/>
        <item x="406"/>
        <item x="374"/>
        <item x="688"/>
        <item x="255"/>
        <item x="989"/>
        <item x="922"/>
        <item x="982"/>
        <item x="679"/>
        <item x="929"/>
        <item x="891"/>
        <item x="723"/>
        <item x="414"/>
        <item x="443"/>
        <item x="279"/>
        <item x="137"/>
        <item x="133"/>
        <item x="975"/>
        <item x="801"/>
        <item x="247"/>
        <item x="956"/>
        <item x="551"/>
        <item x="0"/>
        <item x="785"/>
        <item x="966"/>
        <item x="556"/>
        <item x="432"/>
        <item x="762"/>
        <item x="281"/>
        <item x="338"/>
        <item x="391"/>
        <item x="126"/>
        <item x="163"/>
        <item x="272"/>
        <item x="789"/>
        <item x="203"/>
        <item x="542"/>
        <item x="400"/>
        <item x="740"/>
        <item x="28"/>
        <item x="735"/>
        <item x="830"/>
        <item x="955"/>
        <item x="545"/>
        <item x="215"/>
        <item x="987"/>
        <item x="171"/>
        <item x="668"/>
        <item x="110"/>
        <item x="321"/>
        <item x="699"/>
        <item x="743"/>
        <item x="236"/>
        <item x="466"/>
        <item x="59"/>
        <item x="846"/>
        <item x="484"/>
        <item x="506"/>
        <item x="761"/>
        <item x="504"/>
        <item x="173"/>
        <item x="41"/>
        <item x="353"/>
        <item x="413"/>
        <item x="499"/>
        <item x="739"/>
        <item x="962"/>
        <item x="672"/>
        <item x="957"/>
        <item x="100"/>
        <item x="252"/>
        <item x="634"/>
        <item x="917"/>
        <item x="384"/>
        <item x="941"/>
        <item x="912"/>
        <item x="444"/>
        <item x="231"/>
        <item x="500"/>
        <item x="106"/>
        <item x="409"/>
        <item x="533"/>
        <item x="935"/>
        <item x="492"/>
        <item x="611"/>
        <item x="961"/>
        <item x="714"/>
        <item x="818"/>
        <item x="114"/>
        <item x="717"/>
        <item x="566"/>
        <item x="597"/>
        <item x="54"/>
        <item x="706"/>
        <item x="326"/>
        <item x="858"/>
        <item x="561"/>
        <item x="491"/>
        <item x="973"/>
        <item x="370"/>
        <item x="274"/>
        <item x="502"/>
        <item x="271"/>
        <item x="964"/>
        <item x="186"/>
        <item x="510"/>
        <item x="825"/>
        <item x="489"/>
        <item x="537"/>
        <item x="31"/>
        <item x="204"/>
        <item x="411"/>
        <item x="526"/>
        <item x="77"/>
        <item x="287"/>
        <item x="981"/>
        <item x="15"/>
        <item x="152"/>
        <item x="7"/>
        <item x="336"/>
        <item x="819"/>
        <item x="854"/>
        <item x="507"/>
        <item x="246"/>
        <item x="829"/>
        <item x="939"/>
        <item x="339"/>
        <item x="856"/>
        <item x="1"/>
        <item x="434"/>
        <item x="52"/>
        <item x="436"/>
        <item x="25"/>
        <item x="174"/>
        <item x="121"/>
        <item x="663"/>
        <item x="873"/>
        <item x="380"/>
        <item x="794"/>
        <item x="465"/>
        <item x="653"/>
        <item x="118"/>
        <item x="721"/>
        <item x="657"/>
        <item x="282"/>
        <item x="415"/>
        <item x="58"/>
        <item x="404"/>
        <item x="864"/>
        <item x="306"/>
        <item x="681"/>
        <item x="11"/>
        <item x="617"/>
        <item x="590"/>
        <item x="295"/>
        <item x="141"/>
        <item x="715"/>
        <item x="459"/>
        <item x="420"/>
        <item x="707"/>
        <item x="559"/>
        <item x="355"/>
        <item x="43"/>
        <item x="144"/>
        <item x="977"/>
        <item x="39"/>
        <item x="446"/>
        <item x="808"/>
        <item x="902"/>
        <item x="516"/>
        <item x="880"/>
        <item x="70"/>
        <item x="230"/>
        <item x="804"/>
        <item x="138"/>
        <item x="843"/>
        <item x="122"/>
        <item x="861"/>
        <item x="749"/>
        <item x="623"/>
        <item x="913"/>
        <item x="398"/>
        <item x="552"/>
        <item x="792"/>
        <item x="793"/>
        <item x="652"/>
        <item x="346"/>
        <item x="725"/>
        <item x="709"/>
        <item x="708"/>
        <item x="923"/>
        <item x="439"/>
        <item x="728"/>
        <item x="373"/>
        <item x="9"/>
        <item x="911"/>
        <item x="50"/>
        <item x="549"/>
        <item x="525"/>
        <item x="226"/>
        <item x="855"/>
        <item x="175"/>
        <item x="811"/>
        <item x="712"/>
        <item x="742"/>
        <item x="882"/>
        <item x="197"/>
        <item x="178"/>
        <item x="650"/>
        <item x="352"/>
        <item x="369"/>
        <item x="328"/>
        <item x="550"/>
        <item x="572"/>
        <item x="219"/>
        <item x="845"/>
        <item x="607"/>
        <item x="18"/>
        <item x="757"/>
        <item x="227"/>
        <item x="638"/>
        <item x="903"/>
        <item x="154"/>
        <item x="325"/>
        <item x="810"/>
        <item x="303"/>
        <item x="702"/>
        <item x="233"/>
        <item x="797"/>
        <item x="863"/>
        <item x="517"/>
        <item x="159"/>
        <item x="102"/>
        <item x="357"/>
        <item x="674"/>
        <item x="664"/>
        <item x="111"/>
        <item x="949"/>
        <item x="852"/>
        <item x="660"/>
        <item x="512"/>
        <item x="636"/>
        <item x="393"/>
        <item x="410"/>
        <item x="344"/>
        <item x="139"/>
        <item x="200"/>
        <item x="10"/>
        <item x="136"/>
        <item x="471"/>
        <item x="428"/>
        <item x="546"/>
        <item x="604"/>
        <item x="412"/>
        <item x="817"/>
        <item x="896"/>
        <item x="47"/>
        <item x="692"/>
        <item x="980"/>
        <item x="387"/>
        <item x="187"/>
        <item x="548"/>
        <item x="529"/>
        <item x="164"/>
        <item x="626"/>
        <item x="158"/>
        <item x="730"/>
        <item x="984"/>
        <item x="686"/>
        <item x="36"/>
        <item x="916"/>
        <item x="82"/>
        <item x="878"/>
        <item x="747"/>
        <item x="127"/>
        <item x="979"/>
        <item x="656"/>
        <item x="820"/>
        <item x="103"/>
        <item x="299"/>
        <item x="976"/>
        <item x="64"/>
        <item x="429"/>
        <item x="16"/>
        <item x="610"/>
        <item x="225"/>
        <item x="554"/>
        <item x="670"/>
        <item x="313"/>
        <item x="682"/>
        <item x="280"/>
        <item x="244"/>
        <item x="463"/>
        <item x="719"/>
        <item x="494"/>
        <item x="951"/>
        <item x="746"/>
        <item x="895"/>
        <item x="372"/>
        <item x="254"/>
        <item x="710"/>
        <item x="4"/>
        <item x="224"/>
        <item x="131"/>
        <item x="847"/>
        <item x="798"/>
        <item x="277"/>
        <item x="330"/>
        <item x="908"/>
        <item x="143"/>
        <item x="421"/>
        <item x="176"/>
        <item x="474"/>
        <item x="632"/>
        <item x="837"/>
        <item x="245"/>
        <item x="870"/>
        <item x="285"/>
        <item x="643"/>
        <item x="206"/>
        <item x="596"/>
        <item x="786"/>
        <item x="405"/>
        <item x="99"/>
        <item x="407"/>
        <item x="424"/>
        <item x="240"/>
        <item x="907"/>
        <item x="751"/>
        <item x="289"/>
        <item x="745"/>
        <item x="759"/>
        <item x="669"/>
        <item x="589"/>
        <item x="242"/>
        <item x="821"/>
        <item x="403"/>
        <item x="270"/>
        <item x="112"/>
        <item x="482"/>
        <item x="986"/>
        <item x="104"/>
        <item x="211"/>
        <item x="275"/>
        <item x="505"/>
        <item x="824"/>
        <item x="594"/>
        <item x="944"/>
        <item x="44"/>
        <item x="194"/>
        <item x="836"/>
        <item x="468"/>
        <item x="918"/>
        <item x="894"/>
        <item x="970"/>
        <item x="202"/>
        <item x="886"/>
        <item x="737"/>
        <item x="932"/>
        <item x="105"/>
        <item x="734"/>
        <item x="511"/>
        <item x="332"/>
        <item x="433"/>
        <item x="210"/>
        <item x="469"/>
        <item x="72"/>
        <item x="565"/>
        <item x="378"/>
        <item x="612"/>
        <item x="63"/>
        <item x="315"/>
        <item x="790"/>
        <item x="750"/>
        <item x="838"/>
        <item x="8"/>
        <item x="732"/>
        <item x="693"/>
        <item x="678"/>
        <item x="21"/>
        <item x="753"/>
        <item x="564"/>
        <item x="641"/>
        <item x="67"/>
        <item x="23"/>
        <item x="213"/>
        <item x="698"/>
        <item x="571"/>
        <item x="96"/>
        <item x="909"/>
        <item x="165"/>
        <item x="345"/>
        <item x="108"/>
        <item x="109"/>
        <item x="101"/>
        <item x="655"/>
        <item x="898"/>
        <item x="24"/>
        <item x="924"/>
        <item x="488"/>
        <item x="705"/>
        <item x="208"/>
        <item x="55"/>
        <item x="796"/>
        <item x="267"/>
        <item x="765"/>
        <item x="580"/>
        <item x="249"/>
        <item x="56"/>
        <item x="417"/>
        <item x="938"/>
        <item x="292"/>
        <item x="662"/>
        <item x="676"/>
        <item x="807"/>
        <item x="969"/>
        <item x="427"/>
        <item x="125"/>
        <item x="644"/>
        <item x="518"/>
        <item x="691"/>
        <item x="198"/>
        <item x="37"/>
        <item x="80"/>
        <item x="49"/>
        <item x="88"/>
        <item x="848"/>
        <item x="812"/>
        <item x="401"/>
        <item x="153"/>
        <item x="486"/>
        <item x="467"/>
        <item x="6"/>
        <item x="3"/>
        <item x="366"/>
        <item x="496"/>
        <item x="340"/>
        <item x="214"/>
        <item x="800"/>
        <item x="478"/>
        <item x="348"/>
        <item x="547"/>
        <item x="696"/>
        <item x="625"/>
        <item x="608"/>
        <item x="729"/>
        <item x="205"/>
        <item x="34"/>
        <item x="148"/>
        <item x="358"/>
        <item x="481"/>
        <item x="927"/>
        <item x="371"/>
        <item x="948"/>
        <item x="603"/>
        <item x="738"/>
        <item x="876"/>
        <item x="334"/>
        <item x="528"/>
        <item x="629"/>
        <item x="487"/>
        <item x="592"/>
        <item x="470"/>
        <item x="124"/>
        <item x="587"/>
        <item x="582"/>
        <item x="437"/>
        <item x="256"/>
        <item x="639"/>
        <item x="146"/>
        <item x="322"/>
        <item x="123"/>
        <item x="79"/>
        <item x="12"/>
        <item x="62"/>
        <item x="563"/>
        <item x="788"/>
        <item x="827"/>
        <item x="588"/>
        <item x="395"/>
        <item x="450"/>
        <item x="162"/>
        <item x="30"/>
        <item x="448"/>
        <item x="261"/>
        <item x="558"/>
        <item x="250"/>
        <item x="599"/>
        <item x="456"/>
        <item x="19"/>
        <item x="229"/>
        <item x="217"/>
        <item x="239"/>
        <item x="83"/>
        <item x="781"/>
        <item x="531"/>
        <item x="899"/>
        <item x="805"/>
        <item x="744"/>
        <item x="61"/>
        <item x="320"/>
        <item x="22"/>
        <item x="223"/>
        <item x="871"/>
        <item x="555"/>
        <item x="33"/>
        <item x="901"/>
        <item x="221"/>
        <item x="521"/>
        <item x="934"/>
        <item x="772"/>
        <item x="27"/>
        <item x="851"/>
        <item x="936"/>
        <item x="860"/>
        <item x="633"/>
        <item x="756"/>
        <item x="222"/>
        <item x="577"/>
        <item x="324"/>
        <item x="376"/>
        <item x="161"/>
        <item x="576"/>
        <item x="877"/>
        <item x="538"/>
        <item x="584"/>
        <item x="713"/>
        <item x="98"/>
        <item x="464"/>
        <item x="585"/>
        <item x="654"/>
        <item x="318"/>
        <item x="147"/>
        <item x="69"/>
        <item x="17"/>
        <item x="968"/>
        <item x="93"/>
        <item x="354"/>
        <item x="319"/>
        <item x="91"/>
        <item x="806"/>
        <item x="461"/>
        <item x="769"/>
        <item x="802"/>
        <item x="815"/>
        <item x="600"/>
        <item x="985"/>
        <item x="536"/>
        <item x="581"/>
        <item x="445"/>
        <item x="930"/>
        <item x="435"/>
        <item x="983"/>
        <item x="850"/>
        <item x="359"/>
        <item x="362"/>
        <item x="181"/>
        <item x="312"/>
        <item x="618"/>
        <item x="273"/>
        <item x="155"/>
        <item x="431"/>
        <item x="128"/>
        <item x="684"/>
        <item x="191"/>
        <item x="422"/>
        <item x="301"/>
        <item x="967"/>
        <item x="865"/>
        <item x="724"/>
        <item x="266"/>
        <item x="347"/>
        <item x="832"/>
        <item x="375"/>
        <item x="238"/>
        <item x="700"/>
        <item x="251"/>
        <item x="799"/>
        <item x="570"/>
        <item x="915"/>
        <item x="752"/>
        <item x="766"/>
        <item x="658"/>
        <item x="323"/>
        <item x="532"/>
        <item x="671"/>
        <item x="988"/>
        <item x="720"/>
        <item x="613"/>
        <item x="172"/>
        <item x="914"/>
        <item x="288"/>
        <item x="475"/>
        <item x="622"/>
        <item x="733"/>
        <item x="212"/>
        <item x="113"/>
        <item x="68"/>
        <item x="134"/>
        <item x="953"/>
        <item x="297"/>
        <item x="145"/>
        <item x="388"/>
        <item x="661"/>
        <item x="477"/>
        <item x="947"/>
        <item x="451"/>
        <item x="129"/>
        <item x="74"/>
        <item x="780"/>
        <item x="425"/>
        <item x="457"/>
        <item x="363"/>
        <item x="839"/>
        <item x="869"/>
        <item x="813"/>
        <item x="90"/>
        <item x="307"/>
        <item x="868"/>
        <item x="950"/>
        <item x="763"/>
        <item x="874"/>
        <item x="642"/>
        <item x="45"/>
        <item x="365"/>
        <item x="574"/>
        <item x="201"/>
        <item x="132"/>
        <item x="253"/>
        <item x="438"/>
        <item x="51"/>
        <item x="573"/>
        <item x="268"/>
        <item x="842"/>
        <item x="595"/>
        <item x="872"/>
        <item x="381"/>
        <item x="35"/>
        <item x="748"/>
        <item x="248"/>
        <item x="782"/>
        <item x="562"/>
        <item x="449"/>
        <item x="628"/>
        <item x="265"/>
        <item x="704"/>
        <item x="419"/>
        <item x="726"/>
        <item x="539"/>
        <item x="349"/>
        <item x="925"/>
        <item x="646"/>
        <item x="311"/>
        <item x="637"/>
        <item x="809"/>
        <item x="627"/>
        <item x="237"/>
        <item x="893"/>
        <item x="351"/>
        <item x="294"/>
        <item x="232"/>
        <item x="774"/>
        <item x="784"/>
        <item x="264"/>
        <item x="775"/>
        <item x="342"/>
        <item x="527"/>
        <item x="791"/>
        <item x="416"/>
        <item x="503"/>
        <item x="508"/>
        <item x="460"/>
        <item x="333"/>
        <item x="647"/>
        <item x="259"/>
        <item x="364"/>
        <item x="498"/>
        <item x="476"/>
        <item x="614"/>
        <item x="615"/>
        <item x="519"/>
        <item x="892"/>
        <item x="716"/>
        <item x="142"/>
        <item x="473"/>
        <item x="189"/>
        <item x="703"/>
        <item x="183"/>
        <item x="937"/>
        <item x="168"/>
        <item x="666"/>
        <item x="601"/>
        <item x="535"/>
        <item x="199"/>
        <item x="116"/>
        <item x="190"/>
        <item x="963"/>
        <item x="166"/>
        <item x="390"/>
        <item x="659"/>
        <item x="835"/>
        <item x="115"/>
        <item x="276"/>
        <item x="889"/>
        <item x="418"/>
        <item x="402"/>
        <item x="442"/>
        <item x="833"/>
        <item x="234"/>
        <item x="606"/>
        <item x="408"/>
        <item x="441"/>
        <item x="241"/>
        <item x="943"/>
        <item x="783"/>
        <item t="default"/>
      </items>
    </pivotField>
    <pivotField showAll="0"/>
    <pivotField showAll="0">
      <items count="9">
        <item x="5"/>
        <item x="1"/>
        <item x="4"/>
        <item x="2"/>
        <item x="0"/>
        <item x="3"/>
        <item x="6"/>
        <item x="7"/>
        <item t="default"/>
      </items>
    </pivotField>
    <pivotField showAll="0"/>
    <pivotField axis="axisRow" showAll="0">
      <items count="351">
        <item x="205"/>
        <item x="73"/>
        <item x="320"/>
        <item x="210"/>
        <item x="269"/>
        <item x="229"/>
        <item x="264"/>
        <item x="206"/>
        <item x="284"/>
        <item x="255"/>
        <item x="55"/>
        <item x="345"/>
        <item x="151"/>
        <item x="346"/>
        <item x="14"/>
        <item x="199"/>
        <item x="282"/>
        <item x="54"/>
        <item x="63"/>
        <item x="247"/>
        <item x="169"/>
        <item x="321"/>
        <item x="78"/>
        <item x="56"/>
        <item x="145"/>
        <item x="98"/>
        <item x="29"/>
        <item x="3"/>
        <item x="291"/>
        <item x="181"/>
        <item x="245"/>
        <item x="129"/>
        <item x="261"/>
        <item x="74"/>
        <item x="44"/>
        <item x="166"/>
        <item x="108"/>
        <item x="289"/>
        <item x="176"/>
        <item x="117"/>
        <item x="183"/>
        <item x="228"/>
        <item x="218"/>
        <item x="103"/>
        <item x="274"/>
        <item x="28"/>
        <item x="23"/>
        <item x="189"/>
        <item x="137"/>
        <item x="296"/>
        <item x="77"/>
        <item x="281"/>
        <item x="5"/>
        <item x="99"/>
        <item x="253"/>
        <item x="197"/>
        <item x="164"/>
        <item x="60"/>
        <item x="180"/>
        <item x="193"/>
        <item x="126"/>
        <item x="92"/>
        <item x="257"/>
        <item x="131"/>
        <item x="242"/>
        <item x="20"/>
        <item x="246"/>
        <item x="313"/>
        <item x="236"/>
        <item x="94"/>
        <item x="179"/>
        <item x="275"/>
        <item x="302"/>
        <item x="101"/>
        <item x="225"/>
        <item x="280"/>
        <item x="91"/>
        <item x="327"/>
        <item x="278"/>
        <item x="90"/>
        <item x="71"/>
        <item x="298"/>
        <item x="234"/>
        <item x="106"/>
        <item x="174"/>
        <item x="308"/>
        <item x="62"/>
        <item x="89"/>
        <item x="319"/>
        <item x="322"/>
        <item x="88"/>
        <item x="149"/>
        <item x="207"/>
        <item x="1"/>
        <item x="312"/>
        <item x="24"/>
        <item x="10"/>
        <item x="45"/>
        <item x="344"/>
        <item x="290"/>
        <item x="195"/>
        <item x="47"/>
        <item x="36"/>
        <item x="111"/>
        <item x="192"/>
        <item x="349"/>
        <item x="249"/>
        <item x="309"/>
        <item x="115"/>
        <item x="133"/>
        <item x="221"/>
        <item x="102"/>
        <item x="185"/>
        <item x="22"/>
        <item x="154"/>
        <item x="256"/>
        <item x="191"/>
        <item x="144"/>
        <item x="265"/>
        <item x="215"/>
        <item x="114"/>
        <item x="21"/>
        <item x="79"/>
        <item x="198"/>
        <item x="178"/>
        <item x="194"/>
        <item x="329"/>
        <item x="0"/>
        <item x="140"/>
        <item x="318"/>
        <item x="141"/>
        <item x="333"/>
        <item x="171"/>
        <item x="152"/>
        <item x="150"/>
        <item x="31"/>
        <item x="110"/>
        <item x="37"/>
        <item x="48"/>
        <item x="316"/>
        <item x="41"/>
        <item x="260"/>
        <item x="254"/>
        <item x="272"/>
        <item x="323"/>
        <item x="224"/>
        <item x="250"/>
        <item x="50"/>
        <item x="287"/>
        <item x="136"/>
        <item x="40"/>
        <item x="208"/>
        <item x="226"/>
        <item x="262"/>
        <item x="35"/>
        <item x="213"/>
        <item x="315"/>
        <item x="200"/>
        <item x="84"/>
        <item x="303"/>
        <item x="122"/>
        <item x="304"/>
        <item x="184"/>
        <item x="109"/>
        <item x="347"/>
        <item x="134"/>
        <item x="120"/>
        <item x="222"/>
        <item x="202"/>
        <item x="33"/>
        <item x="339"/>
        <item x="7"/>
        <item x="211"/>
        <item x="293"/>
        <item x="19"/>
        <item x="25"/>
        <item x="328"/>
        <item x="16"/>
        <item x="337"/>
        <item x="130"/>
        <item x="53"/>
        <item x="64"/>
        <item x="203"/>
        <item x="238"/>
        <item x="163"/>
        <item x="342"/>
        <item x="217"/>
        <item x="243"/>
        <item x="68"/>
        <item x="276"/>
        <item x="72"/>
        <item x="118"/>
        <item x="70"/>
        <item x="75"/>
        <item x="86"/>
        <item x="135"/>
        <item x="30"/>
        <item x="244"/>
        <item x="27"/>
        <item x="270"/>
        <item x="32"/>
        <item x="138"/>
        <item x="241"/>
        <item x="331"/>
        <item x="142"/>
        <item x="155"/>
        <item x="314"/>
        <item x="299"/>
        <item x="188"/>
        <item x="96"/>
        <item x="61"/>
        <item x="112"/>
        <item x="97"/>
        <item x="295"/>
        <item x="17"/>
        <item x="233"/>
        <item x="26"/>
        <item x="326"/>
        <item x="240"/>
        <item x="216"/>
        <item x="212"/>
        <item x="167"/>
        <item x="277"/>
        <item x="273"/>
        <item x="100"/>
        <item x="317"/>
        <item x="42"/>
        <item x="182"/>
        <item x="95"/>
        <item x="58"/>
        <item x="81"/>
        <item x="104"/>
        <item x="248"/>
        <item x="325"/>
        <item x="105"/>
        <item x="157"/>
        <item x="66"/>
        <item x="132"/>
        <item x="121"/>
        <item x="219"/>
        <item x="116"/>
        <item x="190"/>
        <item x="76"/>
        <item x="46"/>
        <item x="127"/>
        <item x="59"/>
        <item x="266"/>
        <item x="18"/>
        <item x="220"/>
        <item x="34"/>
        <item x="160"/>
        <item x="87"/>
        <item x="113"/>
        <item x="38"/>
        <item x="292"/>
        <item x="232"/>
        <item x="6"/>
        <item x="69"/>
        <item x="263"/>
        <item x="65"/>
        <item x="209"/>
        <item x="332"/>
        <item x="139"/>
        <item x="123"/>
        <item x="162"/>
        <item x="294"/>
        <item x="336"/>
        <item x="231"/>
        <item x="107"/>
        <item x="335"/>
        <item x="301"/>
        <item x="186"/>
        <item x="8"/>
        <item x="338"/>
        <item x="279"/>
        <item x="82"/>
        <item x="128"/>
        <item x="153"/>
        <item x="4"/>
        <item x="324"/>
        <item x="288"/>
        <item x="146"/>
        <item x="348"/>
        <item x="124"/>
        <item x="271"/>
        <item x="175"/>
        <item x="285"/>
        <item x="283"/>
        <item x="259"/>
        <item x="158"/>
        <item x="148"/>
        <item x="306"/>
        <item x="39"/>
        <item x="52"/>
        <item x="252"/>
        <item x="235"/>
        <item x="80"/>
        <item x="196"/>
        <item x="2"/>
        <item x="51"/>
        <item x="214"/>
        <item x="12"/>
        <item x="165"/>
        <item x="67"/>
        <item x="147"/>
        <item x="13"/>
        <item x="307"/>
        <item x="57"/>
        <item x="311"/>
        <item x="43"/>
        <item x="223"/>
        <item x="300"/>
        <item x="93"/>
        <item x="156"/>
        <item x="9"/>
        <item x="237"/>
        <item x="268"/>
        <item x="334"/>
        <item x="286"/>
        <item x="83"/>
        <item x="343"/>
        <item x="297"/>
        <item x="230"/>
        <item x="330"/>
        <item x="49"/>
        <item x="201"/>
        <item x="310"/>
        <item x="161"/>
        <item x="172"/>
        <item x="119"/>
        <item x="125"/>
        <item x="258"/>
        <item x="15"/>
        <item x="251"/>
        <item x="170"/>
        <item x="239"/>
        <item x="173"/>
        <item x="227"/>
        <item x="187"/>
        <item x="143"/>
        <item x="341"/>
        <item x="85"/>
        <item x="267"/>
        <item x="305"/>
        <item x="204"/>
        <item x="177"/>
        <item x="168"/>
        <item x="159"/>
        <item x="11"/>
        <item x="34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numFmtId="164"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</pivotFields>
  <rowFields count="1">
    <field x="4"/>
  </rowFields>
  <rowItems count="3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 t="grand">
      <x/>
    </i>
  </rowItems>
  <colItems count="1">
    <i/>
  </colItems>
  <dataFields count="1">
    <dataField name="Count of Product_I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aptionGreaterThan" evalOrder="-1" id="1" stringValue1="5">
      <autoFilter ref="A1">
        <filterColumn colId="0">
          <customFilters>
            <customFilter operator="greaterThan" val="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EEA30-BF32-46F6-9462-9EEBAC38DA2C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:B24" firstHeaderRow="1" firstDataRow="1" firstDataCol="1"/>
  <pivotFields count="26">
    <pivotField dataField="1" showAll="0">
      <items count="991">
        <item x="278"/>
        <item x="207"/>
        <item x="180"/>
        <item x="826"/>
        <item x="296"/>
        <item x="290"/>
        <item x="773"/>
        <item x="764"/>
        <item x="701"/>
        <item x="260"/>
        <item x="575"/>
        <item x="754"/>
        <item x="619"/>
        <item x="182"/>
        <item x="220"/>
        <item x="195"/>
        <item x="396"/>
        <item x="667"/>
        <item x="631"/>
        <item x="302"/>
        <item x="687"/>
        <item x="530"/>
        <item x="840"/>
        <item x="367"/>
        <item x="648"/>
        <item x="26"/>
        <item x="675"/>
        <item x="758"/>
        <item x="140"/>
        <item x="540"/>
        <item x="361"/>
        <item x="53"/>
        <item x="965"/>
        <item x="337"/>
        <item x="534"/>
        <item x="157"/>
        <item x="76"/>
        <item x="665"/>
        <item x="867"/>
        <item x="881"/>
        <item x="341"/>
        <item x="697"/>
        <item x="368"/>
        <item x="557"/>
        <item x="651"/>
        <item x="32"/>
        <item x="304"/>
        <item x="379"/>
        <item x="305"/>
        <item x="130"/>
        <item x="906"/>
        <item x="377"/>
        <item x="770"/>
        <item x="310"/>
        <item x="46"/>
        <item x="779"/>
        <item x="298"/>
        <item x="683"/>
        <item x="591"/>
        <item x="609"/>
        <item x="75"/>
        <item x="767"/>
        <item x="509"/>
        <item x="89"/>
        <item x="887"/>
        <item x="196"/>
        <item x="177"/>
        <item x="959"/>
        <item x="335"/>
        <item x="399"/>
        <item x="495"/>
        <item x="2"/>
        <item x="472"/>
        <item x="291"/>
        <item x="167"/>
        <item x="928"/>
        <item x="567"/>
        <item x="954"/>
        <item x="711"/>
        <item x="884"/>
        <item x="690"/>
        <item x="620"/>
        <item x="73"/>
        <item x="426"/>
        <item x="971"/>
        <item x="343"/>
        <item x="649"/>
        <item x="695"/>
        <item x="616"/>
        <item x="760"/>
        <item x="586"/>
        <item x="718"/>
        <item x="209"/>
        <item x="316"/>
        <item x="293"/>
        <item x="483"/>
        <item x="389"/>
        <item x="216"/>
        <item x="910"/>
        <item x="269"/>
        <item x="974"/>
        <item x="397"/>
        <item x="553"/>
        <item x="169"/>
        <item x="262"/>
        <item x="579"/>
        <item x="541"/>
        <item x="314"/>
        <item x="185"/>
        <item x="685"/>
        <item x="583"/>
        <item x="814"/>
        <item x="731"/>
        <item x="522"/>
        <item x="960"/>
        <item x="514"/>
        <item x="81"/>
        <item x="605"/>
        <item x="13"/>
        <item x="440"/>
        <item x="40"/>
        <item x="48"/>
        <item x="768"/>
        <item x="60"/>
        <item x="515"/>
        <item x="97"/>
        <item x="243"/>
        <item x="479"/>
        <item x="430"/>
        <item x="866"/>
        <item x="423"/>
        <item x="497"/>
        <item x="694"/>
        <item x="78"/>
        <item x="883"/>
        <item x="356"/>
        <item x="458"/>
        <item x="360"/>
        <item x="624"/>
        <item x="170"/>
        <item x="568"/>
        <item x="95"/>
        <item x="787"/>
        <item x="831"/>
        <item x="569"/>
        <item x="84"/>
        <item x="777"/>
        <item x="946"/>
        <item x="958"/>
        <item x="382"/>
        <item x="849"/>
        <item x="92"/>
        <item x="120"/>
        <item x="978"/>
        <item x="524"/>
        <item x="135"/>
        <item x="286"/>
        <item x="188"/>
        <item x="952"/>
        <item x="65"/>
        <item x="308"/>
        <item x="640"/>
        <item x="543"/>
        <item x="560"/>
        <item x="309"/>
        <item x="578"/>
        <item x="317"/>
        <item x="218"/>
        <item x="480"/>
        <item x="857"/>
        <item x="879"/>
        <item x="933"/>
        <item x="795"/>
        <item x="119"/>
        <item x="885"/>
        <item x="228"/>
        <item x="283"/>
        <item x="29"/>
        <item x="490"/>
        <item x="327"/>
        <item x="385"/>
        <item x="875"/>
        <item x="544"/>
        <item x="776"/>
        <item x="771"/>
        <item x="602"/>
        <item x="513"/>
        <item x="920"/>
        <item x="897"/>
        <item x="940"/>
        <item x="179"/>
        <item x="192"/>
        <item x="689"/>
        <item x="117"/>
        <item x="834"/>
        <item x="258"/>
        <item x="630"/>
        <item x="905"/>
        <item x="853"/>
        <item x="862"/>
        <item x="383"/>
        <item x="680"/>
        <item x="149"/>
        <item x="86"/>
        <item x="844"/>
        <item x="193"/>
        <item x="66"/>
        <item x="621"/>
        <item x="394"/>
        <item x="673"/>
        <item x="520"/>
        <item x="593"/>
        <item x="501"/>
        <item x="5"/>
        <item x="755"/>
        <item x="447"/>
        <item x="942"/>
        <item x="462"/>
        <item x="350"/>
        <item x="904"/>
        <item x="42"/>
        <item x="778"/>
        <item x="452"/>
        <item x="331"/>
        <item x="85"/>
        <item x="598"/>
        <item x="329"/>
        <item x="493"/>
        <item x="14"/>
        <item x="859"/>
        <item x="972"/>
        <item x="386"/>
        <item x="257"/>
        <item x="150"/>
        <item x="454"/>
        <item x="921"/>
        <item x="485"/>
        <item x="822"/>
        <item x="816"/>
        <item x="184"/>
        <item x="160"/>
        <item x="841"/>
        <item x="926"/>
        <item x="931"/>
        <item x="263"/>
        <item x="888"/>
        <item x="919"/>
        <item x="727"/>
        <item x="94"/>
        <item x="20"/>
        <item x="645"/>
        <item x="890"/>
        <item x="722"/>
        <item x="945"/>
        <item x="71"/>
        <item x="156"/>
        <item x="455"/>
        <item x="38"/>
        <item x="87"/>
        <item x="823"/>
        <item x="284"/>
        <item x="635"/>
        <item x="107"/>
        <item x="736"/>
        <item x="523"/>
        <item x="151"/>
        <item x="828"/>
        <item x="900"/>
        <item x="300"/>
        <item x="235"/>
        <item x="741"/>
        <item x="677"/>
        <item x="803"/>
        <item x="57"/>
        <item x="453"/>
        <item x="392"/>
        <item x="406"/>
        <item x="374"/>
        <item x="688"/>
        <item x="255"/>
        <item x="989"/>
        <item x="922"/>
        <item x="982"/>
        <item x="679"/>
        <item x="929"/>
        <item x="891"/>
        <item x="723"/>
        <item x="414"/>
        <item x="443"/>
        <item x="279"/>
        <item x="137"/>
        <item x="133"/>
        <item x="975"/>
        <item x="801"/>
        <item x="247"/>
        <item x="956"/>
        <item x="551"/>
        <item x="0"/>
        <item x="785"/>
        <item x="966"/>
        <item x="556"/>
        <item x="432"/>
        <item x="762"/>
        <item x="281"/>
        <item x="338"/>
        <item x="391"/>
        <item x="126"/>
        <item x="163"/>
        <item x="272"/>
        <item x="789"/>
        <item x="203"/>
        <item x="542"/>
        <item x="400"/>
        <item x="740"/>
        <item x="28"/>
        <item x="735"/>
        <item x="830"/>
        <item x="955"/>
        <item x="545"/>
        <item x="215"/>
        <item x="987"/>
        <item x="171"/>
        <item x="668"/>
        <item x="110"/>
        <item x="321"/>
        <item x="699"/>
        <item x="743"/>
        <item x="236"/>
        <item x="466"/>
        <item x="59"/>
        <item x="846"/>
        <item x="484"/>
        <item x="506"/>
        <item x="761"/>
        <item x="504"/>
        <item x="173"/>
        <item x="41"/>
        <item x="353"/>
        <item x="413"/>
        <item x="499"/>
        <item x="739"/>
        <item x="962"/>
        <item x="672"/>
        <item x="957"/>
        <item x="100"/>
        <item x="252"/>
        <item x="634"/>
        <item x="917"/>
        <item x="384"/>
        <item x="941"/>
        <item x="912"/>
        <item x="444"/>
        <item x="231"/>
        <item x="500"/>
        <item x="106"/>
        <item x="409"/>
        <item x="533"/>
        <item x="935"/>
        <item x="492"/>
        <item x="611"/>
        <item x="961"/>
        <item x="714"/>
        <item x="818"/>
        <item x="114"/>
        <item x="717"/>
        <item x="566"/>
        <item x="597"/>
        <item x="54"/>
        <item x="706"/>
        <item x="326"/>
        <item x="858"/>
        <item x="561"/>
        <item x="491"/>
        <item x="973"/>
        <item x="370"/>
        <item x="274"/>
        <item x="502"/>
        <item x="271"/>
        <item x="964"/>
        <item x="186"/>
        <item x="510"/>
        <item x="825"/>
        <item x="489"/>
        <item x="537"/>
        <item x="31"/>
        <item x="204"/>
        <item x="411"/>
        <item x="526"/>
        <item x="77"/>
        <item x="287"/>
        <item x="981"/>
        <item x="15"/>
        <item x="152"/>
        <item x="7"/>
        <item x="336"/>
        <item x="819"/>
        <item x="854"/>
        <item x="507"/>
        <item x="246"/>
        <item x="829"/>
        <item x="939"/>
        <item x="339"/>
        <item x="856"/>
        <item x="1"/>
        <item x="434"/>
        <item x="52"/>
        <item x="436"/>
        <item x="25"/>
        <item x="174"/>
        <item x="121"/>
        <item x="663"/>
        <item x="873"/>
        <item x="380"/>
        <item x="794"/>
        <item x="465"/>
        <item x="653"/>
        <item x="118"/>
        <item x="721"/>
        <item x="657"/>
        <item x="282"/>
        <item x="415"/>
        <item x="58"/>
        <item x="404"/>
        <item x="864"/>
        <item x="306"/>
        <item x="681"/>
        <item x="11"/>
        <item x="617"/>
        <item x="590"/>
        <item x="295"/>
        <item x="141"/>
        <item x="715"/>
        <item x="459"/>
        <item x="420"/>
        <item x="707"/>
        <item x="559"/>
        <item x="355"/>
        <item x="43"/>
        <item x="144"/>
        <item x="977"/>
        <item x="39"/>
        <item x="446"/>
        <item x="808"/>
        <item x="902"/>
        <item x="516"/>
        <item x="880"/>
        <item x="70"/>
        <item x="230"/>
        <item x="804"/>
        <item x="138"/>
        <item x="843"/>
        <item x="122"/>
        <item x="861"/>
        <item x="749"/>
        <item x="623"/>
        <item x="913"/>
        <item x="398"/>
        <item x="552"/>
        <item x="792"/>
        <item x="793"/>
        <item x="652"/>
        <item x="346"/>
        <item x="725"/>
        <item x="709"/>
        <item x="708"/>
        <item x="923"/>
        <item x="439"/>
        <item x="728"/>
        <item x="373"/>
        <item x="9"/>
        <item x="911"/>
        <item x="50"/>
        <item x="549"/>
        <item x="525"/>
        <item x="226"/>
        <item x="855"/>
        <item x="175"/>
        <item x="811"/>
        <item x="712"/>
        <item x="742"/>
        <item x="882"/>
        <item x="197"/>
        <item x="178"/>
        <item x="650"/>
        <item x="352"/>
        <item x="369"/>
        <item x="328"/>
        <item x="550"/>
        <item x="572"/>
        <item x="219"/>
        <item x="845"/>
        <item x="607"/>
        <item x="18"/>
        <item x="757"/>
        <item x="227"/>
        <item x="638"/>
        <item x="903"/>
        <item x="154"/>
        <item x="325"/>
        <item x="810"/>
        <item x="303"/>
        <item x="702"/>
        <item x="233"/>
        <item x="797"/>
        <item x="863"/>
        <item x="517"/>
        <item x="159"/>
        <item x="102"/>
        <item x="357"/>
        <item x="674"/>
        <item x="664"/>
        <item x="111"/>
        <item x="949"/>
        <item x="852"/>
        <item x="660"/>
        <item x="512"/>
        <item x="636"/>
        <item x="393"/>
        <item x="410"/>
        <item x="344"/>
        <item x="139"/>
        <item x="200"/>
        <item x="10"/>
        <item x="136"/>
        <item x="471"/>
        <item x="428"/>
        <item x="546"/>
        <item x="604"/>
        <item x="412"/>
        <item x="817"/>
        <item x="896"/>
        <item x="47"/>
        <item x="692"/>
        <item x="980"/>
        <item x="387"/>
        <item x="187"/>
        <item x="548"/>
        <item x="529"/>
        <item x="164"/>
        <item x="626"/>
        <item x="158"/>
        <item x="730"/>
        <item x="984"/>
        <item x="686"/>
        <item x="36"/>
        <item x="916"/>
        <item x="82"/>
        <item x="878"/>
        <item x="747"/>
        <item x="127"/>
        <item x="979"/>
        <item x="656"/>
        <item x="820"/>
        <item x="103"/>
        <item x="299"/>
        <item x="976"/>
        <item x="64"/>
        <item x="429"/>
        <item x="16"/>
        <item x="610"/>
        <item x="225"/>
        <item x="554"/>
        <item x="670"/>
        <item x="313"/>
        <item x="682"/>
        <item x="280"/>
        <item x="244"/>
        <item x="463"/>
        <item x="719"/>
        <item x="494"/>
        <item x="951"/>
        <item x="746"/>
        <item x="895"/>
        <item x="372"/>
        <item x="254"/>
        <item x="710"/>
        <item x="4"/>
        <item x="224"/>
        <item x="131"/>
        <item x="847"/>
        <item x="798"/>
        <item x="277"/>
        <item x="330"/>
        <item x="908"/>
        <item x="143"/>
        <item x="421"/>
        <item x="176"/>
        <item x="474"/>
        <item x="632"/>
        <item x="837"/>
        <item x="245"/>
        <item x="870"/>
        <item x="285"/>
        <item x="643"/>
        <item x="206"/>
        <item x="596"/>
        <item x="786"/>
        <item x="405"/>
        <item x="99"/>
        <item x="407"/>
        <item x="424"/>
        <item x="240"/>
        <item x="907"/>
        <item x="751"/>
        <item x="289"/>
        <item x="745"/>
        <item x="759"/>
        <item x="669"/>
        <item x="589"/>
        <item x="242"/>
        <item x="821"/>
        <item x="403"/>
        <item x="270"/>
        <item x="112"/>
        <item x="482"/>
        <item x="986"/>
        <item x="104"/>
        <item x="211"/>
        <item x="275"/>
        <item x="505"/>
        <item x="824"/>
        <item x="594"/>
        <item x="944"/>
        <item x="44"/>
        <item x="194"/>
        <item x="836"/>
        <item x="468"/>
        <item x="918"/>
        <item x="894"/>
        <item x="970"/>
        <item x="202"/>
        <item x="886"/>
        <item x="737"/>
        <item x="932"/>
        <item x="105"/>
        <item x="734"/>
        <item x="511"/>
        <item x="332"/>
        <item x="433"/>
        <item x="210"/>
        <item x="469"/>
        <item x="72"/>
        <item x="565"/>
        <item x="378"/>
        <item x="612"/>
        <item x="63"/>
        <item x="315"/>
        <item x="790"/>
        <item x="750"/>
        <item x="838"/>
        <item x="8"/>
        <item x="732"/>
        <item x="693"/>
        <item x="678"/>
        <item x="21"/>
        <item x="753"/>
        <item x="564"/>
        <item x="641"/>
        <item x="67"/>
        <item x="23"/>
        <item x="213"/>
        <item x="698"/>
        <item x="571"/>
        <item x="96"/>
        <item x="909"/>
        <item x="165"/>
        <item x="345"/>
        <item x="108"/>
        <item x="109"/>
        <item x="101"/>
        <item x="655"/>
        <item x="898"/>
        <item x="24"/>
        <item x="924"/>
        <item x="488"/>
        <item x="705"/>
        <item x="208"/>
        <item x="55"/>
        <item x="796"/>
        <item x="267"/>
        <item x="765"/>
        <item x="580"/>
        <item x="249"/>
        <item x="56"/>
        <item x="417"/>
        <item x="938"/>
        <item x="292"/>
        <item x="662"/>
        <item x="676"/>
        <item x="807"/>
        <item x="969"/>
        <item x="427"/>
        <item x="125"/>
        <item x="644"/>
        <item x="518"/>
        <item x="691"/>
        <item x="198"/>
        <item x="37"/>
        <item x="80"/>
        <item x="49"/>
        <item x="88"/>
        <item x="848"/>
        <item x="812"/>
        <item x="401"/>
        <item x="153"/>
        <item x="486"/>
        <item x="467"/>
        <item x="6"/>
        <item x="3"/>
        <item x="366"/>
        <item x="496"/>
        <item x="340"/>
        <item x="214"/>
        <item x="800"/>
        <item x="478"/>
        <item x="348"/>
        <item x="547"/>
        <item x="696"/>
        <item x="625"/>
        <item x="608"/>
        <item x="729"/>
        <item x="205"/>
        <item x="34"/>
        <item x="148"/>
        <item x="358"/>
        <item x="481"/>
        <item x="927"/>
        <item x="371"/>
        <item x="948"/>
        <item x="603"/>
        <item x="738"/>
        <item x="876"/>
        <item x="334"/>
        <item x="528"/>
        <item x="629"/>
        <item x="487"/>
        <item x="592"/>
        <item x="470"/>
        <item x="124"/>
        <item x="587"/>
        <item x="582"/>
        <item x="437"/>
        <item x="256"/>
        <item x="639"/>
        <item x="146"/>
        <item x="322"/>
        <item x="123"/>
        <item x="79"/>
        <item x="12"/>
        <item x="62"/>
        <item x="563"/>
        <item x="788"/>
        <item x="827"/>
        <item x="588"/>
        <item x="395"/>
        <item x="450"/>
        <item x="162"/>
        <item x="30"/>
        <item x="448"/>
        <item x="261"/>
        <item x="558"/>
        <item x="250"/>
        <item x="599"/>
        <item x="456"/>
        <item x="19"/>
        <item x="229"/>
        <item x="217"/>
        <item x="239"/>
        <item x="83"/>
        <item x="781"/>
        <item x="531"/>
        <item x="899"/>
        <item x="805"/>
        <item x="744"/>
        <item x="61"/>
        <item x="320"/>
        <item x="22"/>
        <item x="223"/>
        <item x="871"/>
        <item x="555"/>
        <item x="33"/>
        <item x="901"/>
        <item x="221"/>
        <item x="521"/>
        <item x="934"/>
        <item x="772"/>
        <item x="27"/>
        <item x="851"/>
        <item x="936"/>
        <item x="860"/>
        <item x="633"/>
        <item x="756"/>
        <item x="222"/>
        <item x="577"/>
        <item x="324"/>
        <item x="376"/>
        <item x="161"/>
        <item x="576"/>
        <item x="877"/>
        <item x="538"/>
        <item x="584"/>
        <item x="713"/>
        <item x="98"/>
        <item x="464"/>
        <item x="585"/>
        <item x="654"/>
        <item x="318"/>
        <item x="147"/>
        <item x="69"/>
        <item x="17"/>
        <item x="968"/>
        <item x="93"/>
        <item x="354"/>
        <item x="319"/>
        <item x="91"/>
        <item x="806"/>
        <item x="461"/>
        <item x="769"/>
        <item x="802"/>
        <item x="815"/>
        <item x="600"/>
        <item x="985"/>
        <item x="536"/>
        <item x="581"/>
        <item x="445"/>
        <item x="930"/>
        <item x="435"/>
        <item x="983"/>
        <item x="850"/>
        <item x="359"/>
        <item x="362"/>
        <item x="181"/>
        <item x="312"/>
        <item x="618"/>
        <item x="273"/>
        <item x="155"/>
        <item x="431"/>
        <item x="128"/>
        <item x="684"/>
        <item x="191"/>
        <item x="422"/>
        <item x="301"/>
        <item x="967"/>
        <item x="865"/>
        <item x="724"/>
        <item x="266"/>
        <item x="347"/>
        <item x="832"/>
        <item x="375"/>
        <item x="238"/>
        <item x="700"/>
        <item x="251"/>
        <item x="799"/>
        <item x="570"/>
        <item x="915"/>
        <item x="752"/>
        <item x="766"/>
        <item x="658"/>
        <item x="323"/>
        <item x="532"/>
        <item x="671"/>
        <item x="988"/>
        <item x="720"/>
        <item x="613"/>
        <item x="172"/>
        <item x="914"/>
        <item x="288"/>
        <item x="475"/>
        <item x="622"/>
        <item x="733"/>
        <item x="212"/>
        <item x="113"/>
        <item x="68"/>
        <item x="134"/>
        <item x="953"/>
        <item x="297"/>
        <item x="145"/>
        <item x="388"/>
        <item x="661"/>
        <item x="477"/>
        <item x="947"/>
        <item x="451"/>
        <item x="129"/>
        <item x="74"/>
        <item x="780"/>
        <item x="425"/>
        <item x="457"/>
        <item x="363"/>
        <item x="839"/>
        <item x="869"/>
        <item x="813"/>
        <item x="90"/>
        <item x="307"/>
        <item x="868"/>
        <item x="950"/>
        <item x="763"/>
        <item x="874"/>
        <item x="642"/>
        <item x="45"/>
        <item x="365"/>
        <item x="574"/>
        <item x="201"/>
        <item x="132"/>
        <item x="253"/>
        <item x="438"/>
        <item x="51"/>
        <item x="573"/>
        <item x="268"/>
        <item x="842"/>
        <item x="595"/>
        <item x="872"/>
        <item x="381"/>
        <item x="35"/>
        <item x="748"/>
        <item x="248"/>
        <item x="782"/>
        <item x="562"/>
        <item x="449"/>
        <item x="628"/>
        <item x="265"/>
        <item x="704"/>
        <item x="419"/>
        <item x="726"/>
        <item x="539"/>
        <item x="349"/>
        <item x="925"/>
        <item x="646"/>
        <item x="311"/>
        <item x="637"/>
        <item x="809"/>
        <item x="627"/>
        <item x="237"/>
        <item x="893"/>
        <item x="351"/>
        <item x="294"/>
        <item x="232"/>
        <item x="774"/>
        <item x="784"/>
        <item x="264"/>
        <item x="775"/>
        <item x="342"/>
        <item x="527"/>
        <item x="791"/>
        <item x="416"/>
        <item x="503"/>
        <item x="508"/>
        <item x="460"/>
        <item x="333"/>
        <item x="647"/>
        <item x="259"/>
        <item x="364"/>
        <item x="498"/>
        <item x="476"/>
        <item x="614"/>
        <item x="615"/>
        <item x="519"/>
        <item x="892"/>
        <item x="716"/>
        <item x="142"/>
        <item x="473"/>
        <item x="189"/>
        <item x="703"/>
        <item x="183"/>
        <item x="937"/>
        <item x="168"/>
        <item x="666"/>
        <item x="601"/>
        <item x="535"/>
        <item x="199"/>
        <item x="116"/>
        <item x="190"/>
        <item x="963"/>
        <item x="166"/>
        <item x="390"/>
        <item x="659"/>
        <item x="835"/>
        <item x="115"/>
        <item x="276"/>
        <item x="889"/>
        <item x="418"/>
        <item x="402"/>
        <item x="442"/>
        <item x="833"/>
        <item x="234"/>
        <item x="606"/>
        <item x="408"/>
        <item x="441"/>
        <item x="241"/>
        <item x="943"/>
        <item x="783"/>
        <item t="default"/>
      </items>
    </pivotField>
    <pivotField showAll="0">
      <items count="122">
        <item x="5"/>
        <item x="69"/>
        <item x="95"/>
        <item x="110"/>
        <item x="106"/>
        <item x="1"/>
        <item x="54"/>
        <item x="91"/>
        <item x="80"/>
        <item x="74"/>
        <item x="96"/>
        <item x="53"/>
        <item x="36"/>
        <item x="2"/>
        <item x="46"/>
        <item x="60"/>
        <item x="14"/>
        <item x="50"/>
        <item x="104"/>
        <item x="37"/>
        <item x="56"/>
        <item x="83"/>
        <item x="19"/>
        <item x="79"/>
        <item x="45"/>
        <item x="78"/>
        <item x="88"/>
        <item x="62"/>
        <item x="119"/>
        <item x="61"/>
        <item x="72"/>
        <item x="117"/>
        <item x="111"/>
        <item x="73"/>
        <item x="6"/>
        <item x="67"/>
        <item x="58"/>
        <item x="26"/>
        <item x="99"/>
        <item x="120"/>
        <item x="9"/>
        <item x="7"/>
        <item x="22"/>
        <item x="89"/>
        <item x="51"/>
        <item x="107"/>
        <item x="13"/>
        <item x="64"/>
        <item x="81"/>
        <item x="103"/>
        <item x="8"/>
        <item x="18"/>
        <item x="43"/>
        <item x="85"/>
        <item x="30"/>
        <item x="105"/>
        <item x="52"/>
        <item x="29"/>
        <item x="65"/>
        <item x="100"/>
        <item x="39"/>
        <item x="35"/>
        <item x="71"/>
        <item x="98"/>
        <item x="3"/>
        <item x="101"/>
        <item x="34"/>
        <item x="102"/>
        <item x="49"/>
        <item x="38"/>
        <item x="23"/>
        <item x="24"/>
        <item x="28"/>
        <item x="31"/>
        <item x="41"/>
        <item x="63"/>
        <item x="108"/>
        <item x="20"/>
        <item x="76"/>
        <item x="59"/>
        <item x="25"/>
        <item x="57"/>
        <item x="27"/>
        <item x="4"/>
        <item x="75"/>
        <item x="55"/>
        <item x="86"/>
        <item x="21"/>
        <item x="66"/>
        <item x="47"/>
        <item x="93"/>
        <item x="11"/>
        <item x="115"/>
        <item x="44"/>
        <item x="90"/>
        <item x="33"/>
        <item x="84"/>
        <item x="40"/>
        <item x="16"/>
        <item x="12"/>
        <item x="97"/>
        <item x="0"/>
        <item x="116"/>
        <item x="15"/>
        <item x="70"/>
        <item x="112"/>
        <item x="17"/>
        <item x="82"/>
        <item x="113"/>
        <item x="87"/>
        <item x="94"/>
        <item x="68"/>
        <item x="42"/>
        <item x="77"/>
        <item x="10"/>
        <item x="48"/>
        <item x="118"/>
        <item x="92"/>
        <item x="114"/>
        <item x="109"/>
        <item x="32"/>
        <item t="default"/>
      </items>
    </pivotField>
    <pivotField axis="axisRow" showAll="0">
      <items count="9">
        <item x="5"/>
        <item x="1"/>
        <item x="4"/>
        <item x="2"/>
        <item x="0"/>
        <item x="3"/>
        <item x="6"/>
        <item x="7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64"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roduct_ID" fld="0" subtotal="count" baseField="0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21F9C-FF54-47BC-A2CC-7666B0A3B5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25">
    <pivotField showAll="0"/>
    <pivotField showAll="0"/>
    <pivotField axis="axisRow" showAll="0">
      <items count="9">
        <item x="5"/>
        <item x="1"/>
        <item x="4"/>
        <item x="2"/>
        <item x="0"/>
        <item x="3"/>
        <item x="6"/>
        <item x="7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Inventory Value" fld="12" baseField="0" baseItem="0" numFmtId="16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3DB29-2C81-4E40-A7F5-8AECD780F8C9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9:B48" firstHeaderRow="1" firstDataRow="1" firstDataCol="1"/>
  <pivotFields count="26">
    <pivotField showAll="0"/>
    <pivotField showAll="0"/>
    <pivotField axis="axisRow" showAll="0">
      <items count="9">
        <item x="5"/>
        <item x="1"/>
        <item x="4"/>
        <item x="2"/>
        <item x="0"/>
        <item x="3"/>
        <item x="6"/>
        <item x="7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64"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Profit" fld="25" baseField="0" baseItem="0" numFmtId="164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5143C-F5C0-4D2E-86E7-BBF2167B6A0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4:B33" firstHeaderRow="1" firstDataRow="1" firstDataCol="1"/>
  <pivotFields count="25">
    <pivotField showAll="0"/>
    <pivotField showAll="0"/>
    <pivotField axis="axisRow" showAll="0">
      <items count="9">
        <item x="5"/>
        <item x="1"/>
        <item x="4"/>
        <item x="2"/>
        <item x="0"/>
        <item x="3"/>
        <item x="6"/>
        <item x="7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64"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Revenue_by_product" fld="22" baseField="0" baseItem="0" numFmtId="164"/>
  </dataFields>
  <chartFormats count="9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6F94F1-301C-480B-AA86-1CE58ED0B4AB}" name="Table1" displayName="Table1" ref="A997:C998" totalsRowShown="0">
  <autoFilter ref="A997:C998" xr:uid="{526F94F1-301C-480B-AA86-1CE58ED0B4AB}"/>
  <tableColumns count="3">
    <tableColumn id="1" xr3:uid="{F10CE8C2-18D1-49E1-B238-C43777F29F10}" name="Inventory Risk Calculation" dataDxfId="9" dataCellStyle="Comma">
      <calculatedColumnFormula>SUMIF(U2:U991,"Expiring Soon",N2:N991)</calculatedColumnFormula>
    </tableColumn>
    <tableColumn id="2" xr3:uid="{9756CE19-B472-488B-9887-3198566FA92C}" name="Inventory Risk %" dataDxfId="8" dataCellStyle="Percent">
      <calculatedColumnFormula>A998/SUM(N2:N991)</calculatedColumnFormula>
    </tableColumn>
    <tableColumn id="3" xr3:uid="{4251FA5A-1BE1-407F-B093-53F122A0338E}" name="Risk_status" dataDxfId="7">
      <calculatedColumnFormula>IF(B998&gt;30%,"High Risk","LowRisk")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EFA5B1-9341-4367-8272-C5B126B9DB91}" name="Table2" displayName="Table2" ref="A1001:B1002" totalsRowShown="0">
  <autoFilter ref="A1001:B1002" xr:uid="{BCEFA5B1-9341-4367-8272-C5B126B9DB91}"/>
  <tableColumns count="2">
    <tableColumn id="1" xr3:uid="{14252295-3FB2-4B38-8536-AE953DE9126F}" name="Reorder Financial Impact Analysis" dataCellStyle="Comma">
      <calculatedColumnFormula>SUMIF(J2:J991,"Require",N2:N991)</calculatedColumnFormula>
    </tableColumn>
    <tableColumn id="2" xr3:uid="{BD368E40-029A-428F-9F31-FFB8A6085662}" name="Percentage Of Capital In Reorder-required items" dataDxfId="6" dataCellStyle="Percent">
      <calculatedColumnFormula>A1002/SUM(N2:N991)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500A45-DD98-4E4B-BF98-29C06E77C081}" name="Table3" displayName="Table3" ref="A1008:C1009" totalsRowShown="0">
  <autoFilter ref="A1008:C1009" xr:uid="{CA500A45-DD98-4E4B-BF98-29C06E77C081}"/>
  <tableColumns count="3">
    <tableColumn id="1" xr3:uid="{8165CC5D-0F00-4CB8-A9FE-705EB07457FA}" name="Total Profit" dataDxfId="5">
      <calculatedColumnFormula>SUM(AA:AA)</calculatedColumnFormula>
    </tableColumn>
    <tableColumn id="2" xr3:uid="{B105F19E-64C7-490A-A647-B36AAB916E01}" name="Total Revenue" dataDxfId="4">
      <calculatedColumnFormula>SUM(X:X)</calculatedColumnFormula>
    </tableColumn>
    <tableColumn id="3" xr3:uid="{9874C55B-5B91-432E-A8D0-4CDB7A3B62CB}" name="Total Profit Margin" dataDxfId="3" dataCellStyle="Percent">
      <calculatedColumnFormula>A1009/B1009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0D1805-2013-4E04-A960-1B7A85494D5F}" name="Table4" displayName="Table4" ref="A3:B10" totalsRowShown="0">
  <autoFilter ref="A3:B10" xr:uid="{640D1805-2013-4E04-A960-1B7A85494D5F}"/>
  <tableColumns count="2">
    <tableColumn id="1" xr3:uid="{95E15718-D592-4BA4-AA69-7EC1D7692485}" name="Column1"/>
    <tableColumn id="2" xr3:uid="{5371BEF3-A219-41D9-A42B-FED13A7FDD5E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4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BF29-B779-4F79-916B-674CCC0D4C3D}">
  <dimension ref="A1:AA1009"/>
  <sheetViews>
    <sheetView topLeftCell="C1" workbookViewId="0">
      <selection activeCell="F5" sqref="F5"/>
    </sheetView>
  </sheetViews>
  <sheetFormatPr defaultRowHeight="14.4" x14ac:dyDescent="0.3"/>
  <cols>
    <col min="1" max="1" width="30.88671875" customWidth="1"/>
    <col min="2" max="2" width="43" customWidth="1"/>
    <col min="3" max="3" width="18.6640625" customWidth="1"/>
    <col min="4" max="4" width="11.33203125" bestFit="1" customWidth="1"/>
    <col min="5" max="5" width="13.44140625" style="13" bestFit="1" customWidth="1"/>
    <col min="6" max="6" width="13.44140625" style="11" customWidth="1"/>
    <col min="7" max="7" width="13.5546875" style="2" bestFit="1" customWidth="1"/>
    <col min="8" max="8" width="12.77734375" bestFit="1" customWidth="1"/>
    <col min="9" max="9" width="15.6640625" bestFit="1" customWidth="1"/>
    <col min="10" max="10" width="15.88671875" bestFit="1" customWidth="1"/>
    <col min="11" max="11" width="29.21875" bestFit="1" customWidth="1"/>
    <col min="12" max="12" width="15.33203125" bestFit="1" customWidth="1"/>
    <col min="13" max="13" width="10.33203125" style="12" bestFit="1" customWidth="1"/>
    <col min="14" max="14" width="13.88671875" bestFit="1" customWidth="1"/>
    <col min="15" max="15" width="13.33203125" bestFit="1" customWidth="1"/>
    <col min="16" max="16" width="15" bestFit="1" customWidth="1"/>
    <col min="17" max="17" width="14.21875" bestFit="1" customWidth="1"/>
    <col min="18" max="18" width="12.21875" bestFit="1" customWidth="1"/>
    <col min="20" max="20" width="14.6640625" bestFit="1" customWidth="1"/>
    <col min="21" max="21" width="14.6640625" customWidth="1"/>
    <col min="22" max="22" width="27.6640625" bestFit="1" customWidth="1"/>
    <col min="23" max="23" width="12.33203125" bestFit="1" customWidth="1"/>
    <col min="24" max="24" width="24.88671875" style="3" bestFit="1" customWidth="1"/>
    <col min="25" max="25" width="22.21875" bestFit="1" customWidth="1"/>
    <col min="26" max="26" width="11.5546875" bestFit="1" customWidth="1"/>
    <col min="27" max="27" width="12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s="13" t="s">
        <v>4</v>
      </c>
      <c r="G1" s="2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2" t="s">
        <v>11</v>
      </c>
      <c r="N1" t="s">
        <v>3478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3477</v>
      </c>
      <c r="V1" t="s">
        <v>18</v>
      </c>
      <c r="W1" t="s">
        <v>19</v>
      </c>
      <c r="X1" s="3" t="s">
        <v>3488</v>
      </c>
      <c r="Y1" t="s">
        <v>20</v>
      </c>
      <c r="Z1" t="s">
        <v>21</v>
      </c>
      <c r="AA1" t="s">
        <v>3491</v>
      </c>
    </row>
    <row r="2" spans="1:27" x14ac:dyDescent="0.3">
      <c r="A2" t="s">
        <v>22</v>
      </c>
      <c r="B2" t="s">
        <v>23</v>
      </c>
      <c r="C2" t="s">
        <v>24</v>
      </c>
      <c r="D2" t="s">
        <v>25</v>
      </c>
      <c r="E2" s="13" t="s">
        <v>26</v>
      </c>
      <c r="F2" s="11">
        <f>SUM(G2:G991)</f>
        <v>55053</v>
      </c>
      <c r="G2" s="2">
        <v>22</v>
      </c>
      <c r="H2">
        <v>72</v>
      </c>
      <c r="I2">
        <v>70</v>
      </c>
      <c r="J2" t="s">
        <v>27</v>
      </c>
      <c r="K2">
        <v>72</v>
      </c>
      <c r="L2" t="s">
        <v>28</v>
      </c>
      <c r="M2" s="12">
        <v>4.5</v>
      </c>
      <c r="N2" s="3">
        <f>G2*M2</f>
        <v>99</v>
      </c>
      <c r="O2" s="1">
        <v>45520</v>
      </c>
      <c r="P2" s="1">
        <v>45472</v>
      </c>
      <c r="Q2" s="1">
        <v>45554</v>
      </c>
      <c r="R2">
        <v>559</v>
      </c>
      <c r="S2">
        <v>607</v>
      </c>
      <c r="T2">
        <v>525</v>
      </c>
      <c r="U2" t="str">
        <f>IF(T2&lt;0,"Expired",IF(T2&lt;=550,"Expiring Soon","Safe"))</f>
        <v>Expiring Soon</v>
      </c>
      <c r="V2" t="s">
        <v>29</v>
      </c>
      <c r="W2">
        <v>32</v>
      </c>
      <c r="X2" s="3">
        <f>W2*N2</f>
        <v>3168</v>
      </c>
      <c r="Y2">
        <v>19</v>
      </c>
      <c r="Z2" t="s">
        <v>30</v>
      </c>
      <c r="AA2" s="3">
        <f>X2-Grocery_Inventory_and_Sales_Dat!N2</f>
        <v>3069</v>
      </c>
    </row>
    <row r="3" spans="1:27" x14ac:dyDescent="0.3">
      <c r="A3" t="s">
        <v>31</v>
      </c>
      <c r="B3" t="s">
        <v>32</v>
      </c>
      <c r="C3" t="s">
        <v>33</v>
      </c>
      <c r="D3" t="s">
        <v>34</v>
      </c>
      <c r="E3" s="13" t="s">
        <v>35</v>
      </c>
      <c r="F3" s="12">
        <f>AVERAGE(M2:M991)</f>
        <v>5.9241919191919186</v>
      </c>
      <c r="G3" s="2">
        <v>45</v>
      </c>
      <c r="H3">
        <v>77</v>
      </c>
      <c r="I3">
        <v>2</v>
      </c>
      <c r="J3" t="s">
        <v>27</v>
      </c>
      <c r="K3">
        <v>77</v>
      </c>
      <c r="L3" t="s">
        <v>28</v>
      </c>
      <c r="M3" s="12">
        <v>20</v>
      </c>
      <c r="N3" s="3">
        <f>G3*M3</f>
        <v>900</v>
      </c>
      <c r="O3" s="1">
        <v>45302</v>
      </c>
      <c r="P3" s="1">
        <v>45441</v>
      </c>
      <c r="Q3" s="1">
        <v>45420</v>
      </c>
      <c r="R3">
        <v>777</v>
      </c>
      <c r="S3">
        <v>638</v>
      </c>
      <c r="T3">
        <v>659</v>
      </c>
      <c r="U3" t="str">
        <f t="shared" ref="U3:U66" si="0">IF(T3&lt;0,"Expired",IF(T3&lt;=550,"Expiring Soon","Safe"))</f>
        <v>Safe</v>
      </c>
      <c r="V3" t="s">
        <v>36</v>
      </c>
      <c r="W3">
        <v>85</v>
      </c>
      <c r="X3" s="3">
        <f t="shared" ref="X3:X66" si="1">W3*N3</f>
        <v>76500</v>
      </c>
      <c r="Y3">
        <v>1</v>
      </c>
      <c r="Z3" t="s">
        <v>30</v>
      </c>
      <c r="AA3" s="3">
        <f>X3-Grocery_Inventory_and_Sales_Dat!N3</f>
        <v>75600</v>
      </c>
    </row>
    <row r="4" spans="1:27" x14ac:dyDescent="0.3">
      <c r="A4" t="s">
        <v>37</v>
      </c>
      <c r="B4" t="s">
        <v>38</v>
      </c>
      <c r="C4" t="s">
        <v>24</v>
      </c>
      <c r="D4" t="s">
        <v>39</v>
      </c>
      <c r="E4" s="13" t="s">
        <v>40</v>
      </c>
      <c r="F4" s="11">
        <f>SUM(W2:W991)</f>
        <v>58336</v>
      </c>
      <c r="G4" s="2">
        <v>30</v>
      </c>
      <c r="H4">
        <v>38</v>
      </c>
      <c r="I4">
        <v>83</v>
      </c>
      <c r="J4" t="s">
        <v>27</v>
      </c>
      <c r="K4">
        <v>38</v>
      </c>
      <c r="L4" t="s">
        <v>41</v>
      </c>
      <c r="M4" s="12">
        <v>6</v>
      </c>
      <c r="N4" s="3">
        <f>G4*M4</f>
        <v>180</v>
      </c>
      <c r="O4" s="1">
        <v>45359</v>
      </c>
      <c r="P4" s="1">
        <v>45571</v>
      </c>
      <c r="Q4" s="1">
        <v>45557</v>
      </c>
      <c r="R4">
        <v>720</v>
      </c>
      <c r="S4">
        <v>508</v>
      </c>
      <c r="T4">
        <v>522</v>
      </c>
      <c r="U4" t="str">
        <f t="shared" si="0"/>
        <v>Expiring Soon</v>
      </c>
      <c r="V4" t="s">
        <v>42</v>
      </c>
      <c r="W4">
        <v>31</v>
      </c>
      <c r="X4" s="3">
        <f t="shared" si="1"/>
        <v>5580</v>
      </c>
      <c r="Y4">
        <v>34</v>
      </c>
      <c r="Z4" t="s">
        <v>43</v>
      </c>
      <c r="AA4" s="3">
        <f>X4-Grocery_Inventory_and_Sales_Dat!N4</f>
        <v>5400</v>
      </c>
    </row>
    <row r="5" spans="1:27" x14ac:dyDescent="0.3">
      <c r="A5" t="s">
        <v>44</v>
      </c>
      <c r="B5" t="s">
        <v>45</v>
      </c>
      <c r="C5" t="s">
        <v>24</v>
      </c>
      <c r="D5" t="s">
        <v>46</v>
      </c>
      <c r="E5" s="13" t="s">
        <v>47</v>
      </c>
      <c r="G5" s="2">
        <v>12</v>
      </c>
      <c r="H5">
        <v>59</v>
      </c>
      <c r="I5">
        <v>62</v>
      </c>
      <c r="J5" t="s">
        <v>27</v>
      </c>
      <c r="K5">
        <v>59</v>
      </c>
      <c r="L5" t="s">
        <v>41</v>
      </c>
      <c r="M5" s="12">
        <v>1.5</v>
      </c>
      <c r="N5" s="3">
        <f>G5*M5</f>
        <v>18</v>
      </c>
      <c r="O5" s="1">
        <v>45516</v>
      </c>
      <c r="P5" s="1">
        <v>45707</v>
      </c>
      <c r="Q5" s="1">
        <v>45399</v>
      </c>
      <c r="R5">
        <v>563</v>
      </c>
      <c r="S5">
        <v>372</v>
      </c>
      <c r="T5">
        <v>680</v>
      </c>
      <c r="U5" t="str">
        <f t="shared" si="0"/>
        <v>Safe</v>
      </c>
      <c r="V5" t="s">
        <v>48</v>
      </c>
      <c r="W5">
        <v>95</v>
      </c>
      <c r="X5" s="3">
        <f t="shared" si="1"/>
        <v>1710</v>
      </c>
      <c r="Y5">
        <v>99</v>
      </c>
      <c r="Z5" t="s">
        <v>49</v>
      </c>
      <c r="AA5" s="3">
        <f>X5-Grocery_Inventory_and_Sales_Dat!N5</f>
        <v>1692</v>
      </c>
    </row>
    <row r="6" spans="1:27" x14ac:dyDescent="0.3">
      <c r="A6" t="s">
        <v>50</v>
      </c>
      <c r="B6" t="s">
        <v>51</v>
      </c>
      <c r="C6" t="s">
        <v>52</v>
      </c>
      <c r="D6" t="s">
        <v>53</v>
      </c>
      <c r="E6" s="13" t="s">
        <v>54</v>
      </c>
      <c r="G6" s="2">
        <v>37</v>
      </c>
      <c r="H6">
        <v>30</v>
      </c>
      <c r="I6">
        <v>74</v>
      </c>
      <c r="J6" t="s">
        <v>55</v>
      </c>
      <c r="K6">
        <v>0</v>
      </c>
      <c r="L6" t="s">
        <v>41</v>
      </c>
      <c r="M6" s="12">
        <v>4</v>
      </c>
      <c r="N6" s="3">
        <f>G6*M6</f>
        <v>148</v>
      </c>
      <c r="O6" s="1">
        <v>45358</v>
      </c>
      <c r="P6" s="1">
        <v>45606</v>
      </c>
      <c r="Q6" s="1">
        <v>45570</v>
      </c>
      <c r="R6">
        <v>721</v>
      </c>
      <c r="S6">
        <v>473</v>
      </c>
      <c r="T6">
        <v>509</v>
      </c>
      <c r="U6" t="str">
        <f t="shared" si="0"/>
        <v>Expiring Soon</v>
      </c>
      <c r="V6" t="s">
        <v>56</v>
      </c>
      <c r="W6">
        <v>62</v>
      </c>
      <c r="X6" s="3">
        <f t="shared" si="1"/>
        <v>9176</v>
      </c>
      <c r="Y6">
        <v>25</v>
      </c>
      <c r="Z6" t="s">
        <v>43</v>
      </c>
      <c r="AA6" s="3">
        <f>X6-Grocery_Inventory_and_Sales_Dat!N6</f>
        <v>9028</v>
      </c>
    </row>
    <row r="7" spans="1:27" x14ac:dyDescent="0.3">
      <c r="A7" t="s">
        <v>57</v>
      </c>
      <c r="B7" t="s">
        <v>58</v>
      </c>
      <c r="C7" t="s">
        <v>24</v>
      </c>
      <c r="D7" t="s">
        <v>59</v>
      </c>
      <c r="E7" s="13" t="s">
        <v>60</v>
      </c>
      <c r="G7" s="2">
        <v>55</v>
      </c>
      <c r="H7">
        <v>33</v>
      </c>
      <c r="I7">
        <v>14</v>
      </c>
      <c r="J7" t="s">
        <v>55</v>
      </c>
      <c r="K7">
        <v>0</v>
      </c>
      <c r="L7" t="s">
        <v>41</v>
      </c>
      <c r="M7" s="12">
        <v>1.75</v>
      </c>
      <c r="N7" s="3">
        <f>G7*M7</f>
        <v>96.25</v>
      </c>
      <c r="O7" s="1">
        <v>45363</v>
      </c>
      <c r="P7" s="1">
        <v>45438</v>
      </c>
      <c r="Q7" s="1">
        <v>45540</v>
      </c>
      <c r="R7">
        <v>716</v>
      </c>
      <c r="S7">
        <v>641</v>
      </c>
      <c r="T7">
        <v>539</v>
      </c>
      <c r="U7" t="str">
        <f t="shared" si="0"/>
        <v>Expiring Soon</v>
      </c>
      <c r="V7" t="s">
        <v>61</v>
      </c>
      <c r="W7">
        <v>34</v>
      </c>
      <c r="X7" s="3">
        <f t="shared" si="1"/>
        <v>3272.5</v>
      </c>
      <c r="Y7">
        <v>62</v>
      </c>
      <c r="Z7" t="s">
        <v>30</v>
      </c>
      <c r="AA7" s="3">
        <f>X7-Grocery_Inventory_and_Sales_Dat!N7</f>
        <v>3176.25</v>
      </c>
    </row>
    <row r="8" spans="1:27" x14ac:dyDescent="0.3">
      <c r="A8" t="s">
        <v>62</v>
      </c>
      <c r="B8" t="s">
        <v>63</v>
      </c>
      <c r="C8" t="s">
        <v>64</v>
      </c>
      <c r="D8" t="s">
        <v>65</v>
      </c>
      <c r="E8" s="13" t="s">
        <v>66</v>
      </c>
      <c r="G8" s="2">
        <v>96</v>
      </c>
      <c r="H8">
        <v>52</v>
      </c>
      <c r="I8">
        <v>16</v>
      </c>
      <c r="J8" t="s">
        <v>55</v>
      </c>
      <c r="K8">
        <v>0</v>
      </c>
      <c r="L8" t="s">
        <v>41</v>
      </c>
      <c r="M8" s="12">
        <v>2.5</v>
      </c>
      <c r="N8" s="3">
        <f>G8*M8</f>
        <v>240</v>
      </c>
      <c r="O8" s="1">
        <v>45369</v>
      </c>
      <c r="P8" s="1">
        <v>45478</v>
      </c>
      <c r="Q8" s="1">
        <v>45463</v>
      </c>
      <c r="R8">
        <v>710</v>
      </c>
      <c r="S8">
        <v>601</v>
      </c>
      <c r="T8">
        <v>616</v>
      </c>
      <c r="U8" t="str">
        <f t="shared" si="0"/>
        <v>Safe</v>
      </c>
      <c r="V8" t="s">
        <v>67</v>
      </c>
      <c r="W8">
        <v>67</v>
      </c>
      <c r="X8" s="3">
        <f t="shared" si="1"/>
        <v>16080</v>
      </c>
      <c r="Y8">
        <v>13</v>
      </c>
      <c r="Z8" t="s">
        <v>49</v>
      </c>
      <c r="AA8" s="3">
        <f>X8-Grocery_Inventory_and_Sales_Dat!N8</f>
        <v>15840</v>
      </c>
    </row>
    <row r="9" spans="1:27" x14ac:dyDescent="0.3">
      <c r="A9" t="s">
        <v>68</v>
      </c>
      <c r="B9" t="s">
        <v>69</v>
      </c>
      <c r="C9" t="s">
        <v>70</v>
      </c>
      <c r="D9" t="s">
        <v>71</v>
      </c>
      <c r="E9" s="13" t="s">
        <v>72</v>
      </c>
      <c r="G9" s="2">
        <v>44</v>
      </c>
      <c r="H9">
        <v>90</v>
      </c>
      <c r="I9">
        <v>17</v>
      </c>
      <c r="J9" t="s">
        <v>27</v>
      </c>
      <c r="K9">
        <v>90</v>
      </c>
      <c r="L9" t="s">
        <v>28</v>
      </c>
      <c r="M9" s="12">
        <v>2.5</v>
      </c>
      <c r="N9" s="3">
        <f>G9*M9</f>
        <v>110</v>
      </c>
      <c r="O9" s="1">
        <v>45718</v>
      </c>
      <c r="P9" s="1">
        <v>45539</v>
      </c>
      <c r="Q9" s="1">
        <v>45693</v>
      </c>
      <c r="R9">
        <v>361</v>
      </c>
      <c r="S9">
        <v>540</v>
      </c>
      <c r="T9">
        <v>386</v>
      </c>
      <c r="U9" t="str">
        <f t="shared" si="0"/>
        <v>Expiring Soon</v>
      </c>
      <c r="V9" t="s">
        <v>73</v>
      </c>
      <c r="W9">
        <v>21</v>
      </c>
      <c r="X9" s="3">
        <f t="shared" si="1"/>
        <v>2310</v>
      </c>
      <c r="Y9">
        <v>91</v>
      </c>
      <c r="Z9" t="s">
        <v>30</v>
      </c>
      <c r="AA9" s="3">
        <f>X9-Grocery_Inventory_and_Sales_Dat!N9</f>
        <v>2200</v>
      </c>
    </row>
    <row r="10" spans="1:27" x14ac:dyDescent="0.3">
      <c r="A10" t="s">
        <v>74</v>
      </c>
      <c r="B10" t="s">
        <v>75</v>
      </c>
      <c r="C10" t="s">
        <v>70</v>
      </c>
      <c r="D10" t="s">
        <v>76</v>
      </c>
      <c r="E10" s="13" t="s">
        <v>77</v>
      </c>
      <c r="G10" s="2">
        <v>91</v>
      </c>
      <c r="H10">
        <v>84</v>
      </c>
      <c r="I10">
        <v>11</v>
      </c>
      <c r="J10" t="s">
        <v>55</v>
      </c>
      <c r="K10">
        <v>0</v>
      </c>
      <c r="L10" t="s">
        <v>41</v>
      </c>
      <c r="M10" s="12">
        <v>3</v>
      </c>
      <c r="N10" s="3">
        <f>G10*M10</f>
        <v>273</v>
      </c>
      <c r="O10" s="1">
        <v>45394</v>
      </c>
      <c r="P10" s="1">
        <v>45328</v>
      </c>
      <c r="Q10" s="1">
        <v>45665</v>
      </c>
      <c r="R10">
        <v>685</v>
      </c>
      <c r="S10">
        <v>751</v>
      </c>
      <c r="T10">
        <v>414</v>
      </c>
      <c r="U10" t="str">
        <f t="shared" si="0"/>
        <v>Expiring Soon</v>
      </c>
      <c r="V10" t="s">
        <v>78</v>
      </c>
      <c r="W10">
        <v>56</v>
      </c>
      <c r="X10" s="3">
        <f t="shared" si="1"/>
        <v>15288</v>
      </c>
      <c r="Y10">
        <v>90</v>
      </c>
      <c r="Z10" t="s">
        <v>49</v>
      </c>
      <c r="AA10" s="3">
        <f>X10-Grocery_Inventory_and_Sales_Dat!N10</f>
        <v>15015</v>
      </c>
    </row>
    <row r="11" spans="1:27" x14ac:dyDescent="0.3">
      <c r="A11" t="s">
        <v>79</v>
      </c>
      <c r="B11" t="s">
        <v>80</v>
      </c>
      <c r="C11" t="s">
        <v>70</v>
      </c>
      <c r="D11" t="s">
        <v>81</v>
      </c>
      <c r="E11" s="13" t="s">
        <v>82</v>
      </c>
      <c r="G11" s="2">
        <v>43</v>
      </c>
      <c r="H11">
        <v>10</v>
      </c>
      <c r="I11">
        <v>15</v>
      </c>
      <c r="J11" t="s">
        <v>55</v>
      </c>
      <c r="K11">
        <v>0</v>
      </c>
      <c r="L11" t="s">
        <v>41</v>
      </c>
      <c r="M11" s="12">
        <v>1</v>
      </c>
      <c r="N11" s="3">
        <f>G11*M11</f>
        <v>43</v>
      </c>
      <c r="O11" s="1">
        <v>45614</v>
      </c>
      <c r="P11" s="1">
        <v>45610</v>
      </c>
      <c r="Q11" s="1">
        <v>45481</v>
      </c>
      <c r="R11">
        <v>465</v>
      </c>
      <c r="S11">
        <v>469</v>
      </c>
      <c r="T11">
        <v>598</v>
      </c>
      <c r="U11" t="str">
        <f t="shared" si="0"/>
        <v>Safe</v>
      </c>
      <c r="V11" t="s">
        <v>83</v>
      </c>
      <c r="W11">
        <v>27</v>
      </c>
      <c r="X11" s="3">
        <f t="shared" si="1"/>
        <v>1161</v>
      </c>
      <c r="Y11">
        <v>69</v>
      </c>
      <c r="Z11" t="s">
        <v>49</v>
      </c>
      <c r="AA11" s="3">
        <f>X11-Grocery_Inventory_and_Sales_Dat!N11</f>
        <v>1118</v>
      </c>
    </row>
    <row r="12" spans="1:27" x14ac:dyDescent="0.3">
      <c r="A12" t="s">
        <v>84</v>
      </c>
      <c r="B12" t="s">
        <v>45</v>
      </c>
      <c r="C12" t="s">
        <v>24</v>
      </c>
      <c r="D12" t="s">
        <v>85</v>
      </c>
      <c r="E12" s="13" t="s">
        <v>86</v>
      </c>
      <c r="G12" s="2">
        <v>62</v>
      </c>
      <c r="H12">
        <v>81</v>
      </c>
      <c r="I12">
        <v>91</v>
      </c>
      <c r="J12" t="s">
        <v>27</v>
      </c>
      <c r="K12">
        <v>81</v>
      </c>
      <c r="L12" t="s">
        <v>28</v>
      </c>
      <c r="M12" s="12">
        <v>1.6</v>
      </c>
      <c r="N12" s="3">
        <f>G12*M12</f>
        <v>99.2</v>
      </c>
      <c r="O12" s="1">
        <v>45644</v>
      </c>
      <c r="P12" s="1">
        <v>45436</v>
      </c>
      <c r="Q12" s="1">
        <v>45664</v>
      </c>
      <c r="R12">
        <v>435</v>
      </c>
      <c r="S12">
        <v>643</v>
      </c>
      <c r="T12">
        <v>415</v>
      </c>
      <c r="U12" t="str">
        <f t="shared" si="0"/>
        <v>Expiring Soon</v>
      </c>
      <c r="V12" t="s">
        <v>87</v>
      </c>
      <c r="W12">
        <v>100</v>
      </c>
      <c r="X12" s="3">
        <f t="shared" si="1"/>
        <v>9920</v>
      </c>
      <c r="Y12">
        <v>42</v>
      </c>
      <c r="Z12" t="s">
        <v>30</v>
      </c>
      <c r="AA12" s="3">
        <f>X12-Grocery_Inventory_and_Sales_Dat!N12</f>
        <v>9820.7999999999993</v>
      </c>
    </row>
    <row r="13" spans="1:27" x14ac:dyDescent="0.3">
      <c r="A13" t="s">
        <v>88</v>
      </c>
      <c r="B13" t="s">
        <v>89</v>
      </c>
      <c r="C13" t="s">
        <v>24</v>
      </c>
      <c r="D13" t="s">
        <v>90</v>
      </c>
      <c r="E13" s="13" t="s">
        <v>91</v>
      </c>
      <c r="G13" s="2">
        <v>91</v>
      </c>
      <c r="H13">
        <v>98</v>
      </c>
      <c r="I13">
        <v>6</v>
      </c>
      <c r="J13" t="s">
        <v>27</v>
      </c>
      <c r="K13">
        <v>98</v>
      </c>
      <c r="L13" t="s">
        <v>28</v>
      </c>
      <c r="M13" s="12">
        <v>2</v>
      </c>
      <c r="N13" s="3">
        <f>G13*M13</f>
        <v>182</v>
      </c>
      <c r="O13" s="1">
        <v>45584</v>
      </c>
      <c r="P13" s="1">
        <v>45608</v>
      </c>
      <c r="Q13" s="1">
        <v>45579</v>
      </c>
      <c r="R13">
        <v>495</v>
      </c>
      <c r="S13">
        <v>471</v>
      </c>
      <c r="T13">
        <v>500</v>
      </c>
      <c r="U13" t="str">
        <f t="shared" si="0"/>
        <v>Expiring Soon</v>
      </c>
      <c r="V13" t="s">
        <v>92</v>
      </c>
      <c r="W13">
        <v>100</v>
      </c>
      <c r="X13" s="3">
        <f t="shared" si="1"/>
        <v>18200</v>
      </c>
      <c r="Y13">
        <v>20</v>
      </c>
      <c r="Z13" t="s">
        <v>43</v>
      </c>
      <c r="AA13" s="3">
        <f>X13-Grocery_Inventory_and_Sales_Dat!N13</f>
        <v>18018</v>
      </c>
    </row>
    <row r="14" spans="1:27" x14ac:dyDescent="0.3">
      <c r="A14" t="s">
        <v>93</v>
      </c>
      <c r="B14" t="s">
        <v>94</v>
      </c>
      <c r="C14" t="s">
        <v>95</v>
      </c>
      <c r="D14" t="s">
        <v>96</v>
      </c>
      <c r="E14" s="13" t="s">
        <v>97</v>
      </c>
      <c r="G14" s="2">
        <v>26</v>
      </c>
      <c r="H14">
        <v>79</v>
      </c>
      <c r="I14">
        <v>31</v>
      </c>
      <c r="J14" t="s">
        <v>27</v>
      </c>
      <c r="K14">
        <v>79</v>
      </c>
      <c r="L14" t="s">
        <v>28</v>
      </c>
      <c r="M14" s="12">
        <v>3</v>
      </c>
      <c r="N14" s="3">
        <f>G14*M14</f>
        <v>78</v>
      </c>
      <c r="O14" s="1">
        <v>45639</v>
      </c>
      <c r="P14" s="1">
        <v>45902</v>
      </c>
      <c r="Q14" s="1">
        <v>45491</v>
      </c>
      <c r="R14">
        <v>440</v>
      </c>
      <c r="S14">
        <v>177</v>
      </c>
      <c r="T14">
        <v>588</v>
      </c>
      <c r="U14" t="str">
        <f t="shared" si="0"/>
        <v>Safe</v>
      </c>
      <c r="V14" t="s">
        <v>98</v>
      </c>
      <c r="W14">
        <v>47</v>
      </c>
      <c r="X14" s="3">
        <f t="shared" si="1"/>
        <v>3666</v>
      </c>
      <c r="Y14">
        <v>41</v>
      </c>
      <c r="Z14" t="s">
        <v>30</v>
      </c>
      <c r="AA14" s="3">
        <f>X14-Grocery_Inventory_and_Sales_Dat!N14</f>
        <v>3588</v>
      </c>
    </row>
    <row r="15" spans="1:27" x14ac:dyDescent="0.3">
      <c r="A15" t="s">
        <v>99</v>
      </c>
      <c r="B15" t="s">
        <v>51</v>
      </c>
      <c r="C15" t="s">
        <v>52</v>
      </c>
      <c r="D15" t="s">
        <v>100</v>
      </c>
      <c r="E15" s="13" t="s">
        <v>101</v>
      </c>
      <c r="G15" s="2">
        <v>95</v>
      </c>
      <c r="H15">
        <v>50</v>
      </c>
      <c r="I15">
        <v>76</v>
      </c>
      <c r="J15" t="s">
        <v>55</v>
      </c>
      <c r="K15">
        <v>0</v>
      </c>
      <c r="L15" t="s">
        <v>41</v>
      </c>
      <c r="M15" s="12">
        <v>4</v>
      </c>
      <c r="N15" s="3">
        <f>G15*M15</f>
        <v>380</v>
      </c>
      <c r="O15" s="1">
        <v>45416</v>
      </c>
      <c r="P15" s="1">
        <v>45556</v>
      </c>
      <c r="Q15" s="1">
        <v>45418</v>
      </c>
      <c r="R15">
        <v>663</v>
      </c>
      <c r="S15">
        <v>523</v>
      </c>
      <c r="T15">
        <v>661</v>
      </c>
      <c r="U15" t="str">
        <f t="shared" si="0"/>
        <v>Safe</v>
      </c>
      <c r="V15" t="s">
        <v>102</v>
      </c>
      <c r="W15">
        <v>69</v>
      </c>
      <c r="X15" s="3">
        <f t="shared" si="1"/>
        <v>26220</v>
      </c>
      <c r="Y15">
        <v>5</v>
      </c>
      <c r="Z15" t="s">
        <v>49</v>
      </c>
      <c r="AA15" s="3">
        <f>X15-Grocery_Inventory_and_Sales_Dat!N15</f>
        <v>25840</v>
      </c>
    </row>
    <row r="16" spans="1:27" x14ac:dyDescent="0.3">
      <c r="A16" t="s">
        <v>103</v>
      </c>
      <c r="B16" t="s">
        <v>104</v>
      </c>
      <c r="C16" t="s">
        <v>52</v>
      </c>
      <c r="D16" t="s">
        <v>105</v>
      </c>
      <c r="E16" s="13" t="s">
        <v>106</v>
      </c>
      <c r="G16" s="2">
        <v>54</v>
      </c>
      <c r="H16">
        <v>26</v>
      </c>
      <c r="I16">
        <v>16</v>
      </c>
      <c r="J16" t="s">
        <v>55</v>
      </c>
      <c r="K16">
        <v>0</v>
      </c>
      <c r="L16" t="s">
        <v>41</v>
      </c>
      <c r="M16" s="12">
        <v>6</v>
      </c>
      <c r="N16" s="3">
        <f>G16*M16</f>
        <v>324</v>
      </c>
      <c r="O16" s="1">
        <v>45599</v>
      </c>
      <c r="P16" s="1">
        <v>45473</v>
      </c>
      <c r="Q16" s="1">
        <v>45457</v>
      </c>
      <c r="R16">
        <v>480</v>
      </c>
      <c r="S16">
        <v>606</v>
      </c>
      <c r="T16">
        <v>622</v>
      </c>
      <c r="U16" t="str">
        <f t="shared" si="0"/>
        <v>Safe</v>
      </c>
      <c r="V16" t="s">
        <v>107</v>
      </c>
      <c r="W16">
        <v>63</v>
      </c>
      <c r="X16" s="3">
        <f t="shared" si="1"/>
        <v>20412</v>
      </c>
      <c r="Y16">
        <v>97</v>
      </c>
      <c r="Z16" t="s">
        <v>49</v>
      </c>
      <c r="AA16" s="3">
        <f>X16-Grocery_Inventory_and_Sales_Dat!N16</f>
        <v>20088</v>
      </c>
    </row>
    <row r="17" spans="1:27" x14ac:dyDescent="0.3">
      <c r="A17" t="s">
        <v>108</v>
      </c>
      <c r="B17" t="s">
        <v>109</v>
      </c>
      <c r="C17" t="s">
        <v>70</v>
      </c>
      <c r="D17" t="s">
        <v>110</v>
      </c>
      <c r="E17" s="13" t="s">
        <v>111</v>
      </c>
      <c r="G17" s="2">
        <v>94</v>
      </c>
      <c r="H17">
        <v>13</v>
      </c>
      <c r="I17">
        <v>15</v>
      </c>
      <c r="J17" t="s">
        <v>55</v>
      </c>
      <c r="K17">
        <v>0</v>
      </c>
      <c r="L17" t="s">
        <v>41</v>
      </c>
      <c r="M17" s="12">
        <v>7</v>
      </c>
      <c r="N17" s="3">
        <f>G17*M17</f>
        <v>658</v>
      </c>
      <c r="O17" s="1">
        <v>45349</v>
      </c>
      <c r="P17" s="1">
        <v>45326</v>
      </c>
      <c r="Q17" s="1">
        <v>45570</v>
      </c>
      <c r="R17">
        <v>730</v>
      </c>
      <c r="S17">
        <v>753</v>
      </c>
      <c r="T17">
        <v>509</v>
      </c>
      <c r="U17" t="str">
        <f t="shared" si="0"/>
        <v>Expiring Soon</v>
      </c>
      <c r="V17" t="s">
        <v>112</v>
      </c>
      <c r="W17">
        <v>20</v>
      </c>
      <c r="X17" s="3">
        <f t="shared" si="1"/>
        <v>13160</v>
      </c>
      <c r="Y17">
        <v>24</v>
      </c>
      <c r="Z17" t="s">
        <v>43</v>
      </c>
      <c r="AA17" s="3">
        <f>X17-Grocery_Inventory_and_Sales_Dat!N17</f>
        <v>12502</v>
      </c>
    </row>
    <row r="18" spans="1:27" x14ac:dyDescent="0.3">
      <c r="A18" t="s">
        <v>113</v>
      </c>
      <c r="B18" t="s">
        <v>114</v>
      </c>
      <c r="C18" t="s">
        <v>24</v>
      </c>
      <c r="D18" t="s">
        <v>115</v>
      </c>
      <c r="E18" s="13" t="s">
        <v>116</v>
      </c>
      <c r="G18" s="2">
        <v>27</v>
      </c>
      <c r="H18">
        <v>93</v>
      </c>
      <c r="I18">
        <v>88</v>
      </c>
      <c r="J18" t="s">
        <v>27</v>
      </c>
      <c r="K18">
        <v>93</v>
      </c>
      <c r="L18" t="s">
        <v>28</v>
      </c>
      <c r="M18" s="12">
        <v>1.5</v>
      </c>
      <c r="N18" s="3">
        <f>G18*M18</f>
        <v>40.5</v>
      </c>
      <c r="O18" s="1">
        <v>45612</v>
      </c>
      <c r="P18" s="1">
        <v>45538</v>
      </c>
      <c r="Q18" s="1">
        <v>45387</v>
      </c>
      <c r="R18">
        <v>467</v>
      </c>
      <c r="S18">
        <v>541</v>
      </c>
      <c r="T18">
        <v>692</v>
      </c>
      <c r="U18" t="str">
        <f t="shared" si="0"/>
        <v>Safe</v>
      </c>
      <c r="V18" t="s">
        <v>117</v>
      </c>
      <c r="W18">
        <v>66</v>
      </c>
      <c r="X18" s="3">
        <f t="shared" si="1"/>
        <v>2673</v>
      </c>
      <c r="Y18">
        <v>13</v>
      </c>
      <c r="Z18" t="s">
        <v>49</v>
      </c>
      <c r="AA18" s="3">
        <f>X18-Grocery_Inventory_and_Sales_Dat!N18</f>
        <v>2632.5</v>
      </c>
    </row>
    <row r="19" spans="1:27" x14ac:dyDescent="0.3">
      <c r="A19" t="s">
        <v>118</v>
      </c>
      <c r="B19" t="s">
        <v>119</v>
      </c>
      <c r="C19" t="s">
        <v>70</v>
      </c>
      <c r="D19" t="s">
        <v>120</v>
      </c>
      <c r="E19" s="13" t="s">
        <v>121</v>
      </c>
      <c r="G19" s="2">
        <v>49</v>
      </c>
      <c r="H19">
        <v>49</v>
      </c>
      <c r="I19">
        <v>26</v>
      </c>
      <c r="J19" t="s">
        <v>27</v>
      </c>
      <c r="K19">
        <v>49</v>
      </c>
      <c r="L19" t="s">
        <v>41</v>
      </c>
      <c r="M19" s="12">
        <v>8</v>
      </c>
      <c r="N19" s="3">
        <f>G19*M19</f>
        <v>392</v>
      </c>
      <c r="O19" s="1">
        <v>45574</v>
      </c>
      <c r="P19" s="1">
        <v>45431</v>
      </c>
      <c r="Q19" s="1">
        <v>45474</v>
      </c>
      <c r="R19">
        <v>505</v>
      </c>
      <c r="S19">
        <v>648</v>
      </c>
      <c r="T19">
        <v>605</v>
      </c>
      <c r="U19" t="str">
        <f t="shared" si="0"/>
        <v>Safe</v>
      </c>
      <c r="V19" t="s">
        <v>122</v>
      </c>
      <c r="W19">
        <v>78</v>
      </c>
      <c r="X19" s="3">
        <f t="shared" si="1"/>
        <v>30576</v>
      </c>
      <c r="Y19">
        <v>61</v>
      </c>
      <c r="Z19" t="s">
        <v>30</v>
      </c>
      <c r="AA19" s="3">
        <f>X19-Grocery_Inventory_and_Sales_Dat!N19</f>
        <v>30184</v>
      </c>
    </row>
    <row r="20" spans="1:27" x14ac:dyDescent="0.3">
      <c r="A20" t="s">
        <v>123</v>
      </c>
      <c r="B20" t="s">
        <v>32</v>
      </c>
      <c r="C20" t="s">
        <v>33</v>
      </c>
      <c r="D20" t="s">
        <v>124</v>
      </c>
      <c r="E20" s="13" t="s">
        <v>125</v>
      </c>
      <c r="G20" s="2">
        <v>55</v>
      </c>
      <c r="H20">
        <v>93</v>
      </c>
      <c r="I20">
        <v>84</v>
      </c>
      <c r="J20" t="s">
        <v>27</v>
      </c>
      <c r="K20">
        <v>93</v>
      </c>
      <c r="L20" t="s">
        <v>28</v>
      </c>
      <c r="M20" s="12">
        <v>20</v>
      </c>
      <c r="N20" s="3">
        <f>G20*M20</f>
        <v>1100</v>
      </c>
      <c r="O20" s="1">
        <v>45441</v>
      </c>
      <c r="P20" s="1">
        <v>45515</v>
      </c>
      <c r="Q20" s="1">
        <v>45417</v>
      </c>
      <c r="R20">
        <v>638</v>
      </c>
      <c r="S20">
        <v>564</v>
      </c>
      <c r="T20">
        <v>662</v>
      </c>
      <c r="U20" t="str">
        <f t="shared" si="0"/>
        <v>Safe</v>
      </c>
      <c r="V20" t="s">
        <v>126</v>
      </c>
      <c r="W20">
        <v>46</v>
      </c>
      <c r="X20" s="3">
        <f t="shared" si="1"/>
        <v>50600</v>
      </c>
      <c r="Y20">
        <v>84</v>
      </c>
      <c r="Z20" t="s">
        <v>49</v>
      </c>
      <c r="AA20" s="3">
        <f>X20-Grocery_Inventory_and_Sales_Dat!N20</f>
        <v>49500</v>
      </c>
    </row>
    <row r="21" spans="1:27" x14ac:dyDescent="0.3">
      <c r="A21" t="s">
        <v>127</v>
      </c>
      <c r="B21" t="s">
        <v>89</v>
      </c>
      <c r="C21" t="s">
        <v>24</v>
      </c>
      <c r="D21" t="s">
        <v>128</v>
      </c>
      <c r="E21" s="13" t="s">
        <v>129</v>
      </c>
      <c r="G21" s="2">
        <v>65</v>
      </c>
      <c r="H21">
        <v>61</v>
      </c>
      <c r="I21">
        <v>82</v>
      </c>
      <c r="J21" t="s">
        <v>55</v>
      </c>
      <c r="K21">
        <v>0</v>
      </c>
      <c r="L21" t="s">
        <v>41</v>
      </c>
      <c r="M21" s="12">
        <v>2</v>
      </c>
      <c r="N21" s="3">
        <f>G21*M21</f>
        <v>130</v>
      </c>
      <c r="O21" s="1">
        <v>45443</v>
      </c>
      <c r="P21" s="1">
        <v>45871</v>
      </c>
      <c r="Q21" s="1">
        <v>45654</v>
      </c>
      <c r="R21">
        <v>636</v>
      </c>
      <c r="S21">
        <v>208</v>
      </c>
      <c r="T21">
        <v>425</v>
      </c>
      <c r="U21" t="str">
        <f t="shared" si="0"/>
        <v>Expiring Soon</v>
      </c>
      <c r="V21" t="s">
        <v>130</v>
      </c>
      <c r="W21">
        <v>29</v>
      </c>
      <c r="X21" s="3">
        <f t="shared" si="1"/>
        <v>3770</v>
      </c>
      <c r="Y21">
        <v>11</v>
      </c>
      <c r="Z21" t="s">
        <v>43</v>
      </c>
      <c r="AA21" s="3">
        <f>X21-Grocery_Inventory_and_Sales_Dat!N21</f>
        <v>3640</v>
      </c>
    </row>
    <row r="22" spans="1:27" x14ac:dyDescent="0.3">
      <c r="A22" t="s">
        <v>131</v>
      </c>
      <c r="B22" t="s">
        <v>132</v>
      </c>
      <c r="C22" t="s">
        <v>52</v>
      </c>
      <c r="D22" t="s">
        <v>133</v>
      </c>
      <c r="E22" s="13" t="s">
        <v>134</v>
      </c>
      <c r="G22" s="2">
        <v>72</v>
      </c>
      <c r="H22">
        <v>70</v>
      </c>
      <c r="I22">
        <v>99</v>
      </c>
      <c r="J22" t="s">
        <v>55</v>
      </c>
      <c r="K22">
        <v>0</v>
      </c>
      <c r="L22" t="s">
        <v>41</v>
      </c>
      <c r="M22" s="12">
        <v>2.5</v>
      </c>
      <c r="N22" s="3">
        <f>G22*M22</f>
        <v>180</v>
      </c>
      <c r="O22" s="1">
        <v>45483</v>
      </c>
      <c r="P22" s="1">
        <v>45440</v>
      </c>
      <c r="Q22" s="1">
        <v>45465</v>
      </c>
      <c r="R22">
        <v>596</v>
      </c>
      <c r="S22">
        <v>639</v>
      </c>
      <c r="T22">
        <v>614</v>
      </c>
      <c r="U22" t="str">
        <f t="shared" si="0"/>
        <v>Safe</v>
      </c>
      <c r="V22" t="s">
        <v>135</v>
      </c>
      <c r="W22">
        <v>82</v>
      </c>
      <c r="X22" s="3">
        <f t="shared" si="1"/>
        <v>14760</v>
      </c>
      <c r="Y22">
        <v>32</v>
      </c>
      <c r="Z22" t="s">
        <v>30</v>
      </c>
      <c r="AA22" s="3">
        <f>X22-Grocery_Inventory_and_Sales_Dat!N22</f>
        <v>14580</v>
      </c>
    </row>
    <row r="23" spans="1:27" x14ac:dyDescent="0.3">
      <c r="A23" t="s">
        <v>136</v>
      </c>
      <c r="B23" t="s">
        <v>137</v>
      </c>
      <c r="C23" t="s">
        <v>138</v>
      </c>
      <c r="D23" t="s">
        <v>139</v>
      </c>
      <c r="E23" s="13" t="s">
        <v>140</v>
      </c>
      <c r="G23" s="2">
        <v>49</v>
      </c>
      <c r="H23">
        <v>73</v>
      </c>
      <c r="I23">
        <v>48</v>
      </c>
      <c r="J23" t="s">
        <v>27</v>
      </c>
      <c r="K23">
        <v>73</v>
      </c>
      <c r="L23" t="s">
        <v>28</v>
      </c>
      <c r="M23" s="12">
        <v>12</v>
      </c>
      <c r="N23" s="3">
        <f>G23*M23</f>
        <v>588</v>
      </c>
      <c r="O23" s="1">
        <v>45521</v>
      </c>
      <c r="P23" s="1">
        <v>45301</v>
      </c>
      <c r="Q23" s="1">
        <v>45538</v>
      </c>
      <c r="R23">
        <v>558</v>
      </c>
      <c r="S23">
        <v>778</v>
      </c>
      <c r="T23">
        <v>541</v>
      </c>
      <c r="U23" t="str">
        <f t="shared" si="0"/>
        <v>Expiring Soon</v>
      </c>
      <c r="V23" t="s">
        <v>141</v>
      </c>
      <c r="W23">
        <v>52</v>
      </c>
      <c r="X23" s="3">
        <f t="shared" si="1"/>
        <v>30576</v>
      </c>
      <c r="Y23">
        <v>62</v>
      </c>
      <c r="Z23" t="s">
        <v>49</v>
      </c>
      <c r="AA23" s="3">
        <f>X23-Grocery_Inventory_and_Sales_Dat!N23</f>
        <v>29988</v>
      </c>
    </row>
    <row r="24" spans="1:27" x14ac:dyDescent="0.3">
      <c r="A24" t="s">
        <v>142</v>
      </c>
      <c r="B24" t="s">
        <v>143</v>
      </c>
      <c r="C24" t="s">
        <v>52</v>
      </c>
      <c r="D24" t="s">
        <v>144</v>
      </c>
      <c r="E24" s="13" t="s">
        <v>145</v>
      </c>
      <c r="G24" s="2">
        <v>81</v>
      </c>
      <c r="H24">
        <v>99</v>
      </c>
      <c r="I24">
        <v>28</v>
      </c>
      <c r="J24" t="s">
        <v>27</v>
      </c>
      <c r="K24">
        <v>99</v>
      </c>
      <c r="L24" t="s">
        <v>28</v>
      </c>
      <c r="M24" s="12">
        <v>2</v>
      </c>
      <c r="N24" s="3">
        <f>G24*M24</f>
        <v>162</v>
      </c>
      <c r="O24" s="1">
        <v>45565</v>
      </c>
      <c r="P24" s="1">
        <v>45702</v>
      </c>
      <c r="Q24" s="1">
        <v>45407</v>
      </c>
      <c r="R24">
        <v>514</v>
      </c>
      <c r="S24">
        <v>377</v>
      </c>
      <c r="T24">
        <v>672</v>
      </c>
      <c r="U24" t="str">
        <f t="shared" si="0"/>
        <v>Safe</v>
      </c>
      <c r="V24" t="s">
        <v>146</v>
      </c>
      <c r="W24">
        <v>20</v>
      </c>
      <c r="X24" s="3">
        <f t="shared" si="1"/>
        <v>3240</v>
      </c>
      <c r="Y24">
        <v>85</v>
      </c>
      <c r="Z24" t="s">
        <v>30</v>
      </c>
      <c r="AA24" s="3">
        <f>X24-Grocery_Inventory_and_Sales_Dat!N24</f>
        <v>3078</v>
      </c>
    </row>
    <row r="25" spans="1:27" x14ac:dyDescent="0.3">
      <c r="A25" t="s">
        <v>147</v>
      </c>
      <c r="B25" t="s">
        <v>148</v>
      </c>
      <c r="C25" t="s">
        <v>52</v>
      </c>
      <c r="D25" t="s">
        <v>149</v>
      </c>
      <c r="E25" s="13" t="s">
        <v>150</v>
      </c>
      <c r="G25" s="2">
        <v>88</v>
      </c>
      <c r="H25">
        <v>46</v>
      </c>
      <c r="I25">
        <v>55</v>
      </c>
      <c r="J25" t="s">
        <v>55</v>
      </c>
      <c r="K25">
        <v>0</v>
      </c>
      <c r="L25" t="s">
        <v>41</v>
      </c>
      <c r="M25" s="12">
        <v>1</v>
      </c>
      <c r="N25" s="3">
        <f>G25*M25</f>
        <v>88</v>
      </c>
      <c r="O25" s="1">
        <v>45539</v>
      </c>
      <c r="P25" s="1">
        <v>45446</v>
      </c>
      <c r="Q25" s="1">
        <v>45516</v>
      </c>
      <c r="R25">
        <v>540</v>
      </c>
      <c r="S25">
        <v>633</v>
      </c>
      <c r="T25">
        <v>563</v>
      </c>
      <c r="U25" t="str">
        <f t="shared" si="0"/>
        <v>Safe</v>
      </c>
      <c r="V25" t="s">
        <v>151</v>
      </c>
      <c r="W25">
        <v>73</v>
      </c>
      <c r="X25" s="3">
        <f t="shared" si="1"/>
        <v>6424</v>
      </c>
      <c r="Y25">
        <v>63</v>
      </c>
      <c r="Z25" t="s">
        <v>49</v>
      </c>
      <c r="AA25" s="3">
        <f>X25-Grocery_Inventory_and_Sales_Dat!N25</f>
        <v>6336</v>
      </c>
    </row>
    <row r="26" spans="1:27" x14ac:dyDescent="0.3">
      <c r="A26" t="s">
        <v>152</v>
      </c>
      <c r="B26" t="s">
        <v>153</v>
      </c>
      <c r="C26" t="s">
        <v>70</v>
      </c>
      <c r="D26" t="s">
        <v>154</v>
      </c>
      <c r="E26" s="13" t="s">
        <v>155</v>
      </c>
      <c r="G26" s="2">
        <v>63</v>
      </c>
      <c r="H26">
        <v>4</v>
      </c>
      <c r="I26">
        <v>85</v>
      </c>
      <c r="J26" t="s">
        <v>55</v>
      </c>
      <c r="K26">
        <v>0</v>
      </c>
      <c r="L26" t="s">
        <v>41</v>
      </c>
      <c r="M26" s="12">
        <v>12</v>
      </c>
      <c r="N26" s="3">
        <f>G26*M26</f>
        <v>756</v>
      </c>
      <c r="O26" s="1">
        <v>45647</v>
      </c>
      <c r="P26" s="1">
        <v>45670</v>
      </c>
      <c r="Q26" s="1">
        <v>45565</v>
      </c>
      <c r="R26">
        <v>432</v>
      </c>
      <c r="S26">
        <v>409</v>
      </c>
      <c r="T26">
        <v>514</v>
      </c>
      <c r="U26" t="str">
        <f t="shared" si="0"/>
        <v>Expiring Soon</v>
      </c>
      <c r="V26" t="s">
        <v>156</v>
      </c>
      <c r="W26">
        <v>59</v>
      </c>
      <c r="X26" s="3">
        <f t="shared" si="1"/>
        <v>44604</v>
      </c>
      <c r="Y26">
        <v>71</v>
      </c>
      <c r="Z26" t="s">
        <v>49</v>
      </c>
      <c r="AA26" s="3">
        <f>X26-Grocery_Inventory_and_Sales_Dat!N26</f>
        <v>43848</v>
      </c>
    </row>
    <row r="27" spans="1:27" x14ac:dyDescent="0.3">
      <c r="A27" t="s">
        <v>157</v>
      </c>
      <c r="B27" t="s">
        <v>158</v>
      </c>
      <c r="C27" t="s">
        <v>24</v>
      </c>
      <c r="D27" t="s">
        <v>159</v>
      </c>
      <c r="E27" s="13" t="s">
        <v>160</v>
      </c>
      <c r="G27" s="2">
        <v>31</v>
      </c>
      <c r="H27">
        <v>43</v>
      </c>
      <c r="I27">
        <v>80</v>
      </c>
      <c r="J27" t="s">
        <v>27</v>
      </c>
      <c r="K27">
        <v>43</v>
      </c>
      <c r="L27" t="s">
        <v>41</v>
      </c>
      <c r="M27" s="12">
        <v>1.5</v>
      </c>
      <c r="N27" s="3">
        <f>G27*M27</f>
        <v>46.5</v>
      </c>
      <c r="O27" s="1">
        <v>45440</v>
      </c>
      <c r="P27" s="1">
        <v>45710</v>
      </c>
      <c r="Q27" s="1">
        <v>45442</v>
      </c>
      <c r="R27">
        <v>639</v>
      </c>
      <c r="S27">
        <v>369</v>
      </c>
      <c r="T27">
        <v>637</v>
      </c>
      <c r="U27" t="str">
        <f t="shared" si="0"/>
        <v>Safe</v>
      </c>
      <c r="V27" t="s">
        <v>161</v>
      </c>
      <c r="W27">
        <v>46</v>
      </c>
      <c r="X27" s="3">
        <f t="shared" si="1"/>
        <v>2139</v>
      </c>
      <c r="Y27">
        <v>78</v>
      </c>
      <c r="Z27" t="s">
        <v>43</v>
      </c>
      <c r="AA27" s="3">
        <f>X27-Grocery_Inventory_and_Sales_Dat!N27</f>
        <v>2092.5</v>
      </c>
    </row>
    <row r="28" spans="1:27" x14ac:dyDescent="0.3">
      <c r="A28" t="s">
        <v>162</v>
      </c>
      <c r="B28" t="s">
        <v>163</v>
      </c>
      <c r="C28" t="s">
        <v>70</v>
      </c>
      <c r="D28" t="s">
        <v>164</v>
      </c>
      <c r="E28" s="13" t="s">
        <v>165</v>
      </c>
      <c r="G28" s="2">
        <v>97</v>
      </c>
      <c r="H28">
        <v>88</v>
      </c>
      <c r="I28">
        <v>81</v>
      </c>
      <c r="J28" t="s">
        <v>55</v>
      </c>
      <c r="K28">
        <v>0</v>
      </c>
      <c r="L28" t="s">
        <v>41</v>
      </c>
      <c r="M28" s="12">
        <v>0.8</v>
      </c>
      <c r="N28" s="3">
        <f>G28*M28</f>
        <v>77.600000000000009</v>
      </c>
      <c r="O28" s="1">
        <v>45423</v>
      </c>
      <c r="P28" s="1">
        <v>45480</v>
      </c>
      <c r="Q28" s="1">
        <v>45469</v>
      </c>
      <c r="R28">
        <v>656</v>
      </c>
      <c r="S28">
        <v>599</v>
      </c>
      <c r="T28">
        <v>610</v>
      </c>
      <c r="U28" t="str">
        <f t="shared" si="0"/>
        <v>Safe</v>
      </c>
      <c r="V28" t="s">
        <v>166</v>
      </c>
      <c r="W28">
        <v>97</v>
      </c>
      <c r="X28" s="3">
        <f t="shared" si="1"/>
        <v>7527.2000000000007</v>
      </c>
      <c r="Y28">
        <v>18</v>
      </c>
      <c r="Z28" t="s">
        <v>30</v>
      </c>
      <c r="AA28" s="3">
        <f>X28-Grocery_Inventory_and_Sales_Dat!N28</f>
        <v>7449.6</v>
      </c>
    </row>
    <row r="29" spans="1:27" x14ac:dyDescent="0.3">
      <c r="A29" t="s">
        <v>167</v>
      </c>
      <c r="B29" t="s">
        <v>168</v>
      </c>
      <c r="C29" t="s">
        <v>52</v>
      </c>
      <c r="D29" t="s">
        <v>169</v>
      </c>
      <c r="E29" s="13" t="s">
        <v>170</v>
      </c>
      <c r="G29" s="2">
        <v>72</v>
      </c>
      <c r="H29">
        <v>87</v>
      </c>
      <c r="I29">
        <v>39</v>
      </c>
      <c r="J29" t="s">
        <v>27</v>
      </c>
      <c r="K29">
        <v>87</v>
      </c>
      <c r="L29" t="s">
        <v>28</v>
      </c>
      <c r="M29" s="12">
        <v>6</v>
      </c>
      <c r="N29" s="3">
        <f>G29*M29</f>
        <v>432</v>
      </c>
      <c r="O29" s="1">
        <v>45467</v>
      </c>
      <c r="P29" s="1">
        <v>45712</v>
      </c>
      <c r="Q29" s="1">
        <v>45368</v>
      </c>
      <c r="R29">
        <v>612</v>
      </c>
      <c r="S29">
        <v>367</v>
      </c>
      <c r="T29">
        <v>711</v>
      </c>
      <c r="U29" t="str">
        <f t="shared" si="0"/>
        <v>Safe</v>
      </c>
      <c r="V29" t="s">
        <v>171</v>
      </c>
      <c r="W29">
        <v>94</v>
      </c>
      <c r="X29" s="3">
        <f t="shared" si="1"/>
        <v>40608</v>
      </c>
      <c r="Y29">
        <v>57</v>
      </c>
      <c r="Z29" t="s">
        <v>49</v>
      </c>
      <c r="AA29" s="3">
        <f>X29-Grocery_Inventory_and_Sales_Dat!N29</f>
        <v>40176</v>
      </c>
    </row>
    <row r="30" spans="1:27" x14ac:dyDescent="0.3">
      <c r="A30" t="s">
        <v>172</v>
      </c>
      <c r="B30" t="s">
        <v>173</v>
      </c>
      <c r="C30" t="s">
        <v>95</v>
      </c>
      <c r="D30" t="s">
        <v>174</v>
      </c>
      <c r="E30" s="13" t="s">
        <v>145</v>
      </c>
      <c r="G30" s="2">
        <v>16</v>
      </c>
      <c r="H30">
        <v>9</v>
      </c>
      <c r="I30">
        <v>32</v>
      </c>
      <c r="J30" t="s">
        <v>55</v>
      </c>
      <c r="K30">
        <v>0</v>
      </c>
      <c r="L30" t="s">
        <v>41</v>
      </c>
      <c r="M30" s="12">
        <v>5</v>
      </c>
      <c r="N30" s="3">
        <f>G30*M30</f>
        <v>80</v>
      </c>
      <c r="O30" s="1">
        <v>45489</v>
      </c>
      <c r="P30" s="1">
        <v>45525</v>
      </c>
      <c r="Q30" s="1">
        <v>45695</v>
      </c>
      <c r="R30">
        <v>590</v>
      </c>
      <c r="S30">
        <v>554</v>
      </c>
      <c r="T30">
        <v>384</v>
      </c>
      <c r="U30" t="str">
        <f t="shared" si="0"/>
        <v>Expiring Soon</v>
      </c>
      <c r="V30" t="s">
        <v>175</v>
      </c>
      <c r="W30">
        <v>50</v>
      </c>
      <c r="X30" s="3">
        <f t="shared" si="1"/>
        <v>4000</v>
      </c>
      <c r="Y30">
        <v>98</v>
      </c>
      <c r="Z30" t="s">
        <v>43</v>
      </c>
      <c r="AA30" s="3">
        <f>X30-Grocery_Inventory_and_Sales_Dat!N30</f>
        <v>3920</v>
      </c>
    </row>
    <row r="31" spans="1:27" x14ac:dyDescent="0.3">
      <c r="A31" t="s">
        <v>176</v>
      </c>
      <c r="B31" t="s">
        <v>177</v>
      </c>
      <c r="C31" t="s">
        <v>52</v>
      </c>
      <c r="D31" t="s">
        <v>178</v>
      </c>
      <c r="E31" s="13" t="s">
        <v>179</v>
      </c>
      <c r="G31" s="2">
        <v>77</v>
      </c>
      <c r="H31">
        <v>20</v>
      </c>
      <c r="I31">
        <v>5</v>
      </c>
      <c r="J31" t="s">
        <v>55</v>
      </c>
      <c r="K31">
        <v>0</v>
      </c>
      <c r="L31" t="s">
        <v>41</v>
      </c>
      <c r="M31" s="12">
        <v>4.5</v>
      </c>
      <c r="N31" s="3">
        <f>G31*M31</f>
        <v>346.5</v>
      </c>
      <c r="O31" s="1">
        <v>45522</v>
      </c>
      <c r="P31" s="1">
        <v>45615</v>
      </c>
      <c r="Q31" s="1">
        <v>45646</v>
      </c>
      <c r="R31">
        <v>557</v>
      </c>
      <c r="S31">
        <v>464</v>
      </c>
      <c r="T31">
        <v>433</v>
      </c>
      <c r="U31" t="str">
        <f t="shared" si="0"/>
        <v>Expiring Soon</v>
      </c>
      <c r="V31" t="s">
        <v>180</v>
      </c>
      <c r="W31">
        <v>61</v>
      </c>
      <c r="X31" s="3">
        <f t="shared" si="1"/>
        <v>21136.5</v>
      </c>
      <c r="Y31">
        <v>62</v>
      </c>
      <c r="Z31" t="s">
        <v>30</v>
      </c>
      <c r="AA31" s="3">
        <f>X31-Grocery_Inventory_and_Sales_Dat!N31</f>
        <v>20790</v>
      </c>
    </row>
    <row r="32" spans="1:27" x14ac:dyDescent="0.3">
      <c r="A32" t="s">
        <v>181</v>
      </c>
      <c r="B32" t="s">
        <v>182</v>
      </c>
      <c r="C32" t="s">
        <v>52</v>
      </c>
      <c r="D32" t="s">
        <v>183</v>
      </c>
      <c r="E32" s="13" t="s">
        <v>184</v>
      </c>
      <c r="G32" s="2">
        <v>19</v>
      </c>
      <c r="H32">
        <v>36</v>
      </c>
      <c r="I32">
        <v>72</v>
      </c>
      <c r="J32" t="s">
        <v>27</v>
      </c>
      <c r="K32">
        <v>36</v>
      </c>
      <c r="L32" t="s">
        <v>41</v>
      </c>
      <c r="M32" s="12">
        <v>1.75</v>
      </c>
      <c r="N32" s="3">
        <f>G32*M32</f>
        <v>33.25</v>
      </c>
      <c r="O32" s="1">
        <v>45356</v>
      </c>
      <c r="P32" s="1">
        <v>45379</v>
      </c>
      <c r="Q32" s="1">
        <v>45357</v>
      </c>
      <c r="R32">
        <v>723</v>
      </c>
      <c r="S32">
        <v>700</v>
      </c>
      <c r="T32">
        <v>722</v>
      </c>
      <c r="U32" t="str">
        <f t="shared" si="0"/>
        <v>Safe</v>
      </c>
      <c r="V32" t="s">
        <v>185</v>
      </c>
      <c r="W32">
        <v>31</v>
      </c>
      <c r="X32" s="3">
        <f t="shared" si="1"/>
        <v>1030.75</v>
      </c>
      <c r="Y32">
        <v>81</v>
      </c>
      <c r="Z32" t="s">
        <v>43</v>
      </c>
      <c r="AA32" s="3">
        <f>X32-Grocery_Inventory_and_Sales_Dat!N32</f>
        <v>997.5</v>
      </c>
    </row>
    <row r="33" spans="1:27" x14ac:dyDescent="0.3">
      <c r="A33" t="s">
        <v>186</v>
      </c>
      <c r="B33" t="s">
        <v>187</v>
      </c>
      <c r="C33" t="s">
        <v>52</v>
      </c>
      <c r="D33" t="s">
        <v>188</v>
      </c>
      <c r="E33" s="13" t="s">
        <v>189</v>
      </c>
      <c r="G33" s="2">
        <v>18</v>
      </c>
      <c r="H33">
        <v>52</v>
      </c>
      <c r="I33">
        <v>22</v>
      </c>
      <c r="J33" t="s">
        <v>27</v>
      </c>
      <c r="K33">
        <v>52</v>
      </c>
      <c r="L33" t="s">
        <v>41</v>
      </c>
      <c r="M33" s="12">
        <v>3.5</v>
      </c>
      <c r="N33" s="3">
        <f>G33*M33</f>
        <v>63</v>
      </c>
      <c r="O33" s="1">
        <v>45527</v>
      </c>
      <c r="P33" s="1">
        <v>45578</v>
      </c>
      <c r="Q33" s="1">
        <v>45563</v>
      </c>
      <c r="R33">
        <v>552</v>
      </c>
      <c r="S33">
        <v>501</v>
      </c>
      <c r="T33">
        <v>516</v>
      </c>
      <c r="U33" t="str">
        <f t="shared" si="0"/>
        <v>Expiring Soon</v>
      </c>
      <c r="V33" t="s">
        <v>190</v>
      </c>
      <c r="W33">
        <v>42</v>
      </c>
      <c r="X33" s="3">
        <f t="shared" si="1"/>
        <v>2646</v>
      </c>
      <c r="Y33">
        <v>32</v>
      </c>
      <c r="Z33" t="s">
        <v>43</v>
      </c>
      <c r="AA33" s="3">
        <f>X33-Grocery_Inventory_and_Sales_Dat!N33</f>
        <v>2583</v>
      </c>
    </row>
    <row r="34" spans="1:27" x14ac:dyDescent="0.3">
      <c r="A34" t="s">
        <v>191</v>
      </c>
      <c r="B34" t="s">
        <v>192</v>
      </c>
      <c r="C34" t="s">
        <v>64</v>
      </c>
      <c r="D34" t="s">
        <v>193</v>
      </c>
      <c r="E34" s="13" t="s">
        <v>194</v>
      </c>
      <c r="G34" s="2">
        <v>47</v>
      </c>
      <c r="H34">
        <v>48</v>
      </c>
      <c r="I34">
        <v>73</v>
      </c>
      <c r="J34" t="s">
        <v>27</v>
      </c>
      <c r="K34">
        <v>48</v>
      </c>
      <c r="L34" t="s">
        <v>41</v>
      </c>
      <c r="M34" s="12">
        <v>6</v>
      </c>
      <c r="N34" s="3">
        <f>G34*M34</f>
        <v>282</v>
      </c>
      <c r="O34" s="1">
        <v>45517</v>
      </c>
      <c r="P34" s="1">
        <v>45471</v>
      </c>
      <c r="Q34" s="1">
        <v>45356</v>
      </c>
      <c r="R34">
        <v>562</v>
      </c>
      <c r="S34">
        <v>608</v>
      </c>
      <c r="T34">
        <v>723</v>
      </c>
      <c r="U34" t="str">
        <f t="shared" si="0"/>
        <v>Safe</v>
      </c>
      <c r="V34" t="s">
        <v>195</v>
      </c>
      <c r="W34">
        <v>42</v>
      </c>
      <c r="X34" s="3">
        <f t="shared" si="1"/>
        <v>11844</v>
      </c>
      <c r="Y34">
        <v>51</v>
      </c>
      <c r="Z34" t="s">
        <v>30</v>
      </c>
      <c r="AA34" s="3">
        <f>X34-Grocery_Inventory_and_Sales_Dat!N34</f>
        <v>11562</v>
      </c>
    </row>
    <row r="35" spans="1:27" x14ac:dyDescent="0.3">
      <c r="A35" t="s">
        <v>196</v>
      </c>
      <c r="B35" t="s">
        <v>197</v>
      </c>
      <c r="C35" t="s">
        <v>33</v>
      </c>
      <c r="D35" t="s">
        <v>198</v>
      </c>
      <c r="E35" s="13" t="s">
        <v>199</v>
      </c>
      <c r="G35" s="2">
        <v>77</v>
      </c>
      <c r="H35">
        <v>45</v>
      </c>
      <c r="I35">
        <v>75</v>
      </c>
      <c r="J35" t="s">
        <v>55</v>
      </c>
      <c r="K35">
        <v>0</v>
      </c>
      <c r="L35" t="s">
        <v>41</v>
      </c>
      <c r="M35" s="12">
        <v>30</v>
      </c>
      <c r="N35" s="3">
        <f>G35*M35</f>
        <v>2310</v>
      </c>
      <c r="O35" s="1">
        <v>45423</v>
      </c>
      <c r="P35" s="1">
        <v>45523</v>
      </c>
      <c r="Q35" s="1">
        <v>45466</v>
      </c>
      <c r="R35">
        <v>656</v>
      </c>
      <c r="S35">
        <v>556</v>
      </c>
      <c r="T35">
        <v>613</v>
      </c>
      <c r="U35" t="str">
        <f t="shared" si="0"/>
        <v>Safe</v>
      </c>
      <c r="V35" t="s">
        <v>200</v>
      </c>
      <c r="W35">
        <v>25</v>
      </c>
      <c r="X35" s="3">
        <f t="shared" si="1"/>
        <v>57750</v>
      </c>
      <c r="Y35">
        <v>37</v>
      </c>
      <c r="Z35" t="s">
        <v>30</v>
      </c>
      <c r="AA35" s="3">
        <f>X35-Grocery_Inventory_and_Sales_Dat!N35</f>
        <v>55440</v>
      </c>
    </row>
    <row r="36" spans="1:27" x14ac:dyDescent="0.3">
      <c r="A36" t="s">
        <v>201</v>
      </c>
      <c r="B36" t="s">
        <v>202</v>
      </c>
      <c r="C36" t="s">
        <v>138</v>
      </c>
      <c r="D36" t="s">
        <v>203</v>
      </c>
      <c r="E36" s="13" t="s">
        <v>204</v>
      </c>
      <c r="G36" s="2">
        <v>46</v>
      </c>
      <c r="H36">
        <v>28</v>
      </c>
      <c r="I36">
        <v>73</v>
      </c>
      <c r="J36" t="s">
        <v>55</v>
      </c>
      <c r="K36">
        <v>0</v>
      </c>
      <c r="L36" t="s">
        <v>41</v>
      </c>
      <c r="M36" s="12">
        <v>9</v>
      </c>
      <c r="N36" s="3">
        <f>G36*M36</f>
        <v>414</v>
      </c>
      <c r="O36" s="1">
        <v>45440</v>
      </c>
      <c r="P36" s="1">
        <v>45593</v>
      </c>
      <c r="Q36" s="1">
        <v>45652</v>
      </c>
      <c r="R36">
        <v>639</v>
      </c>
      <c r="S36">
        <v>486</v>
      </c>
      <c r="T36">
        <v>427</v>
      </c>
      <c r="U36" t="str">
        <f t="shared" si="0"/>
        <v>Expiring Soon</v>
      </c>
      <c r="V36" t="s">
        <v>205</v>
      </c>
      <c r="W36">
        <v>65</v>
      </c>
      <c r="X36" s="3">
        <f t="shared" si="1"/>
        <v>26910</v>
      </c>
      <c r="Y36">
        <v>57</v>
      </c>
      <c r="Z36" t="s">
        <v>30</v>
      </c>
      <c r="AA36" s="3">
        <f>X36-Grocery_Inventory_and_Sales_Dat!N36</f>
        <v>26496</v>
      </c>
    </row>
    <row r="37" spans="1:27" x14ac:dyDescent="0.3">
      <c r="A37" t="s">
        <v>206</v>
      </c>
      <c r="B37" t="s">
        <v>207</v>
      </c>
      <c r="C37" t="s">
        <v>52</v>
      </c>
      <c r="D37" t="s">
        <v>208</v>
      </c>
      <c r="E37" s="13" t="s">
        <v>209</v>
      </c>
      <c r="G37" s="2">
        <v>39</v>
      </c>
      <c r="H37">
        <v>22</v>
      </c>
      <c r="I37">
        <v>73</v>
      </c>
      <c r="J37" t="s">
        <v>55</v>
      </c>
      <c r="K37">
        <v>0</v>
      </c>
      <c r="L37" t="s">
        <v>41</v>
      </c>
      <c r="M37" s="12">
        <v>2</v>
      </c>
      <c r="N37" s="3">
        <f>G37*M37</f>
        <v>78</v>
      </c>
      <c r="O37" s="1">
        <v>45602</v>
      </c>
      <c r="P37" s="1">
        <v>45496</v>
      </c>
      <c r="Q37" s="1">
        <v>45593</v>
      </c>
      <c r="R37">
        <v>477</v>
      </c>
      <c r="S37">
        <v>583</v>
      </c>
      <c r="T37">
        <v>486</v>
      </c>
      <c r="U37" t="str">
        <f t="shared" si="0"/>
        <v>Expiring Soon</v>
      </c>
      <c r="V37" t="s">
        <v>210</v>
      </c>
      <c r="W37">
        <v>60</v>
      </c>
      <c r="X37" s="3">
        <f t="shared" si="1"/>
        <v>4680</v>
      </c>
      <c r="Y37">
        <v>2</v>
      </c>
      <c r="Z37" t="s">
        <v>49</v>
      </c>
      <c r="AA37" s="3">
        <f>X37-Grocery_Inventory_and_Sales_Dat!N37</f>
        <v>4602</v>
      </c>
    </row>
    <row r="38" spans="1:27" x14ac:dyDescent="0.3">
      <c r="A38" t="s">
        <v>211</v>
      </c>
      <c r="B38" t="s">
        <v>23</v>
      </c>
      <c r="C38" t="s">
        <v>24</v>
      </c>
      <c r="D38" t="s">
        <v>212</v>
      </c>
      <c r="E38" s="13" t="s">
        <v>213</v>
      </c>
      <c r="G38" s="2">
        <v>75</v>
      </c>
      <c r="H38">
        <v>69</v>
      </c>
      <c r="I38">
        <v>100</v>
      </c>
      <c r="J38" t="s">
        <v>55</v>
      </c>
      <c r="K38">
        <v>0</v>
      </c>
      <c r="L38" t="s">
        <v>41</v>
      </c>
      <c r="M38" s="12">
        <v>4.5</v>
      </c>
      <c r="N38" s="3">
        <f>G38*M38</f>
        <v>337.5</v>
      </c>
      <c r="O38" s="1">
        <v>45603</v>
      </c>
      <c r="P38" s="1">
        <v>45676</v>
      </c>
      <c r="Q38" s="1">
        <v>45704</v>
      </c>
      <c r="R38">
        <v>476</v>
      </c>
      <c r="S38">
        <v>403</v>
      </c>
      <c r="T38">
        <v>375</v>
      </c>
      <c r="U38" t="str">
        <f t="shared" si="0"/>
        <v>Expiring Soon</v>
      </c>
      <c r="V38" t="s">
        <v>214</v>
      </c>
      <c r="W38">
        <v>43</v>
      </c>
      <c r="X38" s="3">
        <f t="shared" si="1"/>
        <v>14512.5</v>
      </c>
      <c r="Y38">
        <v>18</v>
      </c>
      <c r="Z38" t="s">
        <v>43</v>
      </c>
      <c r="AA38" s="3">
        <f>X38-Grocery_Inventory_and_Sales_Dat!N38</f>
        <v>14175</v>
      </c>
    </row>
    <row r="39" spans="1:27" x14ac:dyDescent="0.3">
      <c r="A39" t="s">
        <v>215</v>
      </c>
      <c r="B39" t="s">
        <v>187</v>
      </c>
      <c r="C39" t="s">
        <v>52</v>
      </c>
      <c r="D39" t="s">
        <v>216</v>
      </c>
      <c r="E39" s="13" t="s">
        <v>217</v>
      </c>
      <c r="G39" s="2">
        <v>48</v>
      </c>
      <c r="H39">
        <v>48</v>
      </c>
      <c r="I39">
        <v>39</v>
      </c>
      <c r="J39" t="s">
        <v>27</v>
      </c>
      <c r="K39">
        <v>48</v>
      </c>
      <c r="L39" t="s">
        <v>41</v>
      </c>
      <c r="M39" s="12">
        <v>3.45</v>
      </c>
      <c r="N39" s="3">
        <f>G39*M39</f>
        <v>165.60000000000002</v>
      </c>
      <c r="O39" s="1">
        <v>45368</v>
      </c>
      <c r="P39" s="1">
        <v>45682</v>
      </c>
      <c r="Q39" s="1">
        <v>45595</v>
      </c>
      <c r="R39">
        <v>711</v>
      </c>
      <c r="S39">
        <v>397</v>
      </c>
      <c r="T39">
        <v>484</v>
      </c>
      <c r="U39" t="str">
        <f t="shared" si="0"/>
        <v>Expiring Soon</v>
      </c>
      <c r="V39" t="s">
        <v>218</v>
      </c>
      <c r="W39">
        <v>51</v>
      </c>
      <c r="X39" s="3">
        <f t="shared" si="1"/>
        <v>8445.6</v>
      </c>
      <c r="Y39">
        <v>50</v>
      </c>
      <c r="Z39" t="s">
        <v>30</v>
      </c>
      <c r="AA39" s="3">
        <f>X39-Grocery_Inventory_and_Sales_Dat!N39</f>
        <v>8280</v>
      </c>
    </row>
    <row r="40" spans="1:27" x14ac:dyDescent="0.3">
      <c r="A40" t="s">
        <v>219</v>
      </c>
      <c r="B40" t="s">
        <v>220</v>
      </c>
      <c r="C40" t="s">
        <v>52</v>
      </c>
      <c r="D40" t="s">
        <v>221</v>
      </c>
      <c r="E40" s="13" t="s">
        <v>222</v>
      </c>
      <c r="G40" s="2">
        <v>61</v>
      </c>
      <c r="H40">
        <v>90</v>
      </c>
      <c r="I40">
        <v>26</v>
      </c>
      <c r="J40" t="s">
        <v>27</v>
      </c>
      <c r="K40">
        <v>90</v>
      </c>
      <c r="L40" t="s">
        <v>28</v>
      </c>
      <c r="M40" s="12">
        <v>2.5</v>
      </c>
      <c r="N40" s="3">
        <f>G40*M40</f>
        <v>152.5</v>
      </c>
      <c r="O40" s="1">
        <v>45648</v>
      </c>
      <c r="P40" s="1">
        <v>45482</v>
      </c>
      <c r="Q40" s="1">
        <v>45554</v>
      </c>
      <c r="R40">
        <v>431</v>
      </c>
      <c r="S40">
        <v>597</v>
      </c>
      <c r="T40">
        <v>525</v>
      </c>
      <c r="U40" t="str">
        <f t="shared" si="0"/>
        <v>Expiring Soon</v>
      </c>
      <c r="V40" t="s">
        <v>223</v>
      </c>
      <c r="W40">
        <v>79</v>
      </c>
      <c r="X40" s="3">
        <f t="shared" si="1"/>
        <v>12047.5</v>
      </c>
      <c r="Y40">
        <v>84</v>
      </c>
      <c r="Z40" t="s">
        <v>30</v>
      </c>
      <c r="AA40" s="3">
        <f>X40-Grocery_Inventory_and_Sales_Dat!N40</f>
        <v>11895</v>
      </c>
    </row>
    <row r="41" spans="1:27" x14ac:dyDescent="0.3">
      <c r="A41" t="s">
        <v>224</v>
      </c>
      <c r="B41" t="s">
        <v>225</v>
      </c>
      <c r="C41" t="s">
        <v>24</v>
      </c>
      <c r="D41" t="s">
        <v>226</v>
      </c>
      <c r="E41" s="13" t="s">
        <v>227</v>
      </c>
      <c r="G41" s="2">
        <v>60</v>
      </c>
      <c r="H41">
        <v>90</v>
      </c>
      <c r="I41">
        <v>85</v>
      </c>
      <c r="J41" t="s">
        <v>27</v>
      </c>
      <c r="K41">
        <v>90</v>
      </c>
      <c r="L41" t="s">
        <v>28</v>
      </c>
      <c r="M41" s="12">
        <v>3</v>
      </c>
      <c r="N41" s="3">
        <f>G41*M41</f>
        <v>180</v>
      </c>
      <c r="O41" s="1">
        <v>45678</v>
      </c>
      <c r="P41" s="1">
        <v>45371</v>
      </c>
      <c r="Q41" s="1">
        <v>45528</v>
      </c>
      <c r="R41">
        <v>401</v>
      </c>
      <c r="S41">
        <v>708</v>
      </c>
      <c r="T41">
        <v>551</v>
      </c>
      <c r="U41" t="str">
        <f t="shared" si="0"/>
        <v>Safe</v>
      </c>
      <c r="V41" t="s">
        <v>228</v>
      </c>
      <c r="W41">
        <v>47</v>
      </c>
      <c r="X41" s="3">
        <f t="shared" si="1"/>
        <v>8460</v>
      </c>
      <c r="Y41">
        <v>9</v>
      </c>
      <c r="Z41" t="s">
        <v>30</v>
      </c>
      <c r="AA41" s="3">
        <f>X41-Grocery_Inventory_and_Sales_Dat!N41</f>
        <v>8280</v>
      </c>
    </row>
    <row r="42" spans="1:27" x14ac:dyDescent="0.3">
      <c r="A42" t="s">
        <v>229</v>
      </c>
      <c r="B42" t="s">
        <v>230</v>
      </c>
      <c r="C42" t="s">
        <v>52</v>
      </c>
      <c r="D42" t="s">
        <v>231</v>
      </c>
      <c r="E42" s="13" t="s">
        <v>232</v>
      </c>
      <c r="G42" s="2">
        <v>24</v>
      </c>
      <c r="H42">
        <v>55</v>
      </c>
      <c r="I42">
        <v>51</v>
      </c>
      <c r="J42" t="s">
        <v>27</v>
      </c>
      <c r="K42">
        <v>55</v>
      </c>
      <c r="L42" t="s">
        <v>41</v>
      </c>
      <c r="M42" s="12">
        <v>5</v>
      </c>
      <c r="N42" s="3">
        <f>G42*M42</f>
        <v>120</v>
      </c>
      <c r="O42" s="1">
        <v>45408</v>
      </c>
      <c r="P42" s="1">
        <v>45712</v>
      </c>
      <c r="Q42" s="1">
        <v>45621</v>
      </c>
      <c r="R42">
        <v>671</v>
      </c>
      <c r="S42">
        <v>367</v>
      </c>
      <c r="T42">
        <v>458</v>
      </c>
      <c r="U42" t="str">
        <f t="shared" si="0"/>
        <v>Expiring Soon</v>
      </c>
      <c r="V42" t="s">
        <v>233</v>
      </c>
      <c r="W42">
        <v>39</v>
      </c>
      <c r="X42" s="3">
        <f t="shared" si="1"/>
        <v>4680</v>
      </c>
      <c r="Y42">
        <v>15</v>
      </c>
      <c r="Z42" t="s">
        <v>30</v>
      </c>
      <c r="AA42" s="3">
        <f>X42-Grocery_Inventory_and_Sales_Dat!N42</f>
        <v>4560</v>
      </c>
    </row>
    <row r="43" spans="1:27" x14ac:dyDescent="0.3">
      <c r="A43" t="s">
        <v>234</v>
      </c>
      <c r="B43" t="s">
        <v>235</v>
      </c>
      <c r="C43" t="s">
        <v>52</v>
      </c>
      <c r="D43" t="s">
        <v>236</v>
      </c>
      <c r="E43" s="13" t="s">
        <v>237</v>
      </c>
      <c r="G43" s="2">
        <v>12</v>
      </c>
      <c r="H43">
        <v>7</v>
      </c>
      <c r="I43">
        <v>48</v>
      </c>
      <c r="J43" t="s">
        <v>55</v>
      </c>
      <c r="K43">
        <v>0</v>
      </c>
      <c r="L43" t="s">
        <v>41</v>
      </c>
      <c r="M43" s="12">
        <v>2.2999999999999998</v>
      </c>
      <c r="N43" s="3">
        <f>G43*M43</f>
        <v>27.599999999999998</v>
      </c>
      <c r="O43" s="1">
        <v>45467</v>
      </c>
      <c r="P43" s="1">
        <v>45651</v>
      </c>
      <c r="Q43" s="1">
        <v>45448</v>
      </c>
      <c r="R43">
        <v>612</v>
      </c>
      <c r="S43">
        <v>428</v>
      </c>
      <c r="T43">
        <v>631</v>
      </c>
      <c r="U43" t="str">
        <f t="shared" si="0"/>
        <v>Safe</v>
      </c>
      <c r="V43" t="s">
        <v>238</v>
      </c>
      <c r="W43">
        <v>66</v>
      </c>
      <c r="X43" s="3">
        <f t="shared" si="1"/>
        <v>1821.6</v>
      </c>
      <c r="Y43">
        <v>4</v>
      </c>
      <c r="Z43" t="s">
        <v>30</v>
      </c>
      <c r="AA43" s="3">
        <f>X43-Grocery_Inventory_and_Sales_Dat!N43</f>
        <v>1794</v>
      </c>
    </row>
    <row r="44" spans="1:27" x14ac:dyDescent="0.3">
      <c r="A44" t="s">
        <v>239</v>
      </c>
      <c r="B44" t="s">
        <v>240</v>
      </c>
      <c r="C44" t="s">
        <v>33</v>
      </c>
      <c r="D44" t="s">
        <v>241</v>
      </c>
      <c r="E44" s="13" t="s">
        <v>165</v>
      </c>
      <c r="G44" s="2">
        <v>84</v>
      </c>
      <c r="H44">
        <v>13</v>
      </c>
      <c r="I44">
        <v>88</v>
      </c>
      <c r="J44" t="s">
        <v>55</v>
      </c>
      <c r="K44">
        <v>0</v>
      </c>
      <c r="L44" t="s">
        <v>41</v>
      </c>
      <c r="M44" s="12">
        <v>15</v>
      </c>
      <c r="N44" s="3">
        <f>G44*M44</f>
        <v>1260</v>
      </c>
      <c r="O44" s="1">
        <v>45683</v>
      </c>
      <c r="P44" s="1">
        <v>45394</v>
      </c>
      <c r="Q44" s="1">
        <v>45495</v>
      </c>
      <c r="R44">
        <v>396</v>
      </c>
      <c r="S44">
        <v>685</v>
      </c>
      <c r="T44">
        <v>584</v>
      </c>
      <c r="U44" t="str">
        <f t="shared" si="0"/>
        <v>Safe</v>
      </c>
      <c r="V44" t="s">
        <v>242</v>
      </c>
      <c r="W44">
        <v>25</v>
      </c>
      <c r="X44" s="3">
        <f t="shared" si="1"/>
        <v>31500</v>
      </c>
      <c r="Y44">
        <v>34</v>
      </c>
      <c r="Z44" t="s">
        <v>43</v>
      </c>
      <c r="AA44" s="3">
        <f>X44-Grocery_Inventory_and_Sales_Dat!N44</f>
        <v>30240</v>
      </c>
    </row>
    <row r="45" spans="1:27" x14ac:dyDescent="0.3">
      <c r="A45" t="s">
        <v>243</v>
      </c>
      <c r="B45" t="s">
        <v>244</v>
      </c>
      <c r="C45" t="s">
        <v>70</v>
      </c>
      <c r="D45" t="s">
        <v>245</v>
      </c>
      <c r="E45" s="13" t="s">
        <v>246</v>
      </c>
      <c r="G45" s="2">
        <v>51</v>
      </c>
      <c r="H45">
        <v>100</v>
      </c>
      <c r="I45">
        <v>70</v>
      </c>
      <c r="J45" t="s">
        <v>27</v>
      </c>
      <c r="K45">
        <v>100</v>
      </c>
      <c r="L45" t="s">
        <v>28</v>
      </c>
      <c r="M45" s="12">
        <v>3</v>
      </c>
      <c r="N45" s="3">
        <f>G45*M45</f>
        <v>153</v>
      </c>
      <c r="O45" s="1">
        <v>45412</v>
      </c>
      <c r="P45" s="1">
        <v>45586</v>
      </c>
      <c r="Q45" s="1">
        <v>45557</v>
      </c>
      <c r="R45">
        <v>667</v>
      </c>
      <c r="S45">
        <v>493</v>
      </c>
      <c r="T45">
        <v>522</v>
      </c>
      <c r="U45" t="str">
        <f t="shared" si="0"/>
        <v>Expiring Soon</v>
      </c>
      <c r="V45" t="s">
        <v>247</v>
      </c>
      <c r="W45">
        <v>40</v>
      </c>
      <c r="X45" s="3">
        <f t="shared" si="1"/>
        <v>6120</v>
      </c>
      <c r="Y45">
        <v>21</v>
      </c>
      <c r="Z45" t="s">
        <v>30</v>
      </c>
      <c r="AA45" s="3">
        <f>X45-Grocery_Inventory_and_Sales_Dat!N45</f>
        <v>5967</v>
      </c>
    </row>
    <row r="46" spans="1:27" x14ac:dyDescent="0.3">
      <c r="A46" t="s">
        <v>248</v>
      </c>
      <c r="B46" t="s">
        <v>249</v>
      </c>
      <c r="C46" t="s">
        <v>95</v>
      </c>
      <c r="D46" t="s">
        <v>250</v>
      </c>
      <c r="E46" s="13" t="s">
        <v>251</v>
      </c>
      <c r="G46" s="2">
        <v>65</v>
      </c>
      <c r="H46">
        <v>36</v>
      </c>
      <c r="I46">
        <v>37</v>
      </c>
      <c r="J46" t="s">
        <v>55</v>
      </c>
      <c r="K46">
        <v>0</v>
      </c>
      <c r="L46" t="s">
        <v>41</v>
      </c>
      <c r="M46" s="12">
        <v>3.5</v>
      </c>
      <c r="N46" s="3">
        <f>G46*M46</f>
        <v>227.5</v>
      </c>
      <c r="O46" s="1">
        <v>45403</v>
      </c>
      <c r="P46" s="1">
        <v>45632</v>
      </c>
      <c r="Q46" s="1">
        <v>45681</v>
      </c>
      <c r="R46">
        <v>676</v>
      </c>
      <c r="S46">
        <v>447</v>
      </c>
      <c r="T46">
        <v>398</v>
      </c>
      <c r="U46" t="str">
        <f t="shared" si="0"/>
        <v>Expiring Soon</v>
      </c>
      <c r="V46" t="s">
        <v>252</v>
      </c>
      <c r="W46">
        <v>32</v>
      </c>
      <c r="X46" s="3">
        <f t="shared" si="1"/>
        <v>7280</v>
      </c>
      <c r="Y46">
        <v>70</v>
      </c>
      <c r="Z46" t="s">
        <v>43</v>
      </c>
      <c r="AA46" s="3">
        <f>X46-Grocery_Inventory_and_Sales_Dat!N46</f>
        <v>7052.5</v>
      </c>
    </row>
    <row r="47" spans="1:27" x14ac:dyDescent="0.3">
      <c r="A47" t="s">
        <v>253</v>
      </c>
      <c r="B47" t="s">
        <v>45</v>
      </c>
      <c r="C47" t="s">
        <v>24</v>
      </c>
      <c r="D47" t="s">
        <v>254</v>
      </c>
      <c r="E47" s="13" t="s">
        <v>255</v>
      </c>
      <c r="G47" s="2">
        <v>67</v>
      </c>
      <c r="H47">
        <v>88</v>
      </c>
      <c r="I47">
        <v>32</v>
      </c>
      <c r="J47" t="s">
        <v>27</v>
      </c>
      <c r="K47">
        <v>88</v>
      </c>
      <c r="L47" t="s">
        <v>28</v>
      </c>
      <c r="M47" s="12">
        <v>1.5</v>
      </c>
      <c r="N47" s="3">
        <f>G47*M47</f>
        <v>100.5</v>
      </c>
      <c r="O47" s="1">
        <v>45447</v>
      </c>
      <c r="P47" s="1">
        <v>45296</v>
      </c>
      <c r="Q47" s="1">
        <v>45613</v>
      </c>
      <c r="R47">
        <v>632</v>
      </c>
      <c r="S47">
        <v>783</v>
      </c>
      <c r="T47">
        <v>466</v>
      </c>
      <c r="U47" t="str">
        <f t="shared" si="0"/>
        <v>Expiring Soon</v>
      </c>
      <c r="V47" t="s">
        <v>256</v>
      </c>
      <c r="W47">
        <v>66</v>
      </c>
      <c r="X47" s="3">
        <f t="shared" si="1"/>
        <v>6633</v>
      </c>
      <c r="Y47">
        <v>42</v>
      </c>
      <c r="Z47" t="s">
        <v>30</v>
      </c>
      <c r="AA47" s="3">
        <f>X47-Grocery_Inventory_and_Sales_Dat!N47</f>
        <v>6532.5</v>
      </c>
    </row>
    <row r="48" spans="1:27" x14ac:dyDescent="0.3">
      <c r="A48" t="s">
        <v>257</v>
      </c>
      <c r="B48" t="s">
        <v>114</v>
      </c>
      <c r="C48" t="s">
        <v>24</v>
      </c>
      <c r="D48" t="s">
        <v>258</v>
      </c>
      <c r="E48" s="13" t="s">
        <v>259</v>
      </c>
      <c r="G48" s="2">
        <v>14</v>
      </c>
      <c r="H48">
        <v>74</v>
      </c>
      <c r="I48">
        <v>71</v>
      </c>
      <c r="J48" t="s">
        <v>27</v>
      </c>
      <c r="K48">
        <v>74</v>
      </c>
      <c r="L48" t="s">
        <v>28</v>
      </c>
      <c r="M48" s="12">
        <v>1.5</v>
      </c>
      <c r="N48" s="3">
        <f>G48*M48</f>
        <v>21</v>
      </c>
      <c r="O48" s="1">
        <v>45522</v>
      </c>
      <c r="P48" s="1">
        <v>45618</v>
      </c>
      <c r="Q48" s="1">
        <v>45428</v>
      </c>
      <c r="R48">
        <v>557</v>
      </c>
      <c r="S48">
        <v>461</v>
      </c>
      <c r="T48">
        <v>651</v>
      </c>
      <c r="U48" t="str">
        <f t="shared" si="0"/>
        <v>Safe</v>
      </c>
      <c r="V48" t="s">
        <v>260</v>
      </c>
      <c r="W48">
        <v>37</v>
      </c>
      <c r="X48" s="3">
        <f t="shared" si="1"/>
        <v>777</v>
      </c>
      <c r="Y48">
        <v>22</v>
      </c>
      <c r="Z48" t="s">
        <v>30</v>
      </c>
      <c r="AA48" s="3">
        <f>X48-Grocery_Inventory_and_Sales_Dat!N48</f>
        <v>756</v>
      </c>
    </row>
    <row r="49" spans="1:27" x14ac:dyDescent="0.3">
      <c r="A49" t="s">
        <v>261</v>
      </c>
      <c r="B49" t="s">
        <v>262</v>
      </c>
      <c r="C49" t="s">
        <v>52</v>
      </c>
      <c r="D49" t="s">
        <v>263</v>
      </c>
      <c r="E49" s="13" t="s">
        <v>264</v>
      </c>
      <c r="G49" s="2">
        <v>45</v>
      </c>
      <c r="H49">
        <v>24</v>
      </c>
      <c r="I49">
        <v>61</v>
      </c>
      <c r="J49" t="s">
        <v>55</v>
      </c>
      <c r="K49">
        <v>0</v>
      </c>
      <c r="L49" t="s">
        <v>41</v>
      </c>
      <c r="M49" s="12">
        <v>6</v>
      </c>
      <c r="N49" s="3">
        <f>G49*M49</f>
        <v>270</v>
      </c>
      <c r="O49" s="1">
        <v>45678</v>
      </c>
      <c r="P49" s="1">
        <v>45840</v>
      </c>
      <c r="Q49" s="1">
        <v>45703</v>
      </c>
      <c r="R49">
        <v>401</v>
      </c>
      <c r="S49">
        <v>239</v>
      </c>
      <c r="T49">
        <v>376</v>
      </c>
      <c r="U49" t="str">
        <f t="shared" si="0"/>
        <v>Expiring Soon</v>
      </c>
      <c r="V49" t="s">
        <v>265</v>
      </c>
      <c r="W49">
        <v>44</v>
      </c>
      <c r="X49" s="3">
        <f t="shared" si="1"/>
        <v>11880</v>
      </c>
      <c r="Y49">
        <v>34</v>
      </c>
      <c r="Z49" t="s">
        <v>43</v>
      </c>
      <c r="AA49" s="3">
        <f>X49-Grocery_Inventory_and_Sales_Dat!N49</f>
        <v>11610</v>
      </c>
    </row>
    <row r="50" spans="1:27" x14ac:dyDescent="0.3">
      <c r="A50" t="s">
        <v>266</v>
      </c>
      <c r="B50" t="s">
        <v>230</v>
      </c>
      <c r="C50" t="s">
        <v>52</v>
      </c>
      <c r="D50" t="s">
        <v>267</v>
      </c>
      <c r="E50" s="13" t="s">
        <v>268</v>
      </c>
      <c r="G50" s="2">
        <v>92</v>
      </c>
      <c r="H50">
        <v>46</v>
      </c>
      <c r="I50">
        <v>13</v>
      </c>
      <c r="J50" t="s">
        <v>55</v>
      </c>
      <c r="K50">
        <v>0</v>
      </c>
      <c r="L50" t="s">
        <v>41</v>
      </c>
      <c r="M50" s="12">
        <v>5</v>
      </c>
      <c r="N50" s="3">
        <f>G50*M50</f>
        <v>460</v>
      </c>
      <c r="O50" s="1">
        <v>45501</v>
      </c>
      <c r="P50" s="1">
        <v>45583</v>
      </c>
      <c r="Q50" s="1">
        <v>45377</v>
      </c>
      <c r="R50">
        <v>578</v>
      </c>
      <c r="S50">
        <v>496</v>
      </c>
      <c r="T50">
        <v>702</v>
      </c>
      <c r="U50" t="str">
        <f t="shared" si="0"/>
        <v>Safe</v>
      </c>
      <c r="V50" t="s">
        <v>269</v>
      </c>
      <c r="W50">
        <v>24</v>
      </c>
      <c r="X50" s="3">
        <f t="shared" si="1"/>
        <v>11040</v>
      </c>
      <c r="Y50">
        <v>75</v>
      </c>
      <c r="Z50" t="s">
        <v>30</v>
      </c>
      <c r="AA50" s="3">
        <f>X50-Grocery_Inventory_and_Sales_Dat!N50</f>
        <v>10580</v>
      </c>
    </row>
    <row r="51" spans="1:27" x14ac:dyDescent="0.3">
      <c r="A51" t="s">
        <v>270</v>
      </c>
      <c r="B51" t="s">
        <v>271</v>
      </c>
      <c r="C51" t="s">
        <v>95</v>
      </c>
      <c r="D51" t="s">
        <v>272</v>
      </c>
      <c r="E51" s="13" t="s">
        <v>273</v>
      </c>
      <c r="G51" s="2">
        <v>41</v>
      </c>
      <c r="H51">
        <v>84</v>
      </c>
      <c r="I51">
        <v>90</v>
      </c>
      <c r="J51" t="s">
        <v>27</v>
      </c>
      <c r="K51">
        <v>84</v>
      </c>
      <c r="L51" t="s">
        <v>28</v>
      </c>
      <c r="M51" s="12">
        <v>4</v>
      </c>
      <c r="N51" s="3">
        <f>G51*M51</f>
        <v>164</v>
      </c>
      <c r="O51" s="1">
        <v>45685</v>
      </c>
      <c r="P51" s="1">
        <v>45624</v>
      </c>
      <c r="Q51" s="1">
        <v>45608</v>
      </c>
      <c r="R51">
        <v>394</v>
      </c>
      <c r="S51">
        <v>455</v>
      </c>
      <c r="T51">
        <v>471</v>
      </c>
      <c r="U51" t="str">
        <f t="shared" si="0"/>
        <v>Expiring Soon</v>
      </c>
      <c r="V51" t="s">
        <v>274</v>
      </c>
      <c r="W51">
        <v>42</v>
      </c>
      <c r="X51" s="3">
        <f t="shared" si="1"/>
        <v>6888</v>
      </c>
      <c r="Y51">
        <v>65</v>
      </c>
      <c r="Z51" t="s">
        <v>49</v>
      </c>
      <c r="AA51" s="3">
        <f>X51-Grocery_Inventory_and_Sales_Dat!N51</f>
        <v>6724</v>
      </c>
    </row>
    <row r="52" spans="1:27" x14ac:dyDescent="0.3">
      <c r="A52" t="s">
        <v>275</v>
      </c>
      <c r="B52" t="s">
        <v>225</v>
      </c>
      <c r="C52" t="s">
        <v>24</v>
      </c>
      <c r="D52" t="s">
        <v>276</v>
      </c>
      <c r="E52" s="13" t="s">
        <v>277</v>
      </c>
      <c r="G52" s="2">
        <v>41</v>
      </c>
      <c r="H52">
        <v>36</v>
      </c>
      <c r="I52">
        <v>78</v>
      </c>
      <c r="J52" t="s">
        <v>55</v>
      </c>
      <c r="K52">
        <v>0</v>
      </c>
      <c r="L52" t="s">
        <v>41</v>
      </c>
      <c r="M52" s="12">
        <v>4.5</v>
      </c>
      <c r="N52" s="3">
        <f>G52*M52</f>
        <v>184.5</v>
      </c>
      <c r="O52" s="1">
        <v>45389</v>
      </c>
      <c r="P52" s="1">
        <v>45392</v>
      </c>
      <c r="Q52" s="1">
        <v>45427</v>
      </c>
      <c r="R52">
        <v>690</v>
      </c>
      <c r="S52">
        <v>687</v>
      </c>
      <c r="T52">
        <v>652</v>
      </c>
      <c r="U52" t="str">
        <f t="shared" si="0"/>
        <v>Safe</v>
      </c>
      <c r="V52" t="s">
        <v>278</v>
      </c>
      <c r="W52">
        <v>38</v>
      </c>
      <c r="X52" s="3">
        <f t="shared" si="1"/>
        <v>7011</v>
      </c>
      <c r="Y52">
        <v>75</v>
      </c>
      <c r="Z52" t="s">
        <v>43</v>
      </c>
      <c r="AA52" s="3">
        <f>X52-Grocery_Inventory_and_Sales_Dat!N52</f>
        <v>6826.5</v>
      </c>
    </row>
    <row r="53" spans="1:27" x14ac:dyDescent="0.3">
      <c r="A53" t="s">
        <v>279</v>
      </c>
      <c r="B53" t="s">
        <v>280</v>
      </c>
      <c r="C53" t="s">
        <v>52</v>
      </c>
      <c r="D53" t="s">
        <v>281</v>
      </c>
      <c r="E53" s="13" t="s">
        <v>134</v>
      </c>
      <c r="G53" s="2">
        <v>85</v>
      </c>
      <c r="H53">
        <v>45</v>
      </c>
      <c r="I53">
        <v>71</v>
      </c>
      <c r="J53" t="s">
        <v>55</v>
      </c>
      <c r="K53">
        <v>0</v>
      </c>
      <c r="L53" t="s">
        <v>41</v>
      </c>
      <c r="M53" s="12">
        <v>3</v>
      </c>
      <c r="N53" s="3">
        <f>G53*M53</f>
        <v>255</v>
      </c>
      <c r="O53" s="1">
        <v>45371</v>
      </c>
      <c r="P53" s="1">
        <v>45654</v>
      </c>
      <c r="Q53" s="1">
        <v>45690</v>
      </c>
      <c r="R53">
        <v>708</v>
      </c>
      <c r="S53">
        <v>425</v>
      </c>
      <c r="T53">
        <v>389</v>
      </c>
      <c r="U53" t="str">
        <f t="shared" si="0"/>
        <v>Expiring Soon</v>
      </c>
      <c r="V53" t="s">
        <v>282</v>
      </c>
      <c r="W53">
        <v>95</v>
      </c>
      <c r="X53" s="3">
        <f t="shared" si="1"/>
        <v>24225</v>
      </c>
      <c r="Y53">
        <v>72</v>
      </c>
      <c r="Z53" t="s">
        <v>30</v>
      </c>
      <c r="AA53" s="3">
        <f>X53-Grocery_Inventory_and_Sales_Dat!N53</f>
        <v>23970</v>
      </c>
    </row>
    <row r="54" spans="1:27" x14ac:dyDescent="0.3">
      <c r="A54" t="s">
        <v>283</v>
      </c>
      <c r="B54" t="s">
        <v>187</v>
      </c>
      <c r="C54" t="s">
        <v>52</v>
      </c>
      <c r="D54" t="s">
        <v>284</v>
      </c>
      <c r="E54" s="13" t="s">
        <v>285</v>
      </c>
      <c r="G54" s="2">
        <v>44</v>
      </c>
      <c r="H54">
        <v>80</v>
      </c>
      <c r="I54">
        <v>84</v>
      </c>
      <c r="J54" t="s">
        <v>27</v>
      </c>
      <c r="K54">
        <v>80</v>
      </c>
      <c r="L54" t="s">
        <v>28</v>
      </c>
      <c r="M54" s="12">
        <v>3.4</v>
      </c>
      <c r="N54" s="3">
        <f>G54*M54</f>
        <v>149.6</v>
      </c>
      <c r="O54" s="1">
        <v>45534</v>
      </c>
      <c r="P54" s="1">
        <v>45582</v>
      </c>
      <c r="Q54" s="1">
        <v>45356</v>
      </c>
      <c r="R54">
        <v>545</v>
      </c>
      <c r="S54">
        <v>497</v>
      </c>
      <c r="T54">
        <v>723</v>
      </c>
      <c r="U54" t="str">
        <f t="shared" si="0"/>
        <v>Safe</v>
      </c>
      <c r="V54" t="s">
        <v>286</v>
      </c>
      <c r="W54">
        <v>96</v>
      </c>
      <c r="X54" s="3">
        <f t="shared" si="1"/>
        <v>14361.599999999999</v>
      </c>
      <c r="Y54">
        <v>68</v>
      </c>
      <c r="Z54" t="s">
        <v>30</v>
      </c>
      <c r="AA54" s="3">
        <f>X54-Grocery_Inventory_and_Sales_Dat!N54</f>
        <v>14211.999999999998</v>
      </c>
    </row>
    <row r="55" spans="1:27" x14ac:dyDescent="0.3">
      <c r="A55" t="s">
        <v>287</v>
      </c>
      <c r="B55" t="s">
        <v>288</v>
      </c>
      <c r="C55" t="s">
        <v>95</v>
      </c>
      <c r="D55" t="s">
        <v>289</v>
      </c>
      <c r="E55" s="13" t="s">
        <v>209</v>
      </c>
      <c r="G55" s="2">
        <v>92</v>
      </c>
      <c r="H55">
        <v>87</v>
      </c>
      <c r="I55">
        <v>84</v>
      </c>
      <c r="J55" t="s">
        <v>55</v>
      </c>
      <c r="K55">
        <v>0</v>
      </c>
      <c r="L55" t="s">
        <v>41</v>
      </c>
      <c r="M55" s="12">
        <v>2.5</v>
      </c>
      <c r="N55" s="3">
        <f>G55*M55</f>
        <v>230</v>
      </c>
      <c r="O55" s="1">
        <v>45584</v>
      </c>
      <c r="P55" s="1">
        <v>45457</v>
      </c>
      <c r="Q55" s="1">
        <v>45434</v>
      </c>
      <c r="R55">
        <v>495</v>
      </c>
      <c r="S55">
        <v>622</v>
      </c>
      <c r="T55">
        <v>645</v>
      </c>
      <c r="U55" t="str">
        <f t="shared" si="0"/>
        <v>Safe</v>
      </c>
      <c r="V55" t="s">
        <v>290</v>
      </c>
      <c r="W55">
        <v>61</v>
      </c>
      <c r="X55" s="3">
        <f t="shared" si="1"/>
        <v>14030</v>
      </c>
      <c r="Y55">
        <v>31</v>
      </c>
      <c r="Z55" t="s">
        <v>43</v>
      </c>
      <c r="AA55" s="3">
        <f>X55-Grocery_Inventory_and_Sales_Dat!N55</f>
        <v>13800</v>
      </c>
    </row>
    <row r="56" spans="1:27" x14ac:dyDescent="0.3">
      <c r="A56" t="s">
        <v>291</v>
      </c>
      <c r="B56" t="s">
        <v>292</v>
      </c>
      <c r="C56" t="s">
        <v>33</v>
      </c>
      <c r="D56" t="s">
        <v>293</v>
      </c>
      <c r="E56" s="13" t="s">
        <v>294</v>
      </c>
      <c r="G56" s="2">
        <v>62</v>
      </c>
      <c r="H56">
        <v>89</v>
      </c>
      <c r="I56">
        <v>18</v>
      </c>
      <c r="J56" t="s">
        <v>27</v>
      </c>
      <c r="K56">
        <v>89</v>
      </c>
      <c r="L56" t="s">
        <v>28</v>
      </c>
      <c r="M56" s="12">
        <v>12</v>
      </c>
      <c r="N56" s="3">
        <f>G56*M56</f>
        <v>744</v>
      </c>
      <c r="O56" s="1">
        <v>45629</v>
      </c>
      <c r="P56" s="1">
        <v>45993</v>
      </c>
      <c r="Q56" s="1">
        <v>45624</v>
      </c>
      <c r="R56">
        <v>450</v>
      </c>
      <c r="S56">
        <v>86</v>
      </c>
      <c r="T56">
        <v>455</v>
      </c>
      <c r="U56" t="str">
        <f t="shared" si="0"/>
        <v>Expiring Soon</v>
      </c>
      <c r="V56" t="s">
        <v>295</v>
      </c>
      <c r="W56">
        <v>35</v>
      </c>
      <c r="X56" s="3">
        <f t="shared" si="1"/>
        <v>26040</v>
      </c>
      <c r="Y56">
        <v>36</v>
      </c>
      <c r="Z56" t="s">
        <v>49</v>
      </c>
      <c r="AA56" s="3">
        <f>X56-Grocery_Inventory_and_Sales_Dat!N56</f>
        <v>25296</v>
      </c>
    </row>
    <row r="57" spans="1:27" x14ac:dyDescent="0.3">
      <c r="A57" t="s">
        <v>296</v>
      </c>
      <c r="B57" t="s">
        <v>220</v>
      </c>
      <c r="C57" t="s">
        <v>52</v>
      </c>
      <c r="D57" t="s">
        <v>297</v>
      </c>
      <c r="E57" s="13" t="s">
        <v>184</v>
      </c>
      <c r="G57" s="2">
        <v>26</v>
      </c>
      <c r="H57">
        <v>18</v>
      </c>
      <c r="I57">
        <v>62</v>
      </c>
      <c r="J57" t="s">
        <v>55</v>
      </c>
      <c r="K57">
        <v>0</v>
      </c>
      <c r="L57" t="s">
        <v>41</v>
      </c>
      <c r="M57" s="12">
        <v>2.5</v>
      </c>
      <c r="N57" s="3">
        <f>G57*M57</f>
        <v>65</v>
      </c>
      <c r="O57" s="1">
        <v>45501</v>
      </c>
      <c r="P57" s="1">
        <v>45494</v>
      </c>
      <c r="Q57" s="1">
        <v>45690</v>
      </c>
      <c r="R57">
        <v>578</v>
      </c>
      <c r="S57">
        <v>585</v>
      </c>
      <c r="T57">
        <v>389</v>
      </c>
      <c r="U57" t="str">
        <f t="shared" si="0"/>
        <v>Expiring Soon</v>
      </c>
      <c r="V57" t="s">
        <v>298</v>
      </c>
      <c r="W57">
        <v>57</v>
      </c>
      <c r="X57" s="3">
        <f t="shared" si="1"/>
        <v>3705</v>
      </c>
      <c r="Y57">
        <v>86</v>
      </c>
      <c r="Z57" t="s">
        <v>30</v>
      </c>
      <c r="AA57" s="3">
        <f>X57-Grocery_Inventory_and_Sales_Dat!N57</f>
        <v>3640</v>
      </c>
    </row>
    <row r="58" spans="1:27" x14ac:dyDescent="0.3">
      <c r="A58" t="s">
        <v>299</v>
      </c>
      <c r="B58" t="s">
        <v>271</v>
      </c>
      <c r="C58" t="s">
        <v>95</v>
      </c>
      <c r="D58" t="s">
        <v>300</v>
      </c>
      <c r="E58" s="13" t="s">
        <v>301</v>
      </c>
      <c r="G58" s="2">
        <v>59</v>
      </c>
      <c r="H58">
        <v>78</v>
      </c>
      <c r="I58">
        <v>6</v>
      </c>
      <c r="J58" t="s">
        <v>27</v>
      </c>
      <c r="K58">
        <v>78</v>
      </c>
      <c r="L58" t="s">
        <v>28</v>
      </c>
      <c r="M58" s="12">
        <v>4.5</v>
      </c>
      <c r="N58" s="3">
        <f>G58*M58</f>
        <v>265.5</v>
      </c>
      <c r="O58" s="1">
        <v>45362</v>
      </c>
      <c r="P58" s="1">
        <v>45571</v>
      </c>
      <c r="Q58" s="1">
        <v>45622</v>
      </c>
      <c r="R58">
        <v>717</v>
      </c>
      <c r="S58">
        <v>508</v>
      </c>
      <c r="T58">
        <v>457</v>
      </c>
      <c r="U58" t="str">
        <f t="shared" si="0"/>
        <v>Expiring Soon</v>
      </c>
      <c r="V58" t="s">
        <v>302</v>
      </c>
      <c r="W58">
        <v>32</v>
      </c>
      <c r="X58" s="3">
        <f t="shared" si="1"/>
        <v>8496</v>
      </c>
      <c r="Y58">
        <v>3</v>
      </c>
      <c r="Z58" t="s">
        <v>49</v>
      </c>
      <c r="AA58" s="3">
        <f>X58-Grocery_Inventory_and_Sales_Dat!N58</f>
        <v>8230.5</v>
      </c>
    </row>
    <row r="59" spans="1:27" x14ac:dyDescent="0.3">
      <c r="A59" t="s">
        <v>303</v>
      </c>
      <c r="B59" t="s">
        <v>280</v>
      </c>
      <c r="C59" t="s">
        <v>52</v>
      </c>
      <c r="D59" t="s">
        <v>304</v>
      </c>
      <c r="E59" s="13" t="s">
        <v>305</v>
      </c>
      <c r="G59" s="2">
        <v>88</v>
      </c>
      <c r="H59">
        <v>37</v>
      </c>
      <c r="I59">
        <v>61</v>
      </c>
      <c r="J59" t="s">
        <v>55</v>
      </c>
      <c r="K59">
        <v>0</v>
      </c>
      <c r="L59" t="s">
        <v>41</v>
      </c>
      <c r="M59" s="12">
        <v>2.9</v>
      </c>
      <c r="N59" s="3">
        <f>G59*M59</f>
        <v>255.2</v>
      </c>
      <c r="O59" s="1">
        <v>45718</v>
      </c>
      <c r="P59" s="1">
        <v>45609</v>
      </c>
      <c r="Q59" s="1">
        <v>45370</v>
      </c>
      <c r="R59">
        <v>361</v>
      </c>
      <c r="S59">
        <v>470</v>
      </c>
      <c r="T59">
        <v>709</v>
      </c>
      <c r="U59" t="str">
        <f t="shared" si="0"/>
        <v>Safe</v>
      </c>
      <c r="V59" t="s">
        <v>306</v>
      </c>
      <c r="W59">
        <v>63</v>
      </c>
      <c r="X59" s="3">
        <f t="shared" si="1"/>
        <v>16077.599999999999</v>
      </c>
      <c r="Y59">
        <v>35</v>
      </c>
      <c r="Z59" t="s">
        <v>30</v>
      </c>
      <c r="AA59" s="3">
        <f>X59-Grocery_Inventory_and_Sales_Dat!N59</f>
        <v>15822.399999999998</v>
      </c>
    </row>
    <row r="60" spans="1:27" x14ac:dyDescent="0.3">
      <c r="A60" t="s">
        <v>307</v>
      </c>
      <c r="B60" t="s">
        <v>308</v>
      </c>
      <c r="C60" t="s">
        <v>138</v>
      </c>
      <c r="D60" t="s">
        <v>309</v>
      </c>
      <c r="E60" s="13" t="s">
        <v>310</v>
      </c>
      <c r="G60" s="2">
        <v>91</v>
      </c>
      <c r="H60">
        <v>59</v>
      </c>
      <c r="I60">
        <v>49</v>
      </c>
      <c r="J60" t="s">
        <v>55</v>
      </c>
      <c r="K60">
        <v>0</v>
      </c>
      <c r="L60" t="s">
        <v>41</v>
      </c>
      <c r="M60" s="12">
        <v>6</v>
      </c>
      <c r="N60" s="3">
        <f>G60*M60</f>
        <v>546</v>
      </c>
      <c r="O60" s="1">
        <v>45588</v>
      </c>
      <c r="P60" s="1">
        <v>45416</v>
      </c>
      <c r="Q60" s="1">
        <v>45469</v>
      </c>
      <c r="R60">
        <v>491</v>
      </c>
      <c r="S60">
        <v>663</v>
      </c>
      <c r="T60">
        <v>610</v>
      </c>
      <c r="U60" t="str">
        <f t="shared" si="0"/>
        <v>Safe</v>
      </c>
      <c r="V60" t="s">
        <v>311</v>
      </c>
      <c r="W60">
        <v>30</v>
      </c>
      <c r="X60" s="3">
        <f t="shared" si="1"/>
        <v>16380</v>
      </c>
      <c r="Y60">
        <v>63</v>
      </c>
      <c r="Z60" t="s">
        <v>49</v>
      </c>
      <c r="AA60" s="3">
        <f>X60-Grocery_Inventory_and_Sales_Dat!N60</f>
        <v>15834</v>
      </c>
    </row>
    <row r="61" spans="1:27" x14ac:dyDescent="0.3">
      <c r="A61" t="s">
        <v>312</v>
      </c>
      <c r="B61" t="s">
        <v>192</v>
      </c>
      <c r="C61" t="s">
        <v>64</v>
      </c>
      <c r="D61" t="s">
        <v>313</v>
      </c>
      <c r="E61" s="13" t="s">
        <v>314</v>
      </c>
      <c r="G61" s="2">
        <v>28</v>
      </c>
      <c r="H61">
        <v>17</v>
      </c>
      <c r="I61">
        <v>28</v>
      </c>
      <c r="J61" t="s">
        <v>55</v>
      </c>
      <c r="K61">
        <v>0</v>
      </c>
      <c r="L61" t="s">
        <v>41</v>
      </c>
      <c r="M61" s="12">
        <v>6</v>
      </c>
      <c r="N61" s="3">
        <f>G61*M61</f>
        <v>168</v>
      </c>
      <c r="O61" s="1">
        <v>45589</v>
      </c>
      <c r="P61" s="1">
        <v>45524</v>
      </c>
      <c r="Q61" s="1">
        <v>45531</v>
      </c>
      <c r="R61">
        <v>490</v>
      </c>
      <c r="S61">
        <v>555</v>
      </c>
      <c r="T61">
        <v>548</v>
      </c>
      <c r="U61" t="str">
        <f t="shared" si="0"/>
        <v>Expiring Soon</v>
      </c>
      <c r="V61" t="s">
        <v>315</v>
      </c>
      <c r="W61">
        <v>38</v>
      </c>
      <c r="X61" s="3">
        <f t="shared" si="1"/>
        <v>6384</v>
      </c>
      <c r="Y61">
        <v>25</v>
      </c>
      <c r="Z61" t="s">
        <v>49</v>
      </c>
      <c r="AA61" s="3">
        <f>X61-Grocery_Inventory_and_Sales_Dat!N61</f>
        <v>6216</v>
      </c>
    </row>
    <row r="62" spans="1:27" x14ac:dyDescent="0.3">
      <c r="A62" t="s">
        <v>316</v>
      </c>
      <c r="B62" t="s">
        <v>317</v>
      </c>
      <c r="C62" t="s">
        <v>52</v>
      </c>
      <c r="D62" t="s">
        <v>318</v>
      </c>
      <c r="E62" s="13" t="s">
        <v>319</v>
      </c>
      <c r="G62" s="2">
        <v>51</v>
      </c>
      <c r="H62">
        <v>60</v>
      </c>
      <c r="I62">
        <v>98</v>
      </c>
      <c r="J62" t="s">
        <v>27</v>
      </c>
      <c r="K62">
        <v>60</v>
      </c>
      <c r="L62" t="s">
        <v>41</v>
      </c>
      <c r="M62" s="12">
        <v>1.5</v>
      </c>
      <c r="N62" s="3">
        <f>G62*M62</f>
        <v>76.5</v>
      </c>
      <c r="O62" s="1">
        <v>45296</v>
      </c>
      <c r="P62" s="1">
        <v>45638</v>
      </c>
      <c r="Q62" s="1">
        <v>45561</v>
      </c>
      <c r="R62">
        <v>783</v>
      </c>
      <c r="S62">
        <v>441</v>
      </c>
      <c r="T62">
        <v>518</v>
      </c>
      <c r="U62" t="str">
        <f t="shared" si="0"/>
        <v>Expiring Soon</v>
      </c>
      <c r="V62" t="s">
        <v>320</v>
      </c>
      <c r="W62">
        <v>44</v>
      </c>
      <c r="X62" s="3">
        <f t="shared" si="1"/>
        <v>3366</v>
      </c>
      <c r="Y62">
        <v>95</v>
      </c>
      <c r="Z62" t="s">
        <v>30</v>
      </c>
      <c r="AA62" s="3">
        <f>X62-Grocery_Inventory_and_Sales_Dat!N62</f>
        <v>3289.5</v>
      </c>
    </row>
    <row r="63" spans="1:27" x14ac:dyDescent="0.3">
      <c r="A63" t="s">
        <v>321</v>
      </c>
      <c r="B63" t="s">
        <v>322</v>
      </c>
      <c r="C63" t="s">
        <v>33</v>
      </c>
      <c r="D63" t="s">
        <v>323</v>
      </c>
      <c r="E63" s="13" t="s">
        <v>324</v>
      </c>
      <c r="G63" s="2">
        <v>46</v>
      </c>
      <c r="H63">
        <v>27</v>
      </c>
      <c r="I63">
        <v>76</v>
      </c>
      <c r="J63" t="s">
        <v>55</v>
      </c>
      <c r="K63">
        <v>0</v>
      </c>
      <c r="L63" t="s">
        <v>41</v>
      </c>
      <c r="M63" s="12">
        <v>5</v>
      </c>
      <c r="N63" s="3">
        <f>G63*M63</f>
        <v>230</v>
      </c>
      <c r="O63" s="1">
        <v>45550</v>
      </c>
      <c r="P63" s="1">
        <v>45558</v>
      </c>
      <c r="Q63" s="1">
        <v>45670</v>
      </c>
      <c r="R63">
        <v>529</v>
      </c>
      <c r="S63">
        <v>521</v>
      </c>
      <c r="T63">
        <v>409</v>
      </c>
      <c r="U63" t="str">
        <f t="shared" si="0"/>
        <v>Expiring Soon</v>
      </c>
      <c r="V63" t="s">
        <v>325</v>
      </c>
      <c r="W63">
        <v>64</v>
      </c>
      <c r="X63" s="3">
        <f t="shared" si="1"/>
        <v>14720</v>
      </c>
      <c r="Y63">
        <v>96</v>
      </c>
      <c r="Z63" t="s">
        <v>49</v>
      </c>
      <c r="AA63" s="3">
        <f>X63-Grocery_Inventory_and_Sales_Dat!N63</f>
        <v>14490</v>
      </c>
    </row>
    <row r="64" spans="1:27" x14ac:dyDescent="0.3">
      <c r="A64" t="s">
        <v>326</v>
      </c>
      <c r="B64" t="s">
        <v>177</v>
      </c>
      <c r="C64" t="s">
        <v>52</v>
      </c>
      <c r="D64" t="s">
        <v>327</v>
      </c>
      <c r="E64" s="13" t="s">
        <v>328</v>
      </c>
      <c r="G64" s="2">
        <v>82</v>
      </c>
      <c r="H64">
        <v>65</v>
      </c>
      <c r="I64">
        <v>69</v>
      </c>
      <c r="J64" t="s">
        <v>55</v>
      </c>
      <c r="K64">
        <v>0</v>
      </c>
      <c r="L64" t="s">
        <v>41</v>
      </c>
      <c r="M64" s="12">
        <v>4.45</v>
      </c>
      <c r="N64" s="3">
        <f>G64*M64</f>
        <v>364.90000000000003</v>
      </c>
      <c r="O64" s="1">
        <v>45600</v>
      </c>
      <c r="P64" s="1">
        <v>45637</v>
      </c>
      <c r="Q64" s="1">
        <v>45512</v>
      </c>
      <c r="R64">
        <v>479</v>
      </c>
      <c r="S64">
        <v>442</v>
      </c>
      <c r="T64">
        <v>567</v>
      </c>
      <c r="U64" t="str">
        <f t="shared" si="0"/>
        <v>Safe</v>
      </c>
      <c r="V64" t="s">
        <v>329</v>
      </c>
      <c r="W64">
        <v>30</v>
      </c>
      <c r="X64" s="3">
        <f t="shared" si="1"/>
        <v>10947.000000000002</v>
      </c>
      <c r="Y64">
        <v>78</v>
      </c>
      <c r="Z64" t="s">
        <v>43</v>
      </c>
      <c r="AA64" s="3">
        <f>X64-Grocery_Inventory_and_Sales_Dat!N64</f>
        <v>10582.100000000002</v>
      </c>
    </row>
    <row r="65" spans="1:27" x14ac:dyDescent="0.3">
      <c r="A65" t="s">
        <v>330</v>
      </c>
      <c r="B65" t="s">
        <v>192</v>
      </c>
      <c r="C65" t="s">
        <v>64</v>
      </c>
      <c r="D65" t="s">
        <v>331</v>
      </c>
      <c r="E65" s="13" t="s">
        <v>204</v>
      </c>
      <c r="G65" s="2">
        <v>100</v>
      </c>
      <c r="H65">
        <v>92</v>
      </c>
      <c r="I65">
        <v>26</v>
      </c>
      <c r="J65" t="s">
        <v>55</v>
      </c>
      <c r="K65">
        <v>0</v>
      </c>
      <c r="L65" t="s">
        <v>41</v>
      </c>
      <c r="M65" s="12">
        <v>6</v>
      </c>
      <c r="N65" s="3">
        <f>G65*M65</f>
        <v>600</v>
      </c>
      <c r="O65" s="1">
        <v>45417</v>
      </c>
      <c r="P65" s="1">
        <v>45680</v>
      </c>
      <c r="Q65" s="1">
        <v>45704</v>
      </c>
      <c r="R65">
        <v>662</v>
      </c>
      <c r="S65">
        <v>399</v>
      </c>
      <c r="T65">
        <v>375</v>
      </c>
      <c r="U65" t="str">
        <f t="shared" si="0"/>
        <v>Expiring Soon</v>
      </c>
      <c r="V65" t="s">
        <v>332</v>
      </c>
      <c r="W65">
        <v>84</v>
      </c>
      <c r="X65" s="3">
        <f t="shared" si="1"/>
        <v>50400</v>
      </c>
      <c r="Y65">
        <v>9</v>
      </c>
      <c r="Z65" t="s">
        <v>49</v>
      </c>
      <c r="AA65" s="3">
        <f>X65-Grocery_Inventory_and_Sales_Dat!N65</f>
        <v>49800</v>
      </c>
    </row>
    <row r="66" spans="1:27" x14ac:dyDescent="0.3">
      <c r="A66" t="s">
        <v>333</v>
      </c>
      <c r="B66" t="s">
        <v>334</v>
      </c>
      <c r="C66" t="s">
        <v>70</v>
      </c>
      <c r="D66" t="s">
        <v>335</v>
      </c>
      <c r="E66" s="13" t="s">
        <v>336</v>
      </c>
      <c r="G66" s="2">
        <v>51</v>
      </c>
      <c r="H66">
        <v>53</v>
      </c>
      <c r="I66">
        <v>88</v>
      </c>
      <c r="J66" t="s">
        <v>27</v>
      </c>
      <c r="K66">
        <v>53</v>
      </c>
      <c r="L66" t="s">
        <v>41</v>
      </c>
      <c r="M66" s="12">
        <v>6</v>
      </c>
      <c r="N66" s="3">
        <f>G66*M66</f>
        <v>306</v>
      </c>
      <c r="O66" s="1">
        <v>45688</v>
      </c>
      <c r="P66" s="1">
        <v>45473</v>
      </c>
      <c r="Q66" s="1">
        <v>45559</v>
      </c>
      <c r="R66">
        <v>391</v>
      </c>
      <c r="S66">
        <v>606</v>
      </c>
      <c r="T66">
        <v>520</v>
      </c>
      <c r="U66" t="str">
        <f t="shared" si="0"/>
        <v>Expiring Soon</v>
      </c>
      <c r="V66" t="s">
        <v>337</v>
      </c>
      <c r="W66">
        <v>54</v>
      </c>
      <c r="X66" s="3">
        <f t="shared" si="1"/>
        <v>16524</v>
      </c>
      <c r="Y66">
        <v>59</v>
      </c>
      <c r="Z66" t="s">
        <v>30</v>
      </c>
      <c r="AA66" s="3">
        <f>X66-Grocery_Inventory_and_Sales_Dat!N66</f>
        <v>16218</v>
      </c>
    </row>
    <row r="67" spans="1:27" x14ac:dyDescent="0.3">
      <c r="A67" t="s">
        <v>338</v>
      </c>
      <c r="B67" t="s">
        <v>240</v>
      </c>
      <c r="C67" t="s">
        <v>33</v>
      </c>
      <c r="D67" t="s">
        <v>339</v>
      </c>
      <c r="E67" s="13" t="s">
        <v>217</v>
      </c>
      <c r="G67" s="2">
        <v>61</v>
      </c>
      <c r="H67">
        <v>43</v>
      </c>
      <c r="I67">
        <v>29</v>
      </c>
      <c r="J67" t="s">
        <v>55</v>
      </c>
      <c r="K67">
        <v>0</v>
      </c>
      <c r="L67" t="s">
        <v>41</v>
      </c>
      <c r="M67" s="12">
        <v>15</v>
      </c>
      <c r="N67" s="3">
        <f>G67*M67</f>
        <v>915</v>
      </c>
      <c r="O67" s="1">
        <v>45718</v>
      </c>
      <c r="P67" s="1">
        <v>45590</v>
      </c>
      <c r="Q67" s="1">
        <v>45354</v>
      </c>
      <c r="R67">
        <v>361</v>
      </c>
      <c r="S67">
        <v>489</v>
      </c>
      <c r="T67">
        <v>725</v>
      </c>
      <c r="U67" t="str">
        <f t="shared" ref="U67:U130" si="2">IF(T67&lt;0,"Expired",IF(T67&lt;=550,"Expiring Soon","Safe"))</f>
        <v>Safe</v>
      </c>
      <c r="V67" t="s">
        <v>340</v>
      </c>
      <c r="W67">
        <v>67</v>
      </c>
      <c r="X67" s="3">
        <f t="shared" ref="X67:X130" si="3">W67*N67</f>
        <v>61305</v>
      </c>
      <c r="Y67">
        <v>6</v>
      </c>
      <c r="Z67" t="s">
        <v>30</v>
      </c>
      <c r="AA67" s="3">
        <f>X67-Grocery_Inventory_and_Sales_Dat!N67</f>
        <v>60390</v>
      </c>
    </row>
    <row r="68" spans="1:27" x14ac:dyDescent="0.3">
      <c r="A68" t="s">
        <v>341</v>
      </c>
      <c r="B68" t="s">
        <v>342</v>
      </c>
      <c r="C68" t="s">
        <v>33</v>
      </c>
      <c r="D68" t="s">
        <v>343</v>
      </c>
      <c r="E68" s="13" t="s">
        <v>344</v>
      </c>
      <c r="G68" s="2">
        <v>99</v>
      </c>
      <c r="H68">
        <v>87</v>
      </c>
      <c r="I68">
        <v>10</v>
      </c>
      <c r="J68" t="s">
        <v>55</v>
      </c>
      <c r="K68">
        <v>0</v>
      </c>
      <c r="L68" t="s">
        <v>41</v>
      </c>
      <c r="M68" s="12">
        <v>25</v>
      </c>
      <c r="N68" s="3">
        <f>G68*M68</f>
        <v>2475</v>
      </c>
      <c r="O68" s="1">
        <v>45516</v>
      </c>
      <c r="P68" s="1">
        <v>45351</v>
      </c>
      <c r="Q68" s="1">
        <v>45368</v>
      </c>
      <c r="R68">
        <v>563</v>
      </c>
      <c r="S68">
        <v>728</v>
      </c>
      <c r="T68">
        <v>711</v>
      </c>
      <c r="U68" t="str">
        <f t="shared" si="2"/>
        <v>Safe</v>
      </c>
      <c r="V68" t="s">
        <v>345</v>
      </c>
      <c r="W68">
        <v>93</v>
      </c>
      <c r="X68" s="3">
        <f t="shared" si="3"/>
        <v>230175</v>
      </c>
      <c r="Y68">
        <v>70</v>
      </c>
      <c r="Z68" t="s">
        <v>49</v>
      </c>
      <c r="AA68" s="3">
        <f>X68-Grocery_Inventory_and_Sales_Dat!N68</f>
        <v>227700</v>
      </c>
    </row>
    <row r="69" spans="1:27" x14ac:dyDescent="0.3">
      <c r="A69" t="s">
        <v>346</v>
      </c>
      <c r="B69" t="s">
        <v>182</v>
      </c>
      <c r="C69" t="s">
        <v>52</v>
      </c>
      <c r="D69" t="s">
        <v>347</v>
      </c>
      <c r="E69" s="13" t="s">
        <v>145</v>
      </c>
      <c r="G69" s="2">
        <v>13</v>
      </c>
      <c r="H69">
        <v>60</v>
      </c>
      <c r="I69">
        <v>100</v>
      </c>
      <c r="J69" t="s">
        <v>27</v>
      </c>
      <c r="K69">
        <v>60</v>
      </c>
      <c r="L69" t="s">
        <v>41</v>
      </c>
      <c r="M69" s="12">
        <v>1.8</v>
      </c>
      <c r="N69" s="3">
        <f>G69*M69</f>
        <v>23.400000000000002</v>
      </c>
      <c r="O69" s="1">
        <v>45491</v>
      </c>
      <c r="P69" s="1">
        <v>45673</v>
      </c>
      <c r="Q69" s="1">
        <v>45467</v>
      </c>
      <c r="R69">
        <v>588</v>
      </c>
      <c r="S69">
        <v>406</v>
      </c>
      <c r="T69">
        <v>612</v>
      </c>
      <c r="U69" t="str">
        <f t="shared" si="2"/>
        <v>Safe</v>
      </c>
      <c r="V69" t="s">
        <v>348</v>
      </c>
      <c r="W69">
        <v>44</v>
      </c>
      <c r="X69" s="3">
        <f t="shared" si="3"/>
        <v>1029.6000000000001</v>
      </c>
      <c r="Y69">
        <v>32</v>
      </c>
      <c r="Z69" t="s">
        <v>43</v>
      </c>
      <c r="AA69" s="3">
        <f>X69-Grocery_Inventory_and_Sales_Dat!N69</f>
        <v>1006.2000000000002</v>
      </c>
    </row>
    <row r="70" spans="1:27" x14ac:dyDescent="0.3">
      <c r="A70" t="s">
        <v>349</v>
      </c>
      <c r="B70" t="s">
        <v>350</v>
      </c>
      <c r="C70" t="s">
        <v>70</v>
      </c>
      <c r="D70" t="s">
        <v>351</v>
      </c>
      <c r="E70" s="13" t="s">
        <v>352</v>
      </c>
      <c r="G70" s="2">
        <v>45</v>
      </c>
      <c r="H70">
        <v>63</v>
      </c>
      <c r="I70">
        <v>75</v>
      </c>
      <c r="J70" t="s">
        <v>27</v>
      </c>
      <c r="K70">
        <v>63</v>
      </c>
      <c r="L70" t="s">
        <v>28</v>
      </c>
      <c r="M70" s="12">
        <v>7</v>
      </c>
      <c r="N70" s="3">
        <f>G70*M70</f>
        <v>315</v>
      </c>
      <c r="O70" s="1">
        <v>45685</v>
      </c>
      <c r="P70" s="1">
        <v>45616</v>
      </c>
      <c r="Q70" s="1">
        <v>45697</v>
      </c>
      <c r="R70">
        <v>394</v>
      </c>
      <c r="S70">
        <v>463</v>
      </c>
      <c r="T70">
        <v>382</v>
      </c>
      <c r="U70" t="str">
        <f t="shared" si="2"/>
        <v>Expiring Soon</v>
      </c>
      <c r="V70" t="s">
        <v>353</v>
      </c>
      <c r="W70">
        <v>83</v>
      </c>
      <c r="X70" s="3">
        <f t="shared" si="3"/>
        <v>26145</v>
      </c>
      <c r="Y70">
        <v>5</v>
      </c>
      <c r="Z70" t="s">
        <v>30</v>
      </c>
      <c r="AA70" s="3">
        <f>X70-Grocery_Inventory_and_Sales_Dat!N70</f>
        <v>25830</v>
      </c>
    </row>
    <row r="71" spans="1:27" x14ac:dyDescent="0.3">
      <c r="A71" t="s">
        <v>354</v>
      </c>
      <c r="B71" t="s">
        <v>355</v>
      </c>
      <c r="C71" t="s">
        <v>52</v>
      </c>
      <c r="D71" t="s">
        <v>356</v>
      </c>
      <c r="E71" s="13" t="s">
        <v>357</v>
      </c>
      <c r="G71" s="2">
        <v>73</v>
      </c>
      <c r="H71">
        <v>87</v>
      </c>
      <c r="I71">
        <v>46</v>
      </c>
      <c r="J71" t="s">
        <v>27</v>
      </c>
      <c r="K71">
        <v>87</v>
      </c>
      <c r="L71" t="s">
        <v>28</v>
      </c>
      <c r="M71" s="12">
        <v>4</v>
      </c>
      <c r="N71" s="3">
        <f>G71*M71</f>
        <v>292</v>
      </c>
      <c r="O71" s="1">
        <v>45559</v>
      </c>
      <c r="P71" s="1">
        <v>45672</v>
      </c>
      <c r="Q71" s="1">
        <v>45423</v>
      </c>
      <c r="R71">
        <v>520</v>
      </c>
      <c r="S71">
        <v>407</v>
      </c>
      <c r="T71">
        <v>656</v>
      </c>
      <c r="U71" t="str">
        <f t="shared" si="2"/>
        <v>Safe</v>
      </c>
      <c r="V71" t="s">
        <v>358</v>
      </c>
      <c r="W71">
        <v>47</v>
      </c>
      <c r="X71" s="3">
        <f t="shared" si="3"/>
        <v>13724</v>
      </c>
      <c r="Y71">
        <v>67</v>
      </c>
      <c r="Z71" t="s">
        <v>30</v>
      </c>
      <c r="AA71" s="3">
        <f>X71-Grocery_Inventory_and_Sales_Dat!N71</f>
        <v>13432</v>
      </c>
    </row>
    <row r="72" spans="1:27" x14ac:dyDescent="0.3">
      <c r="A72" t="s">
        <v>359</v>
      </c>
      <c r="B72" t="s">
        <v>360</v>
      </c>
      <c r="C72" t="s">
        <v>52</v>
      </c>
      <c r="D72" t="s">
        <v>361</v>
      </c>
      <c r="E72" s="13" t="s">
        <v>362</v>
      </c>
      <c r="G72" s="2">
        <v>39</v>
      </c>
      <c r="H72">
        <v>21</v>
      </c>
      <c r="I72">
        <v>5</v>
      </c>
      <c r="J72" t="s">
        <v>55</v>
      </c>
      <c r="K72">
        <v>0</v>
      </c>
      <c r="L72" t="s">
        <v>41</v>
      </c>
      <c r="M72" s="12">
        <v>3</v>
      </c>
      <c r="N72" s="3">
        <f>G72*M72</f>
        <v>117</v>
      </c>
      <c r="O72" s="1">
        <v>45620</v>
      </c>
      <c r="P72" s="1">
        <v>45296</v>
      </c>
      <c r="Q72" s="1">
        <v>45665</v>
      </c>
      <c r="R72">
        <v>459</v>
      </c>
      <c r="S72">
        <v>783</v>
      </c>
      <c r="T72">
        <v>414</v>
      </c>
      <c r="U72" t="str">
        <f t="shared" si="2"/>
        <v>Expiring Soon</v>
      </c>
      <c r="V72" t="s">
        <v>363</v>
      </c>
      <c r="W72">
        <v>51</v>
      </c>
      <c r="X72" s="3">
        <f t="shared" si="3"/>
        <v>5967</v>
      </c>
      <c r="Y72">
        <v>98</v>
      </c>
      <c r="Z72" t="s">
        <v>43</v>
      </c>
      <c r="AA72" s="3">
        <f>X72-Grocery_Inventory_and_Sales_Dat!N72</f>
        <v>5850</v>
      </c>
    </row>
    <row r="73" spans="1:27" x14ac:dyDescent="0.3">
      <c r="A73" t="s">
        <v>364</v>
      </c>
      <c r="B73" t="s">
        <v>137</v>
      </c>
      <c r="C73" t="s">
        <v>138</v>
      </c>
      <c r="D73" t="s">
        <v>365</v>
      </c>
      <c r="E73" s="13" t="s">
        <v>366</v>
      </c>
      <c r="G73" s="2">
        <v>29</v>
      </c>
      <c r="H73">
        <v>72</v>
      </c>
      <c r="I73">
        <v>96</v>
      </c>
      <c r="J73" t="s">
        <v>27</v>
      </c>
      <c r="K73">
        <v>72</v>
      </c>
      <c r="L73" t="s">
        <v>28</v>
      </c>
      <c r="M73" s="12">
        <v>12</v>
      </c>
      <c r="N73" s="3">
        <f>G73*M73</f>
        <v>348</v>
      </c>
      <c r="O73" s="1">
        <v>45356</v>
      </c>
      <c r="P73" s="1">
        <v>45622</v>
      </c>
      <c r="Q73" s="1">
        <v>45666</v>
      </c>
      <c r="R73">
        <v>723</v>
      </c>
      <c r="S73">
        <v>457</v>
      </c>
      <c r="T73">
        <v>413</v>
      </c>
      <c r="U73" t="str">
        <f t="shared" si="2"/>
        <v>Expiring Soon</v>
      </c>
      <c r="V73" t="s">
        <v>367</v>
      </c>
      <c r="W73">
        <v>85</v>
      </c>
      <c r="X73" s="3">
        <f t="shared" si="3"/>
        <v>29580</v>
      </c>
      <c r="Y73">
        <v>52</v>
      </c>
      <c r="Z73" t="s">
        <v>49</v>
      </c>
      <c r="AA73" s="3">
        <f>X73-Grocery_Inventory_and_Sales_Dat!N73</f>
        <v>29232</v>
      </c>
    </row>
    <row r="74" spans="1:27" x14ac:dyDescent="0.3">
      <c r="A74" t="s">
        <v>368</v>
      </c>
      <c r="B74" t="s">
        <v>369</v>
      </c>
      <c r="C74" t="s">
        <v>70</v>
      </c>
      <c r="D74" t="s">
        <v>370</v>
      </c>
      <c r="E74" s="13" t="s">
        <v>371</v>
      </c>
      <c r="G74" s="2">
        <v>12</v>
      </c>
      <c r="H74">
        <v>60</v>
      </c>
      <c r="I74">
        <v>73</v>
      </c>
      <c r="J74" t="s">
        <v>27</v>
      </c>
      <c r="K74">
        <v>60</v>
      </c>
      <c r="L74" t="s">
        <v>41</v>
      </c>
      <c r="M74" s="12">
        <v>4</v>
      </c>
      <c r="N74" s="3">
        <f>G74*M74</f>
        <v>48</v>
      </c>
      <c r="O74" s="1">
        <v>45718</v>
      </c>
      <c r="P74" s="1">
        <v>45367</v>
      </c>
      <c r="Q74" s="1">
        <v>45536</v>
      </c>
      <c r="R74">
        <v>361</v>
      </c>
      <c r="S74">
        <v>712</v>
      </c>
      <c r="T74">
        <v>543</v>
      </c>
      <c r="U74" t="str">
        <f t="shared" si="2"/>
        <v>Expiring Soon</v>
      </c>
      <c r="V74" t="s">
        <v>372</v>
      </c>
      <c r="W74">
        <v>20</v>
      </c>
      <c r="X74" s="3">
        <f t="shared" si="3"/>
        <v>960</v>
      </c>
      <c r="Y74">
        <v>35</v>
      </c>
      <c r="Z74" t="s">
        <v>30</v>
      </c>
      <c r="AA74" s="3">
        <f>X74-Grocery_Inventory_and_Sales_Dat!N74</f>
        <v>912</v>
      </c>
    </row>
    <row r="75" spans="1:27" x14ac:dyDescent="0.3">
      <c r="A75" t="s">
        <v>373</v>
      </c>
      <c r="B75" t="s">
        <v>374</v>
      </c>
      <c r="C75" t="s">
        <v>52</v>
      </c>
      <c r="D75" t="s">
        <v>375</v>
      </c>
      <c r="E75" s="13" t="s">
        <v>376</v>
      </c>
      <c r="G75" s="2">
        <v>96</v>
      </c>
      <c r="H75">
        <v>33</v>
      </c>
      <c r="I75">
        <v>72</v>
      </c>
      <c r="J75" t="s">
        <v>55</v>
      </c>
      <c r="K75">
        <v>0</v>
      </c>
      <c r="L75" t="s">
        <v>41</v>
      </c>
      <c r="M75" s="12">
        <v>4.45</v>
      </c>
      <c r="N75" s="3">
        <f>G75*M75</f>
        <v>427.20000000000005</v>
      </c>
      <c r="O75" s="1">
        <v>45568</v>
      </c>
      <c r="P75" s="1">
        <v>45428</v>
      </c>
      <c r="Q75" s="1">
        <v>45485</v>
      </c>
      <c r="R75">
        <v>511</v>
      </c>
      <c r="S75">
        <v>651</v>
      </c>
      <c r="T75">
        <v>594</v>
      </c>
      <c r="U75" t="str">
        <f t="shared" si="2"/>
        <v>Safe</v>
      </c>
      <c r="V75" t="s">
        <v>377</v>
      </c>
      <c r="W75">
        <v>74</v>
      </c>
      <c r="X75" s="3">
        <f t="shared" si="3"/>
        <v>31612.800000000003</v>
      </c>
      <c r="Y75">
        <v>100</v>
      </c>
      <c r="Z75" t="s">
        <v>49</v>
      </c>
      <c r="AA75" s="3">
        <f>X75-Grocery_Inventory_and_Sales_Dat!N75</f>
        <v>31185.600000000002</v>
      </c>
    </row>
    <row r="76" spans="1:27" x14ac:dyDescent="0.3">
      <c r="A76" t="s">
        <v>378</v>
      </c>
      <c r="B76" t="s">
        <v>207</v>
      </c>
      <c r="C76" t="s">
        <v>52</v>
      </c>
      <c r="D76" t="s">
        <v>379</v>
      </c>
      <c r="E76" s="13" t="s">
        <v>380</v>
      </c>
      <c r="G76" s="2">
        <v>35</v>
      </c>
      <c r="H76">
        <v>92</v>
      </c>
      <c r="I76">
        <v>74</v>
      </c>
      <c r="J76" t="s">
        <v>27</v>
      </c>
      <c r="K76">
        <v>92</v>
      </c>
      <c r="L76" t="s">
        <v>28</v>
      </c>
      <c r="M76" s="12">
        <v>2</v>
      </c>
      <c r="N76" s="3">
        <f>G76*M76</f>
        <v>70</v>
      </c>
      <c r="O76" s="1">
        <v>45621</v>
      </c>
      <c r="P76" s="1">
        <v>45718</v>
      </c>
      <c r="Q76" s="1">
        <v>45610</v>
      </c>
      <c r="R76">
        <v>458</v>
      </c>
      <c r="S76">
        <v>361</v>
      </c>
      <c r="T76">
        <v>469</v>
      </c>
      <c r="U76" t="str">
        <f t="shared" si="2"/>
        <v>Expiring Soon</v>
      </c>
      <c r="V76" t="s">
        <v>381</v>
      </c>
      <c r="W76">
        <v>76</v>
      </c>
      <c r="X76" s="3">
        <f t="shared" si="3"/>
        <v>5320</v>
      </c>
      <c r="Y76">
        <v>32</v>
      </c>
      <c r="Z76" t="s">
        <v>49</v>
      </c>
      <c r="AA76" s="3">
        <f>X76-Grocery_Inventory_and_Sales_Dat!N76</f>
        <v>5250</v>
      </c>
    </row>
    <row r="77" spans="1:27" x14ac:dyDescent="0.3">
      <c r="A77" t="s">
        <v>382</v>
      </c>
      <c r="B77" t="s">
        <v>308</v>
      </c>
      <c r="C77" t="s">
        <v>138</v>
      </c>
      <c r="D77" t="s">
        <v>383</v>
      </c>
      <c r="E77" s="13" t="s">
        <v>384</v>
      </c>
      <c r="G77" s="2">
        <v>89</v>
      </c>
      <c r="H77">
        <v>34</v>
      </c>
      <c r="I77">
        <v>15</v>
      </c>
      <c r="J77" t="s">
        <v>55</v>
      </c>
      <c r="K77">
        <v>0</v>
      </c>
      <c r="L77" t="s">
        <v>41</v>
      </c>
      <c r="M77" s="12">
        <v>6</v>
      </c>
      <c r="N77" s="3">
        <f>G77*M77</f>
        <v>534</v>
      </c>
      <c r="O77" s="1">
        <v>45657</v>
      </c>
      <c r="P77" s="1">
        <v>45507</v>
      </c>
      <c r="Q77" s="1">
        <v>45528</v>
      </c>
      <c r="R77">
        <v>422</v>
      </c>
      <c r="S77">
        <v>572</v>
      </c>
      <c r="T77">
        <v>551</v>
      </c>
      <c r="U77" t="str">
        <f t="shared" si="2"/>
        <v>Safe</v>
      </c>
      <c r="V77" t="s">
        <v>385</v>
      </c>
      <c r="W77">
        <v>60</v>
      </c>
      <c r="X77" s="3">
        <f t="shared" si="3"/>
        <v>32040</v>
      </c>
      <c r="Y77">
        <v>2</v>
      </c>
      <c r="Z77" t="s">
        <v>30</v>
      </c>
      <c r="AA77" s="3">
        <f>X77-Grocery_Inventory_and_Sales_Dat!N77</f>
        <v>31506</v>
      </c>
    </row>
    <row r="78" spans="1:27" x14ac:dyDescent="0.3">
      <c r="A78" t="s">
        <v>386</v>
      </c>
      <c r="B78" t="s">
        <v>230</v>
      </c>
      <c r="C78" t="s">
        <v>52</v>
      </c>
      <c r="D78" t="s">
        <v>387</v>
      </c>
      <c r="E78" s="13" t="s">
        <v>388</v>
      </c>
      <c r="G78" s="2">
        <v>60</v>
      </c>
      <c r="H78">
        <v>36</v>
      </c>
      <c r="I78">
        <v>28</v>
      </c>
      <c r="J78" t="s">
        <v>55</v>
      </c>
      <c r="K78">
        <v>0</v>
      </c>
      <c r="L78" t="s">
        <v>41</v>
      </c>
      <c r="M78" s="12">
        <v>4.5</v>
      </c>
      <c r="N78" s="3">
        <f>G78*M78</f>
        <v>270</v>
      </c>
      <c r="O78" s="1">
        <v>45473</v>
      </c>
      <c r="P78" s="1">
        <v>45553</v>
      </c>
      <c r="Q78" s="1">
        <v>45646</v>
      </c>
      <c r="R78">
        <v>606</v>
      </c>
      <c r="S78">
        <v>526</v>
      </c>
      <c r="T78">
        <v>433</v>
      </c>
      <c r="U78" t="str">
        <f t="shared" si="2"/>
        <v>Expiring Soon</v>
      </c>
      <c r="V78" t="s">
        <v>389</v>
      </c>
      <c r="W78">
        <v>26</v>
      </c>
      <c r="X78" s="3">
        <f t="shared" si="3"/>
        <v>7020</v>
      </c>
      <c r="Y78">
        <v>29</v>
      </c>
      <c r="Z78" t="s">
        <v>49</v>
      </c>
      <c r="AA78" s="3">
        <f>X78-Grocery_Inventory_and_Sales_Dat!N78</f>
        <v>6750</v>
      </c>
    </row>
    <row r="79" spans="1:27" x14ac:dyDescent="0.3">
      <c r="A79" t="s">
        <v>390</v>
      </c>
      <c r="B79" t="s">
        <v>391</v>
      </c>
      <c r="C79" t="s">
        <v>24</v>
      </c>
      <c r="D79" t="s">
        <v>392</v>
      </c>
      <c r="E79" s="13" t="s">
        <v>35</v>
      </c>
      <c r="G79" s="2">
        <v>20</v>
      </c>
      <c r="H79">
        <v>34</v>
      </c>
      <c r="I79">
        <v>74</v>
      </c>
      <c r="J79" t="s">
        <v>27</v>
      </c>
      <c r="K79">
        <v>34</v>
      </c>
      <c r="L79" t="s">
        <v>41</v>
      </c>
      <c r="M79" s="12">
        <v>4.5</v>
      </c>
      <c r="N79" s="3">
        <f>G79*M79</f>
        <v>90</v>
      </c>
      <c r="O79" s="1">
        <v>45556</v>
      </c>
      <c r="P79" s="1">
        <v>45589</v>
      </c>
      <c r="Q79" s="1">
        <v>45703</v>
      </c>
      <c r="R79">
        <v>523</v>
      </c>
      <c r="S79">
        <v>490</v>
      </c>
      <c r="T79">
        <v>376</v>
      </c>
      <c r="U79" t="str">
        <f t="shared" si="2"/>
        <v>Expiring Soon</v>
      </c>
      <c r="V79" t="s">
        <v>393</v>
      </c>
      <c r="W79">
        <v>50</v>
      </c>
      <c r="X79" s="3">
        <f t="shared" si="3"/>
        <v>4500</v>
      </c>
      <c r="Y79">
        <v>83</v>
      </c>
      <c r="Z79" t="s">
        <v>30</v>
      </c>
      <c r="AA79" s="3">
        <f>X79-Grocery_Inventory_and_Sales_Dat!N79</f>
        <v>4410</v>
      </c>
    </row>
    <row r="80" spans="1:27" x14ac:dyDescent="0.3">
      <c r="A80" t="s">
        <v>394</v>
      </c>
      <c r="B80" t="s">
        <v>395</v>
      </c>
      <c r="C80" t="s">
        <v>52</v>
      </c>
      <c r="D80" t="s">
        <v>396</v>
      </c>
      <c r="E80" s="13" t="s">
        <v>376</v>
      </c>
      <c r="G80" s="2">
        <v>28</v>
      </c>
      <c r="H80">
        <v>40</v>
      </c>
      <c r="I80">
        <v>27</v>
      </c>
      <c r="J80" t="s">
        <v>27</v>
      </c>
      <c r="K80">
        <v>40</v>
      </c>
      <c r="L80" t="s">
        <v>41</v>
      </c>
      <c r="M80" s="12">
        <v>1.2</v>
      </c>
      <c r="N80" s="3">
        <f>G80*M80</f>
        <v>33.6</v>
      </c>
      <c r="O80" s="1">
        <v>45640</v>
      </c>
      <c r="P80" s="1">
        <v>45502</v>
      </c>
      <c r="Q80" s="1">
        <v>45592</v>
      </c>
      <c r="R80">
        <v>439</v>
      </c>
      <c r="S80">
        <v>577</v>
      </c>
      <c r="T80">
        <v>487</v>
      </c>
      <c r="U80" t="str">
        <f t="shared" si="2"/>
        <v>Expiring Soon</v>
      </c>
      <c r="V80" t="s">
        <v>397</v>
      </c>
      <c r="W80">
        <v>30</v>
      </c>
      <c r="X80" s="3">
        <f t="shared" si="3"/>
        <v>1008</v>
      </c>
      <c r="Y80">
        <v>56</v>
      </c>
      <c r="Z80" t="s">
        <v>49</v>
      </c>
      <c r="AA80" s="3">
        <f>X80-Grocery_Inventory_and_Sales_Dat!N80</f>
        <v>974.4</v>
      </c>
    </row>
    <row r="81" spans="1:27" x14ac:dyDescent="0.3">
      <c r="A81" t="s">
        <v>398</v>
      </c>
      <c r="B81" t="s">
        <v>63</v>
      </c>
      <c r="C81" t="s">
        <v>64</v>
      </c>
      <c r="D81" t="s">
        <v>399</v>
      </c>
      <c r="E81" s="13" t="s">
        <v>400</v>
      </c>
      <c r="G81" s="2">
        <v>20</v>
      </c>
      <c r="H81">
        <v>55</v>
      </c>
      <c r="I81">
        <v>15</v>
      </c>
      <c r="J81" t="s">
        <v>27</v>
      </c>
      <c r="K81">
        <v>55</v>
      </c>
      <c r="L81" t="s">
        <v>41</v>
      </c>
      <c r="M81" s="12">
        <v>2.5</v>
      </c>
      <c r="N81" s="3">
        <f>G81*M81</f>
        <v>50</v>
      </c>
      <c r="O81" s="1">
        <v>45547</v>
      </c>
      <c r="P81" s="1">
        <v>45630</v>
      </c>
      <c r="Q81" s="1">
        <v>45544</v>
      </c>
      <c r="R81">
        <v>532</v>
      </c>
      <c r="S81">
        <v>449</v>
      </c>
      <c r="T81">
        <v>535</v>
      </c>
      <c r="U81" t="str">
        <f t="shared" si="2"/>
        <v>Expiring Soon</v>
      </c>
      <c r="V81" t="s">
        <v>401</v>
      </c>
      <c r="W81">
        <v>86</v>
      </c>
      <c r="X81" s="3">
        <f t="shared" si="3"/>
        <v>4300</v>
      </c>
      <c r="Y81">
        <v>61</v>
      </c>
      <c r="Z81" t="s">
        <v>43</v>
      </c>
      <c r="AA81" s="3">
        <f>X81-Grocery_Inventory_and_Sales_Dat!N81</f>
        <v>4250</v>
      </c>
    </row>
    <row r="82" spans="1:27" x14ac:dyDescent="0.3">
      <c r="A82" t="s">
        <v>402</v>
      </c>
      <c r="B82" t="s">
        <v>403</v>
      </c>
      <c r="C82" t="s">
        <v>95</v>
      </c>
      <c r="D82" t="s">
        <v>404</v>
      </c>
      <c r="E82" s="13" t="s">
        <v>405</v>
      </c>
      <c r="G82" s="2">
        <v>38</v>
      </c>
      <c r="H82">
        <v>93</v>
      </c>
      <c r="I82">
        <v>61</v>
      </c>
      <c r="J82" t="s">
        <v>27</v>
      </c>
      <c r="K82">
        <v>93</v>
      </c>
      <c r="L82" t="s">
        <v>28</v>
      </c>
      <c r="M82" s="12">
        <v>6</v>
      </c>
      <c r="N82" s="3">
        <f>G82*M82</f>
        <v>228</v>
      </c>
      <c r="O82" s="1">
        <v>45577</v>
      </c>
      <c r="P82" s="1">
        <v>45488</v>
      </c>
      <c r="Q82" s="1">
        <v>45534</v>
      </c>
      <c r="R82">
        <v>502</v>
      </c>
      <c r="S82">
        <v>591</v>
      </c>
      <c r="T82">
        <v>545</v>
      </c>
      <c r="U82" t="str">
        <f t="shared" si="2"/>
        <v>Expiring Soon</v>
      </c>
      <c r="V82" t="s">
        <v>406</v>
      </c>
      <c r="W82">
        <v>67</v>
      </c>
      <c r="X82" s="3">
        <f t="shared" si="3"/>
        <v>15276</v>
      </c>
      <c r="Y82">
        <v>100</v>
      </c>
      <c r="Z82" t="s">
        <v>49</v>
      </c>
      <c r="AA82" s="3">
        <f>X82-Grocery_Inventory_and_Sales_Dat!N82</f>
        <v>15048</v>
      </c>
    </row>
    <row r="83" spans="1:27" x14ac:dyDescent="0.3">
      <c r="A83" t="s">
        <v>407</v>
      </c>
      <c r="B83" t="s">
        <v>408</v>
      </c>
      <c r="C83" t="s">
        <v>52</v>
      </c>
      <c r="D83" t="s">
        <v>409</v>
      </c>
      <c r="E83" s="13" t="s">
        <v>410</v>
      </c>
      <c r="G83" s="2">
        <v>99</v>
      </c>
      <c r="H83">
        <v>1</v>
      </c>
      <c r="I83">
        <v>4</v>
      </c>
      <c r="J83" t="s">
        <v>55</v>
      </c>
      <c r="K83">
        <v>0</v>
      </c>
      <c r="L83" t="s">
        <v>41</v>
      </c>
      <c r="M83" s="12">
        <v>3</v>
      </c>
      <c r="N83" s="3">
        <f>G83*M83</f>
        <v>297</v>
      </c>
      <c r="O83" s="1">
        <v>45639</v>
      </c>
      <c r="P83" s="1">
        <v>45684</v>
      </c>
      <c r="Q83" s="1">
        <v>45523</v>
      </c>
      <c r="R83">
        <v>440</v>
      </c>
      <c r="S83">
        <v>395</v>
      </c>
      <c r="T83">
        <v>556</v>
      </c>
      <c r="U83" t="str">
        <f t="shared" si="2"/>
        <v>Safe</v>
      </c>
      <c r="V83" t="s">
        <v>411</v>
      </c>
      <c r="W83">
        <v>50</v>
      </c>
      <c r="X83" s="3">
        <f t="shared" si="3"/>
        <v>14850</v>
      </c>
      <c r="Y83">
        <v>53</v>
      </c>
      <c r="Z83" t="s">
        <v>43</v>
      </c>
      <c r="AA83" s="3">
        <f>X83-Grocery_Inventory_and_Sales_Dat!N83</f>
        <v>14553</v>
      </c>
    </row>
    <row r="84" spans="1:27" x14ac:dyDescent="0.3">
      <c r="A84" t="s">
        <v>412</v>
      </c>
      <c r="B84" t="s">
        <v>413</v>
      </c>
      <c r="C84" t="s">
        <v>70</v>
      </c>
      <c r="D84" t="s">
        <v>414</v>
      </c>
      <c r="E84" s="13" t="s">
        <v>415</v>
      </c>
      <c r="G84" s="2">
        <v>92</v>
      </c>
      <c r="H84">
        <v>52</v>
      </c>
      <c r="I84">
        <v>80</v>
      </c>
      <c r="J84" t="s">
        <v>55</v>
      </c>
      <c r="K84">
        <v>0</v>
      </c>
      <c r="L84" t="s">
        <v>41</v>
      </c>
      <c r="M84" s="12">
        <v>2.5</v>
      </c>
      <c r="N84" s="3">
        <f>G84*M84</f>
        <v>230</v>
      </c>
      <c r="O84" s="1">
        <v>45357</v>
      </c>
      <c r="P84" s="1">
        <v>45587</v>
      </c>
      <c r="Q84" s="1">
        <v>45372</v>
      </c>
      <c r="R84">
        <v>722</v>
      </c>
      <c r="S84">
        <v>492</v>
      </c>
      <c r="T84">
        <v>707</v>
      </c>
      <c r="U84" t="str">
        <f t="shared" si="2"/>
        <v>Safe</v>
      </c>
      <c r="V84" t="s">
        <v>416</v>
      </c>
      <c r="W84">
        <v>72</v>
      </c>
      <c r="X84" s="3">
        <f t="shared" si="3"/>
        <v>16560</v>
      </c>
      <c r="Y84">
        <v>96</v>
      </c>
      <c r="Z84" t="s">
        <v>30</v>
      </c>
      <c r="AA84" s="3">
        <f>X84-Grocery_Inventory_and_Sales_Dat!N84</f>
        <v>16330</v>
      </c>
    </row>
    <row r="85" spans="1:27" x14ac:dyDescent="0.3">
      <c r="A85" t="s">
        <v>417</v>
      </c>
      <c r="B85" t="s">
        <v>132</v>
      </c>
      <c r="C85" t="s">
        <v>52</v>
      </c>
      <c r="D85" t="s">
        <v>418</v>
      </c>
      <c r="E85" s="13" t="s">
        <v>419</v>
      </c>
      <c r="G85" s="2">
        <v>41</v>
      </c>
      <c r="H85">
        <v>29</v>
      </c>
      <c r="I85">
        <v>76</v>
      </c>
      <c r="J85" t="s">
        <v>55</v>
      </c>
      <c r="K85">
        <v>0</v>
      </c>
      <c r="L85" t="s">
        <v>41</v>
      </c>
      <c r="M85" s="12">
        <v>2.4</v>
      </c>
      <c r="N85" s="3">
        <f>G85*M85</f>
        <v>98.399999999999991</v>
      </c>
      <c r="O85" s="1">
        <v>45348</v>
      </c>
      <c r="P85" s="1">
        <v>45548</v>
      </c>
      <c r="Q85" s="1">
        <v>45566</v>
      </c>
      <c r="R85">
        <v>731</v>
      </c>
      <c r="S85">
        <v>531</v>
      </c>
      <c r="T85">
        <v>513</v>
      </c>
      <c r="U85" t="str">
        <f t="shared" si="2"/>
        <v>Expiring Soon</v>
      </c>
      <c r="V85" t="s">
        <v>420</v>
      </c>
      <c r="W85">
        <v>59</v>
      </c>
      <c r="X85" s="3">
        <f t="shared" si="3"/>
        <v>5805.5999999999995</v>
      </c>
      <c r="Y85">
        <v>4</v>
      </c>
      <c r="Z85" t="s">
        <v>30</v>
      </c>
      <c r="AA85" s="3">
        <f>X85-Grocery_Inventory_and_Sales_Dat!N85</f>
        <v>5707.2</v>
      </c>
    </row>
    <row r="86" spans="1:27" x14ac:dyDescent="0.3">
      <c r="A86" t="s">
        <v>421</v>
      </c>
      <c r="B86" t="s">
        <v>308</v>
      </c>
      <c r="C86" t="s">
        <v>138</v>
      </c>
      <c r="D86" t="s">
        <v>422</v>
      </c>
      <c r="E86" s="13" t="s">
        <v>423</v>
      </c>
      <c r="G86" s="2">
        <v>44</v>
      </c>
      <c r="H86">
        <v>67</v>
      </c>
      <c r="I86">
        <v>48</v>
      </c>
      <c r="J86" t="s">
        <v>27</v>
      </c>
      <c r="K86">
        <v>67</v>
      </c>
      <c r="L86" t="s">
        <v>28</v>
      </c>
      <c r="M86" s="12">
        <v>6</v>
      </c>
      <c r="N86" s="3">
        <f>G86*M86</f>
        <v>264</v>
      </c>
      <c r="O86" s="1">
        <v>45421</v>
      </c>
      <c r="P86" s="1">
        <v>45556</v>
      </c>
      <c r="Q86" s="1">
        <v>45375</v>
      </c>
      <c r="R86">
        <v>658</v>
      </c>
      <c r="S86">
        <v>523</v>
      </c>
      <c r="T86">
        <v>704</v>
      </c>
      <c r="U86" t="str">
        <f t="shared" si="2"/>
        <v>Safe</v>
      </c>
      <c r="V86" t="s">
        <v>424</v>
      </c>
      <c r="W86">
        <v>90</v>
      </c>
      <c r="X86" s="3">
        <f t="shared" si="3"/>
        <v>23760</v>
      </c>
      <c r="Y86">
        <v>11</v>
      </c>
      <c r="Z86" t="s">
        <v>49</v>
      </c>
      <c r="AA86" s="3">
        <f>X86-Grocery_Inventory_and_Sales_Dat!N86</f>
        <v>23496</v>
      </c>
    </row>
    <row r="87" spans="1:27" x14ac:dyDescent="0.3">
      <c r="A87" t="s">
        <v>425</v>
      </c>
      <c r="B87" t="s">
        <v>89</v>
      </c>
      <c r="C87" t="s">
        <v>24</v>
      </c>
      <c r="D87" t="s">
        <v>426</v>
      </c>
      <c r="E87" s="13" t="s">
        <v>427</v>
      </c>
      <c r="G87" s="2">
        <v>47</v>
      </c>
      <c r="H87">
        <v>7</v>
      </c>
      <c r="I87">
        <v>63</v>
      </c>
      <c r="J87" t="s">
        <v>55</v>
      </c>
      <c r="K87">
        <v>0</v>
      </c>
      <c r="L87" t="s">
        <v>41</v>
      </c>
      <c r="M87" s="12">
        <v>2</v>
      </c>
      <c r="N87" s="3">
        <f>G87*M87</f>
        <v>94</v>
      </c>
      <c r="O87" s="1">
        <v>45430</v>
      </c>
      <c r="P87" s="1">
        <v>45555</v>
      </c>
      <c r="Q87" s="1">
        <v>45412</v>
      </c>
      <c r="R87">
        <v>649</v>
      </c>
      <c r="S87">
        <v>524</v>
      </c>
      <c r="T87">
        <v>667</v>
      </c>
      <c r="U87" t="str">
        <f t="shared" si="2"/>
        <v>Safe</v>
      </c>
      <c r="V87" t="s">
        <v>428</v>
      </c>
      <c r="W87">
        <v>29</v>
      </c>
      <c r="X87" s="3">
        <f t="shared" si="3"/>
        <v>2726</v>
      </c>
      <c r="Y87">
        <v>20</v>
      </c>
      <c r="Z87" t="s">
        <v>43</v>
      </c>
      <c r="AA87" s="3">
        <f>X87-Grocery_Inventory_and_Sales_Dat!N87</f>
        <v>2632</v>
      </c>
    </row>
    <row r="88" spans="1:27" x14ac:dyDescent="0.3">
      <c r="A88" t="s">
        <v>429</v>
      </c>
      <c r="B88" t="s">
        <v>114</v>
      </c>
      <c r="C88" t="s">
        <v>24</v>
      </c>
      <c r="D88" t="s">
        <v>430</v>
      </c>
      <c r="E88" s="13" t="s">
        <v>129</v>
      </c>
      <c r="G88" s="2">
        <v>21</v>
      </c>
      <c r="H88">
        <v>63</v>
      </c>
      <c r="I88">
        <v>65</v>
      </c>
      <c r="J88" t="s">
        <v>27</v>
      </c>
      <c r="K88">
        <v>63</v>
      </c>
      <c r="L88" t="s">
        <v>28</v>
      </c>
      <c r="M88" s="12">
        <v>1.5</v>
      </c>
      <c r="N88" s="3">
        <f>G88*M88</f>
        <v>31.5</v>
      </c>
      <c r="O88" s="1">
        <v>45514</v>
      </c>
      <c r="P88" s="1">
        <v>45576</v>
      </c>
      <c r="Q88" s="1">
        <v>45710</v>
      </c>
      <c r="R88">
        <v>565</v>
      </c>
      <c r="S88">
        <v>503</v>
      </c>
      <c r="T88">
        <v>369</v>
      </c>
      <c r="U88" t="str">
        <f t="shared" si="2"/>
        <v>Expiring Soon</v>
      </c>
      <c r="V88" t="s">
        <v>431</v>
      </c>
      <c r="W88">
        <v>38</v>
      </c>
      <c r="X88" s="3">
        <f t="shared" si="3"/>
        <v>1197</v>
      </c>
      <c r="Y88">
        <v>73</v>
      </c>
      <c r="Z88" t="s">
        <v>30</v>
      </c>
      <c r="AA88" s="3">
        <f>X88-Grocery_Inventory_and_Sales_Dat!N88</f>
        <v>1165.5</v>
      </c>
    </row>
    <row r="89" spans="1:27" x14ac:dyDescent="0.3">
      <c r="A89" t="s">
        <v>432</v>
      </c>
      <c r="B89" t="s">
        <v>182</v>
      </c>
      <c r="C89" t="s">
        <v>52</v>
      </c>
      <c r="D89" t="s">
        <v>433</v>
      </c>
      <c r="E89" s="13" t="s">
        <v>434</v>
      </c>
      <c r="G89" s="2">
        <v>85</v>
      </c>
      <c r="H89">
        <v>33</v>
      </c>
      <c r="I89">
        <v>50</v>
      </c>
      <c r="J89" t="s">
        <v>55</v>
      </c>
      <c r="K89">
        <v>0</v>
      </c>
      <c r="L89" t="s">
        <v>41</v>
      </c>
      <c r="M89" s="12">
        <v>1.8</v>
      </c>
      <c r="N89" s="3">
        <f>G89*M89</f>
        <v>153</v>
      </c>
      <c r="O89" s="1">
        <v>45446</v>
      </c>
      <c r="P89" s="1">
        <v>45488</v>
      </c>
      <c r="Q89" s="1">
        <v>45678</v>
      </c>
      <c r="R89">
        <v>633</v>
      </c>
      <c r="S89">
        <v>591</v>
      </c>
      <c r="T89">
        <v>401</v>
      </c>
      <c r="U89" t="str">
        <f t="shared" si="2"/>
        <v>Expiring Soon</v>
      </c>
      <c r="V89" t="s">
        <v>435</v>
      </c>
      <c r="W89">
        <v>64</v>
      </c>
      <c r="X89" s="3">
        <f t="shared" si="3"/>
        <v>9792</v>
      </c>
      <c r="Y89">
        <v>38</v>
      </c>
      <c r="Z89" t="s">
        <v>30</v>
      </c>
      <c r="AA89" s="3">
        <f>X89-Grocery_Inventory_and_Sales_Dat!N89</f>
        <v>9639</v>
      </c>
    </row>
    <row r="90" spans="1:27" x14ac:dyDescent="0.3">
      <c r="A90" t="s">
        <v>436</v>
      </c>
      <c r="B90" t="s">
        <v>119</v>
      </c>
      <c r="C90" t="s">
        <v>70</v>
      </c>
      <c r="D90" t="s">
        <v>437</v>
      </c>
      <c r="E90" s="13" t="s">
        <v>438</v>
      </c>
      <c r="G90" s="2">
        <v>29</v>
      </c>
      <c r="H90">
        <v>4</v>
      </c>
      <c r="I90">
        <v>17</v>
      </c>
      <c r="J90" t="s">
        <v>55</v>
      </c>
      <c r="K90">
        <v>0</v>
      </c>
      <c r="L90" t="s">
        <v>41</v>
      </c>
      <c r="M90" s="12">
        <v>8</v>
      </c>
      <c r="N90" s="3">
        <f>G90*M90</f>
        <v>232</v>
      </c>
      <c r="O90" s="1">
        <v>45676</v>
      </c>
      <c r="P90" s="1">
        <v>45609</v>
      </c>
      <c r="Q90" s="1">
        <v>45460</v>
      </c>
      <c r="R90">
        <v>403</v>
      </c>
      <c r="S90">
        <v>470</v>
      </c>
      <c r="T90">
        <v>619</v>
      </c>
      <c r="U90" t="str">
        <f t="shared" si="2"/>
        <v>Safe</v>
      </c>
      <c r="V90" t="s">
        <v>439</v>
      </c>
      <c r="W90">
        <v>59</v>
      </c>
      <c r="X90" s="3">
        <f t="shared" si="3"/>
        <v>13688</v>
      </c>
      <c r="Y90">
        <v>52</v>
      </c>
      <c r="Z90" t="s">
        <v>49</v>
      </c>
      <c r="AA90" s="3">
        <f>X90-Grocery_Inventory_and_Sales_Dat!N90</f>
        <v>13456</v>
      </c>
    </row>
    <row r="91" spans="1:27" x14ac:dyDescent="0.3">
      <c r="A91" t="s">
        <v>440</v>
      </c>
      <c r="B91" t="s">
        <v>441</v>
      </c>
      <c r="C91" t="s">
        <v>64</v>
      </c>
      <c r="D91" t="s">
        <v>442</v>
      </c>
      <c r="E91" s="13" t="s">
        <v>443</v>
      </c>
      <c r="G91" s="2">
        <v>64</v>
      </c>
      <c r="H91">
        <v>21</v>
      </c>
      <c r="I91">
        <v>13</v>
      </c>
      <c r="J91" t="s">
        <v>55</v>
      </c>
      <c r="K91">
        <v>0</v>
      </c>
      <c r="L91" t="s">
        <v>41</v>
      </c>
      <c r="M91" s="12">
        <v>4</v>
      </c>
      <c r="N91" s="3">
        <f>G91*M91</f>
        <v>256</v>
      </c>
      <c r="O91" s="1">
        <v>45687</v>
      </c>
      <c r="P91" s="1">
        <v>45606</v>
      </c>
      <c r="Q91" s="1">
        <v>45612</v>
      </c>
      <c r="R91">
        <v>392</v>
      </c>
      <c r="S91">
        <v>473</v>
      </c>
      <c r="T91">
        <v>467</v>
      </c>
      <c r="U91" t="str">
        <f t="shared" si="2"/>
        <v>Expiring Soon</v>
      </c>
      <c r="V91" t="s">
        <v>444</v>
      </c>
      <c r="W91">
        <v>51</v>
      </c>
      <c r="X91" s="3">
        <f t="shared" si="3"/>
        <v>13056</v>
      </c>
      <c r="Y91">
        <v>26</v>
      </c>
      <c r="Z91" t="s">
        <v>43</v>
      </c>
      <c r="AA91" s="3">
        <f>X91-Grocery_Inventory_and_Sales_Dat!N91</f>
        <v>12800</v>
      </c>
    </row>
    <row r="92" spans="1:27" x14ac:dyDescent="0.3">
      <c r="A92" t="s">
        <v>445</v>
      </c>
      <c r="B92" t="s">
        <v>446</v>
      </c>
      <c r="C92" t="s">
        <v>52</v>
      </c>
      <c r="D92" t="s">
        <v>447</v>
      </c>
      <c r="E92" s="13" t="s">
        <v>448</v>
      </c>
      <c r="G92" s="2">
        <v>66</v>
      </c>
      <c r="H92">
        <v>40</v>
      </c>
      <c r="I92">
        <v>96</v>
      </c>
      <c r="J92" t="s">
        <v>55</v>
      </c>
      <c r="K92">
        <v>0</v>
      </c>
      <c r="L92" t="s">
        <v>41</v>
      </c>
      <c r="M92" s="12">
        <v>10</v>
      </c>
      <c r="N92" s="3">
        <f>G92*M92</f>
        <v>660</v>
      </c>
      <c r="O92" s="1">
        <v>45350</v>
      </c>
      <c r="P92" s="1">
        <v>45465</v>
      </c>
      <c r="Q92" s="1">
        <v>45694</v>
      </c>
      <c r="R92">
        <v>729</v>
      </c>
      <c r="S92">
        <v>614</v>
      </c>
      <c r="T92">
        <v>385</v>
      </c>
      <c r="U92" t="str">
        <f t="shared" si="2"/>
        <v>Expiring Soon</v>
      </c>
      <c r="V92" t="s">
        <v>449</v>
      </c>
      <c r="W92">
        <v>24</v>
      </c>
      <c r="X92" s="3">
        <f t="shared" si="3"/>
        <v>15840</v>
      </c>
      <c r="Y92">
        <v>61</v>
      </c>
      <c r="Z92" t="s">
        <v>49</v>
      </c>
      <c r="AA92" s="3">
        <f>X92-Grocery_Inventory_and_Sales_Dat!N92</f>
        <v>15180</v>
      </c>
    </row>
    <row r="93" spans="1:27" x14ac:dyDescent="0.3">
      <c r="A93" t="s">
        <v>450</v>
      </c>
      <c r="B93" t="s">
        <v>451</v>
      </c>
      <c r="C93" t="s">
        <v>95</v>
      </c>
      <c r="D93" t="s">
        <v>452</v>
      </c>
      <c r="E93" s="13" t="s">
        <v>453</v>
      </c>
      <c r="G93" s="2">
        <v>75</v>
      </c>
      <c r="H93">
        <v>81</v>
      </c>
      <c r="I93">
        <v>17</v>
      </c>
      <c r="J93" t="s">
        <v>27</v>
      </c>
      <c r="K93">
        <v>81</v>
      </c>
      <c r="L93" t="s">
        <v>28</v>
      </c>
      <c r="M93" s="12">
        <v>5</v>
      </c>
      <c r="N93" s="3">
        <f>G93*M93</f>
        <v>375</v>
      </c>
      <c r="O93" s="1">
        <v>45542</v>
      </c>
      <c r="P93" s="1">
        <v>45705</v>
      </c>
      <c r="Q93" s="1">
        <v>45708</v>
      </c>
      <c r="R93">
        <v>537</v>
      </c>
      <c r="S93">
        <v>374</v>
      </c>
      <c r="T93">
        <v>371</v>
      </c>
      <c r="U93" t="str">
        <f t="shared" si="2"/>
        <v>Expiring Soon</v>
      </c>
      <c r="V93" t="s">
        <v>454</v>
      </c>
      <c r="W93">
        <v>69</v>
      </c>
      <c r="X93" s="3">
        <f t="shared" si="3"/>
        <v>25875</v>
      </c>
      <c r="Y93">
        <v>38</v>
      </c>
      <c r="Z93" t="s">
        <v>49</v>
      </c>
      <c r="AA93" s="3">
        <f>X93-Grocery_Inventory_and_Sales_Dat!N93</f>
        <v>25500</v>
      </c>
    </row>
    <row r="94" spans="1:27" x14ac:dyDescent="0.3">
      <c r="A94" t="s">
        <v>455</v>
      </c>
      <c r="B94" t="s">
        <v>456</v>
      </c>
      <c r="C94" t="s">
        <v>70</v>
      </c>
      <c r="D94" t="s">
        <v>457</v>
      </c>
      <c r="E94" s="13" t="s">
        <v>458</v>
      </c>
      <c r="G94" s="2">
        <v>53</v>
      </c>
      <c r="H94">
        <v>63</v>
      </c>
      <c r="I94">
        <v>2</v>
      </c>
      <c r="J94" t="s">
        <v>27</v>
      </c>
      <c r="K94">
        <v>63</v>
      </c>
      <c r="L94" t="s">
        <v>28</v>
      </c>
      <c r="M94" s="12">
        <v>9</v>
      </c>
      <c r="N94" s="3">
        <f>G94*M94</f>
        <v>477</v>
      </c>
      <c r="O94" s="1">
        <v>45330</v>
      </c>
      <c r="P94" s="1">
        <v>45636</v>
      </c>
      <c r="Q94" s="1">
        <v>45371</v>
      </c>
      <c r="R94">
        <v>749</v>
      </c>
      <c r="S94">
        <v>443</v>
      </c>
      <c r="T94">
        <v>708</v>
      </c>
      <c r="U94" t="str">
        <f t="shared" si="2"/>
        <v>Safe</v>
      </c>
      <c r="V94" t="s">
        <v>459</v>
      </c>
      <c r="W94">
        <v>56</v>
      </c>
      <c r="X94" s="3">
        <f t="shared" si="3"/>
        <v>26712</v>
      </c>
      <c r="Y94">
        <v>95</v>
      </c>
      <c r="Z94" t="s">
        <v>49</v>
      </c>
      <c r="AA94" s="3">
        <f>X94-Grocery_Inventory_and_Sales_Dat!N94</f>
        <v>26235</v>
      </c>
    </row>
    <row r="95" spans="1:27" x14ac:dyDescent="0.3">
      <c r="A95" t="s">
        <v>460</v>
      </c>
      <c r="B95" t="s">
        <v>461</v>
      </c>
      <c r="C95" t="s">
        <v>64</v>
      </c>
      <c r="D95" t="s">
        <v>462</v>
      </c>
      <c r="E95" s="13" t="s">
        <v>91</v>
      </c>
      <c r="G95" s="2">
        <v>43</v>
      </c>
      <c r="H95">
        <v>63</v>
      </c>
      <c r="I95">
        <v>80</v>
      </c>
      <c r="J95" t="s">
        <v>27</v>
      </c>
      <c r="K95">
        <v>63</v>
      </c>
      <c r="L95" t="s">
        <v>28</v>
      </c>
      <c r="M95" s="12">
        <v>1.8</v>
      </c>
      <c r="N95" s="3">
        <f>G95*M95</f>
        <v>77.400000000000006</v>
      </c>
      <c r="O95" s="1">
        <v>45466</v>
      </c>
      <c r="P95" s="1">
        <v>45504</v>
      </c>
      <c r="Q95" s="1">
        <v>45699</v>
      </c>
      <c r="R95">
        <v>613</v>
      </c>
      <c r="S95">
        <v>575</v>
      </c>
      <c r="T95">
        <v>380</v>
      </c>
      <c r="U95" t="str">
        <f t="shared" si="2"/>
        <v>Expiring Soon</v>
      </c>
      <c r="V95" t="s">
        <v>463</v>
      </c>
      <c r="W95">
        <v>33</v>
      </c>
      <c r="X95" s="3">
        <f t="shared" si="3"/>
        <v>2554.2000000000003</v>
      </c>
      <c r="Y95">
        <v>96</v>
      </c>
      <c r="Z95" t="s">
        <v>30</v>
      </c>
      <c r="AA95" s="3">
        <f>X95-Grocery_Inventory_and_Sales_Dat!N95</f>
        <v>2476.8000000000002</v>
      </c>
    </row>
    <row r="96" spans="1:27" x14ac:dyDescent="0.3">
      <c r="A96" t="s">
        <v>464</v>
      </c>
      <c r="B96" t="s">
        <v>360</v>
      </c>
      <c r="C96" t="s">
        <v>52</v>
      </c>
      <c r="D96" t="s">
        <v>465</v>
      </c>
      <c r="E96" s="13" t="s">
        <v>466</v>
      </c>
      <c r="G96" s="2">
        <v>74</v>
      </c>
      <c r="H96">
        <v>30</v>
      </c>
      <c r="I96">
        <v>24</v>
      </c>
      <c r="J96" t="s">
        <v>55</v>
      </c>
      <c r="K96">
        <v>0</v>
      </c>
      <c r="L96" t="s">
        <v>41</v>
      </c>
      <c r="M96" s="12">
        <v>3</v>
      </c>
      <c r="N96" s="3">
        <f>G96*M96</f>
        <v>222</v>
      </c>
      <c r="O96" s="1">
        <v>45543</v>
      </c>
      <c r="P96" s="1">
        <v>45578</v>
      </c>
      <c r="Q96" s="1">
        <v>45504</v>
      </c>
      <c r="R96">
        <v>536</v>
      </c>
      <c r="S96">
        <v>501</v>
      </c>
      <c r="T96">
        <v>575</v>
      </c>
      <c r="U96" t="str">
        <f t="shared" si="2"/>
        <v>Safe</v>
      </c>
      <c r="V96" t="s">
        <v>467</v>
      </c>
      <c r="W96">
        <v>82</v>
      </c>
      <c r="X96" s="3">
        <f t="shared" si="3"/>
        <v>18204</v>
      </c>
      <c r="Y96">
        <v>12</v>
      </c>
      <c r="Z96" t="s">
        <v>49</v>
      </c>
      <c r="AA96" s="3">
        <f>X96-Grocery_Inventory_and_Sales_Dat!N96</f>
        <v>17982</v>
      </c>
    </row>
    <row r="97" spans="1:27" x14ac:dyDescent="0.3">
      <c r="A97" t="s">
        <v>468</v>
      </c>
      <c r="B97" t="s">
        <v>469</v>
      </c>
      <c r="C97" t="s">
        <v>52</v>
      </c>
      <c r="D97" t="s">
        <v>470</v>
      </c>
      <c r="E97" s="13" t="s">
        <v>277</v>
      </c>
      <c r="G97" s="2">
        <v>27</v>
      </c>
      <c r="H97">
        <v>22</v>
      </c>
      <c r="I97">
        <v>89</v>
      </c>
      <c r="J97" t="s">
        <v>55</v>
      </c>
      <c r="K97">
        <v>0</v>
      </c>
      <c r="L97" t="s">
        <v>41</v>
      </c>
      <c r="M97" s="12">
        <v>7</v>
      </c>
      <c r="N97" s="3">
        <f>G97*M97</f>
        <v>189</v>
      </c>
      <c r="O97" s="1">
        <v>45296</v>
      </c>
      <c r="P97" s="1">
        <v>45501</v>
      </c>
      <c r="Q97" s="1">
        <v>45432</v>
      </c>
      <c r="R97">
        <v>783</v>
      </c>
      <c r="S97">
        <v>578</v>
      </c>
      <c r="T97">
        <v>647</v>
      </c>
      <c r="U97" t="str">
        <f t="shared" si="2"/>
        <v>Safe</v>
      </c>
      <c r="V97" t="s">
        <v>471</v>
      </c>
      <c r="W97">
        <v>91</v>
      </c>
      <c r="X97" s="3">
        <f t="shared" si="3"/>
        <v>17199</v>
      </c>
      <c r="Y97">
        <v>77</v>
      </c>
      <c r="Z97" t="s">
        <v>30</v>
      </c>
      <c r="AA97" s="3">
        <f>X97-Grocery_Inventory_and_Sales_Dat!N97</f>
        <v>17010</v>
      </c>
    </row>
    <row r="98" spans="1:27" x14ac:dyDescent="0.3">
      <c r="A98" t="s">
        <v>472</v>
      </c>
      <c r="B98" t="s">
        <v>473</v>
      </c>
      <c r="C98" t="s">
        <v>24</v>
      </c>
      <c r="D98" t="s">
        <v>474</v>
      </c>
      <c r="E98" s="13" t="s">
        <v>475</v>
      </c>
      <c r="G98" s="2">
        <v>91</v>
      </c>
      <c r="H98">
        <v>73</v>
      </c>
      <c r="I98">
        <v>77</v>
      </c>
      <c r="J98" t="s">
        <v>55</v>
      </c>
      <c r="K98">
        <v>0</v>
      </c>
      <c r="L98" t="s">
        <v>41</v>
      </c>
      <c r="M98" s="12">
        <v>4.75</v>
      </c>
      <c r="N98" s="3">
        <f>G98*M98</f>
        <v>432.25</v>
      </c>
      <c r="O98" s="1">
        <v>45659</v>
      </c>
      <c r="P98" s="1">
        <v>45528</v>
      </c>
      <c r="Q98" s="1">
        <v>45633</v>
      </c>
      <c r="R98">
        <v>420</v>
      </c>
      <c r="S98">
        <v>551</v>
      </c>
      <c r="T98">
        <v>446</v>
      </c>
      <c r="U98" t="str">
        <f t="shared" si="2"/>
        <v>Expiring Soon</v>
      </c>
      <c r="V98" t="s">
        <v>476</v>
      </c>
      <c r="W98">
        <v>51</v>
      </c>
      <c r="X98" s="3">
        <f t="shared" si="3"/>
        <v>22044.75</v>
      </c>
      <c r="Y98">
        <v>49</v>
      </c>
      <c r="Z98" t="s">
        <v>30</v>
      </c>
      <c r="AA98" s="3">
        <f>X98-Grocery_Inventory_and_Sales_Dat!N98</f>
        <v>21612.5</v>
      </c>
    </row>
    <row r="99" spans="1:27" x14ac:dyDescent="0.3">
      <c r="A99" t="s">
        <v>477</v>
      </c>
      <c r="B99" t="s">
        <v>478</v>
      </c>
      <c r="C99" t="s">
        <v>24</v>
      </c>
      <c r="D99" t="s">
        <v>479</v>
      </c>
      <c r="E99" s="13" t="s">
        <v>116</v>
      </c>
      <c r="G99" s="2">
        <v>52</v>
      </c>
      <c r="H99">
        <v>81</v>
      </c>
      <c r="I99">
        <v>53</v>
      </c>
      <c r="J99" t="s">
        <v>27</v>
      </c>
      <c r="K99">
        <v>81</v>
      </c>
      <c r="L99" t="s">
        <v>28</v>
      </c>
      <c r="M99" s="12">
        <v>2</v>
      </c>
      <c r="N99" s="3">
        <f>G99*M99</f>
        <v>104</v>
      </c>
      <c r="O99" s="1">
        <v>45532</v>
      </c>
      <c r="P99" s="1">
        <v>45623</v>
      </c>
      <c r="Q99" s="1">
        <v>45712</v>
      </c>
      <c r="R99">
        <v>547</v>
      </c>
      <c r="S99">
        <v>456</v>
      </c>
      <c r="T99">
        <v>367</v>
      </c>
      <c r="U99" t="str">
        <f t="shared" si="2"/>
        <v>Expiring Soon</v>
      </c>
      <c r="V99" t="s">
        <v>480</v>
      </c>
      <c r="W99">
        <v>95</v>
      </c>
      <c r="X99" s="3">
        <f t="shared" si="3"/>
        <v>9880</v>
      </c>
      <c r="Y99">
        <v>88</v>
      </c>
      <c r="Z99" t="s">
        <v>43</v>
      </c>
      <c r="AA99" s="3">
        <f>X99-Grocery_Inventory_and_Sales_Dat!N99</f>
        <v>9776</v>
      </c>
    </row>
    <row r="100" spans="1:27" x14ac:dyDescent="0.3">
      <c r="A100" t="s">
        <v>481</v>
      </c>
      <c r="B100" t="s">
        <v>220</v>
      </c>
      <c r="C100" t="s">
        <v>52</v>
      </c>
      <c r="D100" t="s">
        <v>482</v>
      </c>
      <c r="E100" s="13" t="s">
        <v>483</v>
      </c>
      <c r="G100" s="2">
        <v>43</v>
      </c>
      <c r="H100">
        <v>66</v>
      </c>
      <c r="I100">
        <v>85</v>
      </c>
      <c r="J100" t="s">
        <v>27</v>
      </c>
      <c r="K100">
        <v>66</v>
      </c>
      <c r="L100" t="s">
        <v>28</v>
      </c>
      <c r="M100" s="12">
        <v>2.5</v>
      </c>
      <c r="N100" s="3">
        <f>G100*M100</f>
        <v>107.5</v>
      </c>
      <c r="O100" s="1">
        <v>45402</v>
      </c>
      <c r="P100" s="1">
        <v>45549</v>
      </c>
      <c r="Q100" s="1">
        <v>45401</v>
      </c>
      <c r="R100">
        <v>677</v>
      </c>
      <c r="S100">
        <v>530</v>
      </c>
      <c r="T100">
        <v>678</v>
      </c>
      <c r="U100" t="str">
        <f t="shared" si="2"/>
        <v>Safe</v>
      </c>
      <c r="V100" t="s">
        <v>484</v>
      </c>
      <c r="W100">
        <v>66</v>
      </c>
      <c r="X100" s="3">
        <f t="shared" si="3"/>
        <v>7095</v>
      </c>
      <c r="Y100">
        <v>65</v>
      </c>
      <c r="Z100" t="s">
        <v>30</v>
      </c>
      <c r="AA100" s="3">
        <f>X100-Grocery_Inventory_and_Sales_Dat!N100</f>
        <v>6987.5</v>
      </c>
    </row>
    <row r="101" spans="1:27" x14ac:dyDescent="0.3">
      <c r="A101" t="s">
        <v>485</v>
      </c>
      <c r="B101" t="s">
        <v>249</v>
      </c>
      <c r="C101" t="s">
        <v>95</v>
      </c>
      <c r="D101" t="s">
        <v>486</v>
      </c>
      <c r="E101" s="13" t="s">
        <v>487</v>
      </c>
      <c r="G101" s="2">
        <v>56</v>
      </c>
      <c r="H101">
        <v>86</v>
      </c>
      <c r="I101">
        <v>23</v>
      </c>
      <c r="J101" t="s">
        <v>27</v>
      </c>
      <c r="K101">
        <v>86</v>
      </c>
      <c r="L101" t="s">
        <v>28</v>
      </c>
      <c r="M101" s="12">
        <v>3.2</v>
      </c>
      <c r="N101" s="3">
        <f>G101*M101</f>
        <v>179.20000000000002</v>
      </c>
      <c r="O101" s="1">
        <v>45397</v>
      </c>
      <c r="P101" s="1">
        <v>45411</v>
      </c>
      <c r="Q101" s="1">
        <v>45391</v>
      </c>
      <c r="R101">
        <v>682</v>
      </c>
      <c r="S101">
        <v>668</v>
      </c>
      <c r="T101">
        <v>688</v>
      </c>
      <c r="U101" t="str">
        <f t="shared" si="2"/>
        <v>Safe</v>
      </c>
      <c r="V101" t="s">
        <v>488</v>
      </c>
      <c r="W101">
        <v>67</v>
      </c>
      <c r="X101" s="3">
        <f t="shared" si="3"/>
        <v>12006.400000000001</v>
      </c>
      <c r="Y101">
        <v>56</v>
      </c>
      <c r="Z101" t="s">
        <v>43</v>
      </c>
      <c r="AA101" s="3">
        <f>X101-Grocery_Inventory_and_Sales_Dat!N101</f>
        <v>11827.2</v>
      </c>
    </row>
    <row r="102" spans="1:27" x14ac:dyDescent="0.3">
      <c r="A102" t="s">
        <v>489</v>
      </c>
      <c r="B102" t="s">
        <v>334</v>
      </c>
      <c r="C102" t="s">
        <v>70</v>
      </c>
      <c r="D102" t="s">
        <v>490</v>
      </c>
      <c r="E102" s="13" t="s">
        <v>491</v>
      </c>
      <c r="G102" s="2">
        <v>66</v>
      </c>
      <c r="H102">
        <v>40</v>
      </c>
      <c r="I102">
        <v>8</v>
      </c>
      <c r="J102" t="s">
        <v>55</v>
      </c>
      <c r="K102">
        <v>0</v>
      </c>
      <c r="L102" t="s">
        <v>41</v>
      </c>
      <c r="M102" s="12">
        <v>6</v>
      </c>
      <c r="N102" s="3">
        <f>G102*M102</f>
        <v>396</v>
      </c>
      <c r="O102" s="1">
        <v>45623</v>
      </c>
      <c r="P102" s="1">
        <v>45675</v>
      </c>
      <c r="Q102" s="1">
        <v>45663</v>
      </c>
      <c r="R102">
        <v>456</v>
      </c>
      <c r="S102">
        <v>404</v>
      </c>
      <c r="T102">
        <v>416</v>
      </c>
      <c r="U102" t="str">
        <f t="shared" si="2"/>
        <v>Expiring Soon</v>
      </c>
      <c r="V102" t="s">
        <v>492</v>
      </c>
      <c r="W102">
        <v>43</v>
      </c>
      <c r="X102" s="3">
        <f t="shared" si="3"/>
        <v>17028</v>
      </c>
      <c r="Y102">
        <v>49</v>
      </c>
      <c r="Z102" t="s">
        <v>49</v>
      </c>
      <c r="AA102" s="3">
        <f>X102-Grocery_Inventory_and_Sales_Dat!N102</f>
        <v>16632</v>
      </c>
    </row>
    <row r="103" spans="1:27" x14ac:dyDescent="0.3">
      <c r="A103" t="s">
        <v>493</v>
      </c>
      <c r="B103" t="s">
        <v>114</v>
      </c>
      <c r="C103" t="s">
        <v>24</v>
      </c>
      <c r="D103" t="s">
        <v>494</v>
      </c>
      <c r="E103" s="13" t="s">
        <v>495</v>
      </c>
      <c r="G103" s="2">
        <v>84</v>
      </c>
      <c r="H103">
        <v>92</v>
      </c>
      <c r="I103">
        <v>18</v>
      </c>
      <c r="J103" t="s">
        <v>27</v>
      </c>
      <c r="K103">
        <v>92</v>
      </c>
      <c r="L103" t="s">
        <v>28</v>
      </c>
      <c r="M103" s="12">
        <v>1.5</v>
      </c>
      <c r="N103" s="3">
        <f>G103*M103</f>
        <v>126</v>
      </c>
      <c r="O103" s="1">
        <v>45594</v>
      </c>
      <c r="P103" s="1">
        <v>45655</v>
      </c>
      <c r="Q103" s="1">
        <v>45347</v>
      </c>
      <c r="R103">
        <v>485</v>
      </c>
      <c r="S103">
        <v>424</v>
      </c>
      <c r="T103">
        <v>732</v>
      </c>
      <c r="U103" t="str">
        <f t="shared" si="2"/>
        <v>Safe</v>
      </c>
      <c r="V103" t="s">
        <v>496</v>
      </c>
      <c r="W103">
        <v>92</v>
      </c>
      <c r="X103" s="3">
        <f t="shared" si="3"/>
        <v>11592</v>
      </c>
      <c r="Y103">
        <v>69</v>
      </c>
      <c r="Z103" t="s">
        <v>49</v>
      </c>
      <c r="AA103" s="3">
        <f>X103-Grocery_Inventory_and_Sales_Dat!N103</f>
        <v>11466</v>
      </c>
    </row>
    <row r="104" spans="1:27" x14ac:dyDescent="0.3">
      <c r="A104" t="s">
        <v>497</v>
      </c>
      <c r="B104" t="s">
        <v>498</v>
      </c>
      <c r="C104" t="s">
        <v>70</v>
      </c>
      <c r="D104" t="s">
        <v>499</v>
      </c>
      <c r="E104" s="13" t="s">
        <v>204</v>
      </c>
      <c r="G104" s="2">
        <v>37</v>
      </c>
      <c r="H104">
        <v>5</v>
      </c>
      <c r="I104">
        <v>1</v>
      </c>
      <c r="J104" t="s">
        <v>55</v>
      </c>
      <c r="K104">
        <v>0</v>
      </c>
      <c r="L104" t="s">
        <v>41</v>
      </c>
      <c r="M104" s="12">
        <v>5</v>
      </c>
      <c r="N104" s="3">
        <f>G104*M104</f>
        <v>185</v>
      </c>
      <c r="O104" s="1">
        <v>45689</v>
      </c>
      <c r="P104" s="1">
        <v>45348</v>
      </c>
      <c r="Q104" s="1">
        <v>45624</v>
      </c>
      <c r="R104">
        <v>390</v>
      </c>
      <c r="S104">
        <v>731</v>
      </c>
      <c r="T104">
        <v>455</v>
      </c>
      <c r="U104" t="str">
        <f t="shared" si="2"/>
        <v>Expiring Soon</v>
      </c>
      <c r="V104" t="s">
        <v>500</v>
      </c>
      <c r="W104">
        <v>68</v>
      </c>
      <c r="X104" s="3">
        <f t="shared" si="3"/>
        <v>12580</v>
      </c>
      <c r="Y104">
        <v>99</v>
      </c>
      <c r="Z104" t="s">
        <v>49</v>
      </c>
      <c r="AA104" s="3">
        <f>X104-Grocery_Inventory_and_Sales_Dat!N104</f>
        <v>12395</v>
      </c>
    </row>
    <row r="105" spans="1:27" x14ac:dyDescent="0.3">
      <c r="A105" t="s">
        <v>501</v>
      </c>
      <c r="B105" t="s">
        <v>502</v>
      </c>
      <c r="C105" t="s">
        <v>70</v>
      </c>
      <c r="D105" t="s">
        <v>503</v>
      </c>
      <c r="E105" s="13" t="s">
        <v>504</v>
      </c>
      <c r="G105" s="2">
        <v>29</v>
      </c>
      <c r="H105">
        <v>36</v>
      </c>
      <c r="I105">
        <v>40</v>
      </c>
      <c r="J105" t="s">
        <v>27</v>
      </c>
      <c r="K105">
        <v>36</v>
      </c>
      <c r="L105" t="s">
        <v>41</v>
      </c>
      <c r="M105" s="12">
        <v>4</v>
      </c>
      <c r="N105" s="3">
        <f>G105*M105</f>
        <v>116</v>
      </c>
      <c r="O105" s="1">
        <v>45515</v>
      </c>
      <c r="P105" s="1">
        <v>45381</v>
      </c>
      <c r="Q105" s="1">
        <v>45542</v>
      </c>
      <c r="R105">
        <v>564</v>
      </c>
      <c r="S105">
        <v>698</v>
      </c>
      <c r="T105">
        <v>537</v>
      </c>
      <c r="U105" t="str">
        <f t="shared" si="2"/>
        <v>Expiring Soon</v>
      </c>
      <c r="V105" t="s">
        <v>505</v>
      </c>
      <c r="W105">
        <v>60</v>
      </c>
      <c r="X105" s="3">
        <f t="shared" si="3"/>
        <v>6960</v>
      </c>
      <c r="Y105">
        <v>96</v>
      </c>
      <c r="Z105" t="s">
        <v>43</v>
      </c>
      <c r="AA105" s="3">
        <f>X105-Grocery_Inventory_and_Sales_Dat!N105</f>
        <v>6844</v>
      </c>
    </row>
    <row r="106" spans="1:27" x14ac:dyDescent="0.3">
      <c r="A106" t="s">
        <v>506</v>
      </c>
      <c r="B106" t="s">
        <v>507</v>
      </c>
      <c r="C106" t="s">
        <v>24</v>
      </c>
      <c r="D106" t="s">
        <v>508</v>
      </c>
      <c r="E106" s="13" t="s">
        <v>184</v>
      </c>
      <c r="G106" s="2">
        <v>13</v>
      </c>
      <c r="H106">
        <v>88</v>
      </c>
      <c r="I106">
        <v>7</v>
      </c>
      <c r="J106" t="s">
        <v>27</v>
      </c>
      <c r="K106">
        <v>88</v>
      </c>
      <c r="L106" t="s">
        <v>28</v>
      </c>
      <c r="M106" s="12">
        <v>9.5</v>
      </c>
      <c r="N106" s="3">
        <f>G106*M106</f>
        <v>123.5</v>
      </c>
      <c r="O106" s="1">
        <v>45501</v>
      </c>
      <c r="P106" s="1">
        <v>45427</v>
      </c>
      <c r="Q106" s="1">
        <v>45476</v>
      </c>
      <c r="R106">
        <v>578</v>
      </c>
      <c r="S106">
        <v>652</v>
      </c>
      <c r="T106">
        <v>603</v>
      </c>
      <c r="U106" t="str">
        <f t="shared" si="2"/>
        <v>Safe</v>
      </c>
      <c r="V106" t="s">
        <v>509</v>
      </c>
      <c r="W106">
        <v>24</v>
      </c>
      <c r="X106" s="3">
        <f t="shared" si="3"/>
        <v>2964</v>
      </c>
      <c r="Y106">
        <v>21</v>
      </c>
      <c r="Z106" t="s">
        <v>43</v>
      </c>
      <c r="AA106" s="3">
        <f>X106-Grocery_Inventory_and_Sales_Dat!N106</f>
        <v>2840.5</v>
      </c>
    </row>
    <row r="107" spans="1:27" x14ac:dyDescent="0.3">
      <c r="A107" t="s">
        <v>510</v>
      </c>
      <c r="B107" t="s">
        <v>235</v>
      </c>
      <c r="C107" t="s">
        <v>52</v>
      </c>
      <c r="D107" t="s">
        <v>511</v>
      </c>
      <c r="E107" s="13" t="s">
        <v>160</v>
      </c>
      <c r="G107" s="2">
        <v>63</v>
      </c>
      <c r="H107">
        <v>81</v>
      </c>
      <c r="I107">
        <v>94</v>
      </c>
      <c r="J107" t="s">
        <v>27</v>
      </c>
      <c r="K107">
        <v>81</v>
      </c>
      <c r="L107" t="s">
        <v>28</v>
      </c>
      <c r="M107" s="12">
        <v>2.5</v>
      </c>
      <c r="N107" s="3">
        <f>G107*M107</f>
        <v>157.5</v>
      </c>
      <c r="O107" s="1">
        <v>45388</v>
      </c>
      <c r="P107" s="1">
        <v>45402</v>
      </c>
      <c r="Q107" s="1">
        <v>45615</v>
      </c>
      <c r="R107">
        <v>691</v>
      </c>
      <c r="S107">
        <v>677</v>
      </c>
      <c r="T107">
        <v>464</v>
      </c>
      <c r="U107" t="str">
        <f t="shared" si="2"/>
        <v>Expiring Soon</v>
      </c>
      <c r="V107" t="s">
        <v>512</v>
      </c>
      <c r="W107">
        <v>56</v>
      </c>
      <c r="X107" s="3">
        <f t="shared" si="3"/>
        <v>8820</v>
      </c>
      <c r="Y107">
        <v>2</v>
      </c>
      <c r="Z107" t="s">
        <v>49</v>
      </c>
      <c r="AA107" s="3">
        <f>X107-Grocery_Inventory_and_Sales_Dat!N107</f>
        <v>8662.5</v>
      </c>
    </row>
    <row r="108" spans="1:27" x14ac:dyDescent="0.3">
      <c r="A108" t="s">
        <v>513</v>
      </c>
      <c r="B108" t="s">
        <v>514</v>
      </c>
      <c r="C108" t="s">
        <v>138</v>
      </c>
      <c r="D108" t="s">
        <v>515</v>
      </c>
      <c r="E108" s="13" t="s">
        <v>264</v>
      </c>
      <c r="G108" s="2">
        <v>95</v>
      </c>
      <c r="H108">
        <v>63</v>
      </c>
      <c r="I108">
        <v>73</v>
      </c>
      <c r="J108" t="s">
        <v>55</v>
      </c>
      <c r="K108">
        <v>0</v>
      </c>
      <c r="L108" t="s">
        <v>41</v>
      </c>
      <c r="M108" s="12">
        <v>7</v>
      </c>
      <c r="N108" s="3">
        <f>G108*M108</f>
        <v>665</v>
      </c>
      <c r="O108" s="1">
        <v>45613</v>
      </c>
      <c r="P108" s="1">
        <v>45418</v>
      </c>
      <c r="Q108" s="1">
        <v>45359</v>
      </c>
      <c r="R108">
        <v>466</v>
      </c>
      <c r="S108">
        <v>661</v>
      </c>
      <c r="T108">
        <v>720</v>
      </c>
      <c r="U108" t="str">
        <f t="shared" si="2"/>
        <v>Safe</v>
      </c>
      <c r="V108" t="s">
        <v>516</v>
      </c>
      <c r="W108">
        <v>61</v>
      </c>
      <c r="X108" s="3">
        <f t="shared" si="3"/>
        <v>40565</v>
      </c>
      <c r="Y108">
        <v>38</v>
      </c>
      <c r="Z108" t="s">
        <v>43</v>
      </c>
      <c r="AA108" s="3">
        <f>X108-Grocery_Inventory_and_Sales_Dat!N108</f>
        <v>39900</v>
      </c>
    </row>
    <row r="109" spans="1:27" x14ac:dyDescent="0.3">
      <c r="A109" t="s">
        <v>517</v>
      </c>
      <c r="B109" t="s">
        <v>518</v>
      </c>
      <c r="C109" t="s">
        <v>52</v>
      </c>
      <c r="D109" t="s">
        <v>519</v>
      </c>
      <c r="E109" s="13" t="s">
        <v>520</v>
      </c>
      <c r="G109" s="2">
        <v>58</v>
      </c>
      <c r="H109">
        <v>5</v>
      </c>
      <c r="I109">
        <v>1</v>
      </c>
      <c r="J109" t="s">
        <v>55</v>
      </c>
      <c r="K109">
        <v>0</v>
      </c>
      <c r="L109" t="s">
        <v>41</v>
      </c>
      <c r="M109" s="12">
        <v>2</v>
      </c>
      <c r="N109" s="3">
        <f>G109*M109</f>
        <v>116</v>
      </c>
      <c r="O109" s="1">
        <v>45332</v>
      </c>
      <c r="P109" s="1">
        <v>45579</v>
      </c>
      <c r="Q109" s="1">
        <v>45388</v>
      </c>
      <c r="R109">
        <v>747</v>
      </c>
      <c r="S109">
        <v>500</v>
      </c>
      <c r="T109">
        <v>691</v>
      </c>
      <c r="U109" t="str">
        <f t="shared" si="2"/>
        <v>Safe</v>
      </c>
      <c r="V109" t="s">
        <v>521</v>
      </c>
      <c r="W109">
        <v>53</v>
      </c>
      <c r="X109" s="3">
        <f t="shared" si="3"/>
        <v>6148</v>
      </c>
      <c r="Y109">
        <v>80</v>
      </c>
      <c r="Z109" t="s">
        <v>49</v>
      </c>
      <c r="AA109" s="3">
        <f>X109-Grocery_Inventory_and_Sales_Dat!N109</f>
        <v>6032</v>
      </c>
    </row>
    <row r="110" spans="1:27" x14ac:dyDescent="0.3">
      <c r="A110" t="s">
        <v>522</v>
      </c>
      <c r="B110" t="s">
        <v>441</v>
      </c>
      <c r="C110" t="s">
        <v>64</v>
      </c>
      <c r="D110" t="s">
        <v>523</v>
      </c>
      <c r="E110" s="13" t="s">
        <v>524</v>
      </c>
      <c r="G110" s="2">
        <v>57</v>
      </c>
      <c r="H110">
        <v>36</v>
      </c>
      <c r="I110">
        <v>53</v>
      </c>
      <c r="J110" t="s">
        <v>55</v>
      </c>
      <c r="K110">
        <v>0</v>
      </c>
      <c r="L110" t="s">
        <v>41</v>
      </c>
      <c r="M110" s="12">
        <v>4</v>
      </c>
      <c r="N110" s="3">
        <f>G110*M110</f>
        <v>228</v>
      </c>
      <c r="O110" s="1">
        <v>45388</v>
      </c>
      <c r="P110" s="1">
        <v>45459</v>
      </c>
      <c r="Q110" s="1">
        <v>45379</v>
      </c>
      <c r="R110">
        <v>691</v>
      </c>
      <c r="S110">
        <v>620</v>
      </c>
      <c r="T110">
        <v>700</v>
      </c>
      <c r="U110" t="str">
        <f t="shared" si="2"/>
        <v>Safe</v>
      </c>
      <c r="V110" t="s">
        <v>525</v>
      </c>
      <c r="W110">
        <v>56</v>
      </c>
      <c r="X110" s="3">
        <f t="shared" si="3"/>
        <v>12768</v>
      </c>
      <c r="Y110">
        <v>32</v>
      </c>
      <c r="Z110" t="s">
        <v>43</v>
      </c>
      <c r="AA110" s="3">
        <f>X110-Grocery_Inventory_and_Sales_Dat!N110</f>
        <v>12540</v>
      </c>
    </row>
    <row r="111" spans="1:27" x14ac:dyDescent="0.3">
      <c r="A111" t="s">
        <v>526</v>
      </c>
      <c r="B111" t="s">
        <v>308</v>
      </c>
      <c r="C111" t="s">
        <v>138</v>
      </c>
      <c r="D111" t="s">
        <v>527</v>
      </c>
      <c r="E111" s="13" t="s">
        <v>528</v>
      </c>
      <c r="G111" s="2">
        <v>33</v>
      </c>
      <c r="H111">
        <v>18</v>
      </c>
      <c r="I111">
        <v>92</v>
      </c>
      <c r="J111" t="s">
        <v>55</v>
      </c>
      <c r="K111">
        <v>0</v>
      </c>
      <c r="L111" t="s">
        <v>41</v>
      </c>
      <c r="M111" s="12">
        <v>6</v>
      </c>
      <c r="N111" s="3">
        <f>G111*M111</f>
        <v>198</v>
      </c>
      <c r="O111" s="1">
        <v>45357</v>
      </c>
      <c r="P111" s="1">
        <v>45561</v>
      </c>
      <c r="Q111" s="1">
        <v>45491</v>
      </c>
      <c r="R111">
        <v>722</v>
      </c>
      <c r="S111">
        <v>518</v>
      </c>
      <c r="T111">
        <v>588</v>
      </c>
      <c r="U111" t="str">
        <f t="shared" si="2"/>
        <v>Safe</v>
      </c>
      <c r="V111" t="s">
        <v>529</v>
      </c>
      <c r="W111">
        <v>98</v>
      </c>
      <c r="X111" s="3">
        <f t="shared" si="3"/>
        <v>19404</v>
      </c>
      <c r="Y111">
        <v>56</v>
      </c>
      <c r="Z111" t="s">
        <v>30</v>
      </c>
      <c r="AA111" s="3">
        <f>X111-Grocery_Inventory_and_Sales_Dat!N111</f>
        <v>19206</v>
      </c>
    </row>
    <row r="112" spans="1:27" x14ac:dyDescent="0.3">
      <c r="A112" t="s">
        <v>530</v>
      </c>
      <c r="B112" t="s">
        <v>32</v>
      </c>
      <c r="C112" t="s">
        <v>33</v>
      </c>
      <c r="D112" t="s">
        <v>531</v>
      </c>
      <c r="E112" s="13" t="s">
        <v>101</v>
      </c>
      <c r="G112" s="2">
        <v>62</v>
      </c>
      <c r="H112">
        <v>89</v>
      </c>
      <c r="I112">
        <v>6</v>
      </c>
      <c r="J112" t="s">
        <v>27</v>
      </c>
      <c r="K112">
        <v>89</v>
      </c>
      <c r="L112" t="s">
        <v>28</v>
      </c>
      <c r="M112" s="12">
        <v>20</v>
      </c>
      <c r="N112" s="3">
        <f>G112*M112</f>
        <v>1240</v>
      </c>
      <c r="O112" s="1">
        <v>45513</v>
      </c>
      <c r="P112" s="1">
        <v>45449</v>
      </c>
      <c r="Q112" s="1">
        <v>45672</v>
      </c>
      <c r="R112">
        <v>566</v>
      </c>
      <c r="S112">
        <v>630</v>
      </c>
      <c r="T112">
        <v>407</v>
      </c>
      <c r="U112" t="str">
        <f t="shared" si="2"/>
        <v>Expiring Soon</v>
      </c>
      <c r="V112" t="s">
        <v>532</v>
      </c>
      <c r="W112">
        <v>23</v>
      </c>
      <c r="X112" s="3">
        <f t="shared" si="3"/>
        <v>28520</v>
      </c>
      <c r="Y112">
        <v>11</v>
      </c>
      <c r="Z112" t="s">
        <v>30</v>
      </c>
      <c r="AA112" s="3">
        <f>X112-Grocery_Inventory_and_Sales_Dat!N112</f>
        <v>27280</v>
      </c>
    </row>
    <row r="113" spans="1:27" x14ac:dyDescent="0.3">
      <c r="A113" t="s">
        <v>533</v>
      </c>
      <c r="B113" t="s">
        <v>534</v>
      </c>
      <c r="C113" t="s">
        <v>52</v>
      </c>
      <c r="D113" t="s">
        <v>535</v>
      </c>
      <c r="E113" s="13" t="s">
        <v>160</v>
      </c>
      <c r="G113" s="2">
        <v>89</v>
      </c>
      <c r="H113">
        <v>57</v>
      </c>
      <c r="I113">
        <v>92</v>
      </c>
      <c r="J113" t="s">
        <v>55</v>
      </c>
      <c r="K113">
        <v>0</v>
      </c>
      <c r="L113" t="s">
        <v>41</v>
      </c>
      <c r="M113" s="12">
        <v>5</v>
      </c>
      <c r="N113" s="3">
        <f>G113*M113</f>
        <v>445</v>
      </c>
      <c r="O113" s="1">
        <v>45519</v>
      </c>
      <c r="P113" s="1">
        <v>45457</v>
      </c>
      <c r="Q113" s="1">
        <v>45649</v>
      </c>
      <c r="R113">
        <v>560</v>
      </c>
      <c r="S113">
        <v>622</v>
      </c>
      <c r="T113">
        <v>430</v>
      </c>
      <c r="U113" t="str">
        <f t="shared" si="2"/>
        <v>Expiring Soon</v>
      </c>
      <c r="V113" t="s">
        <v>536</v>
      </c>
      <c r="W113">
        <v>38</v>
      </c>
      <c r="X113" s="3">
        <f t="shared" si="3"/>
        <v>16910</v>
      </c>
      <c r="Y113">
        <v>16</v>
      </c>
      <c r="Z113" t="s">
        <v>49</v>
      </c>
      <c r="AA113" s="3">
        <f>X113-Grocery_Inventory_and_Sales_Dat!N113</f>
        <v>16465</v>
      </c>
    </row>
    <row r="114" spans="1:27" x14ac:dyDescent="0.3">
      <c r="A114" t="s">
        <v>537</v>
      </c>
      <c r="B114" t="s">
        <v>538</v>
      </c>
      <c r="C114" t="s">
        <v>138</v>
      </c>
      <c r="D114" t="s">
        <v>539</v>
      </c>
      <c r="E114" s="13" t="s">
        <v>540</v>
      </c>
      <c r="G114" s="2">
        <v>23</v>
      </c>
      <c r="H114">
        <v>42</v>
      </c>
      <c r="I114">
        <v>87</v>
      </c>
      <c r="J114" t="s">
        <v>27</v>
      </c>
      <c r="K114">
        <v>42</v>
      </c>
      <c r="L114" t="s">
        <v>41</v>
      </c>
      <c r="M114" s="12">
        <v>8</v>
      </c>
      <c r="N114" s="3">
        <f>G114*M114</f>
        <v>184</v>
      </c>
      <c r="O114" s="1">
        <v>45659</v>
      </c>
      <c r="P114" s="1">
        <v>45488</v>
      </c>
      <c r="Q114" s="1">
        <v>45375</v>
      </c>
      <c r="R114">
        <v>420</v>
      </c>
      <c r="S114">
        <v>591</v>
      </c>
      <c r="T114">
        <v>704</v>
      </c>
      <c r="U114" t="str">
        <f t="shared" si="2"/>
        <v>Safe</v>
      </c>
      <c r="V114" t="s">
        <v>541</v>
      </c>
      <c r="W114">
        <v>63</v>
      </c>
      <c r="X114" s="3">
        <f t="shared" si="3"/>
        <v>11592</v>
      </c>
      <c r="Y114">
        <v>5</v>
      </c>
      <c r="Z114" t="s">
        <v>43</v>
      </c>
      <c r="AA114" s="3">
        <f>X114-Grocery_Inventory_and_Sales_Dat!N114</f>
        <v>11408</v>
      </c>
    </row>
    <row r="115" spans="1:27" x14ac:dyDescent="0.3">
      <c r="A115" t="s">
        <v>542</v>
      </c>
      <c r="B115" t="s">
        <v>543</v>
      </c>
      <c r="C115" t="s">
        <v>52</v>
      </c>
      <c r="D115" t="s">
        <v>544</v>
      </c>
      <c r="E115" s="13" t="s">
        <v>40</v>
      </c>
      <c r="G115" s="2">
        <v>56</v>
      </c>
      <c r="H115">
        <v>12</v>
      </c>
      <c r="I115">
        <v>59</v>
      </c>
      <c r="J115" t="s">
        <v>55</v>
      </c>
      <c r="K115">
        <v>0</v>
      </c>
      <c r="L115" t="s">
        <v>41</v>
      </c>
      <c r="M115" s="12">
        <v>98.43</v>
      </c>
      <c r="N115" s="3">
        <f>G115*M115</f>
        <v>5512.08</v>
      </c>
      <c r="O115" s="1">
        <v>45552</v>
      </c>
      <c r="P115" s="1">
        <v>45531</v>
      </c>
      <c r="Q115" s="1">
        <v>45690</v>
      </c>
      <c r="R115">
        <v>527</v>
      </c>
      <c r="S115">
        <v>548</v>
      </c>
      <c r="T115">
        <v>389</v>
      </c>
      <c r="U115" t="str">
        <f t="shared" si="2"/>
        <v>Expiring Soon</v>
      </c>
      <c r="V115" t="s">
        <v>545</v>
      </c>
      <c r="W115">
        <v>35</v>
      </c>
      <c r="X115" s="3">
        <f t="shared" si="3"/>
        <v>192922.8</v>
      </c>
      <c r="Y115">
        <v>16</v>
      </c>
      <c r="Z115" t="s">
        <v>49</v>
      </c>
      <c r="AA115" s="3">
        <f>X115-Grocery_Inventory_and_Sales_Dat!N115</f>
        <v>187410.72</v>
      </c>
    </row>
    <row r="116" spans="1:27" x14ac:dyDescent="0.3">
      <c r="A116" t="s">
        <v>546</v>
      </c>
      <c r="B116" t="s">
        <v>38</v>
      </c>
      <c r="C116" t="s">
        <v>24</v>
      </c>
      <c r="D116" t="s">
        <v>547</v>
      </c>
      <c r="E116" s="13" t="s">
        <v>548</v>
      </c>
      <c r="G116" s="2">
        <v>86</v>
      </c>
      <c r="H116">
        <v>100</v>
      </c>
      <c r="I116">
        <v>74</v>
      </c>
      <c r="J116" t="s">
        <v>27</v>
      </c>
      <c r="K116">
        <v>100</v>
      </c>
      <c r="L116" t="s">
        <v>28</v>
      </c>
      <c r="M116" s="12">
        <v>6.1</v>
      </c>
      <c r="N116" s="3">
        <f>G116*M116</f>
        <v>524.6</v>
      </c>
      <c r="O116" s="1">
        <v>45376</v>
      </c>
      <c r="P116" s="1">
        <v>45674</v>
      </c>
      <c r="Q116" s="1">
        <v>45442</v>
      </c>
      <c r="R116">
        <v>703</v>
      </c>
      <c r="S116">
        <v>405</v>
      </c>
      <c r="T116">
        <v>637</v>
      </c>
      <c r="U116" t="str">
        <f t="shared" si="2"/>
        <v>Safe</v>
      </c>
      <c r="V116" t="s">
        <v>549</v>
      </c>
      <c r="W116">
        <v>80</v>
      </c>
      <c r="X116" s="3">
        <f t="shared" si="3"/>
        <v>41968</v>
      </c>
      <c r="Y116">
        <v>94</v>
      </c>
      <c r="Z116" t="s">
        <v>49</v>
      </c>
      <c r="AA116" s="3">
        <f>X116-Grocery_Inventory_and_Sales_Dat!N116</f>
        <v>41443.4</v>
      </c>
    </row>
    <row r="117" spans="1:27" x14ac:dyDescent="0.3">
      <c r="A117" t="s">
        <v>550</v>
      </c>
      <c r="B117" t="s">
        <v>551</v>
      </c>
      <c r="C117" t="s">
        <v>52</v>
      </c>
      <c r="D117" t="s">
        <v>552</v>
      </c>
      <c r="E117" s="13" t="s">
        <v>553</v>
      </c>
      <c r="G117" s="2">
        <v>60</v>
      </c>
      <c r="H117">
        <v>61</v>
      </c>
      <c r="I117">
        <v>2</v>
      </c>
      <c r="J117" t="s">
        <v>27</v>
      </c>
      <c r="K117">
        <v>61</v>
      </c>
      <c r="L117" t="s">
        <v>28</v>
      </c>
      <c r="M117" s="12">
        <v>6</v>
      </c>
      <c r="N117" s="3">
        <f>G117*M117</f>
        <v>360</v>
      </c>
      <c r="O117" s="1">
        <v>45425</v>
      </c>
      <c r="P117" s="1">
        <v>45634</v>
      </c>
      <c r="Q117" s="1">
        <v>45531</v>
      </c>
      <c r="R117">
        <v>654</v>
      </c>
      <c r="S117">
        <v>445</v>
      </c>
      <c r="T117">
        <v>548</v>
      </c>
      <c r="U117" t="str">
        <f t="shared" si="2"/>
        <v>Expiring Soon</v>
      </c>
      <c r="V117" t="s">
        <v>554</v>
      </c>
      <c r="W117">
        <v>96</v>
      </c>
      <c r="X117" s="3">
        <f t="shared" si="3"/>
        <v>34560</v>
      </c>
      <c r="Y117">
        <v>50</v>
      </c>
      <c r="Z117" t="s">
        <v>49</v>
      </c>
      <c r="AA117" s="3">
        <f>X117-Grocery_Inventory_and_Sales_Dat!N117</f>
        <v>34200</v>
      </c>
    </row>
    <row r="118" spans="1:27" x14ac:dyDescent="0.3">
      <c r="A118" t="s">
        <v>555</v>
      </c>
      <c r="B118" t="s">
        <v>187</v>
      </c>
      <c r="C118" t="s">
        <v>52</v>
      </c>
      <c r="D118" t="s">
        <v>556</v>
      </c>
      <c r="E118" s="13" t="s">
        <v>557</v>
      </c>
      <c r="G118" s="2">
        <v>70</v>
      </c>
      <c r="H118">
        <v>30</v>
      </c>
      <c r="I118">
        <v>69</v>
      </c>
      <c r="J118" t="s">
        <v>55</v>
      </c>
      <c r="K118">
        <v>0</v>
      </c>
      <c r="L118" t="s">
        <v>41</v>
      </c>
      <c r="M118" s="12">
        <v>3.5</v>
      </c>
      <c r="N118" s="3">
        <f>G118*M118</f>
        <v>245</v>
      </c>
      <c r="O118" s="1">
        <v>45517</v>
      </c>
      <c r="P118" s="1">
        <v>45718</v>
      </c>
      <c r="Q118" s="1">
        <v>45487</v>
      </c>
      <c r="R118">
        <v>562</v>
      </c>
      <c r="S118">
        <v>361</v>
      </c>
      <c r="T118">
        <v>592</v>
      </c>
      <c r="U118" t="str">
        <f t="shared" si="2"/>
        <v>Safe</v>
      </c>
      <c r="V118" t="s">
        <v>558</v>
      </c>
      <c r="W118">
        <v>44</v>
      </c>
      <c r="X118" s="3">
        <f t="shared" si="3"/>
        <v>10780</v>
      </c>
      <c r="Y118">
        <v>42</v>
      </c>
      <c r="Z118" t="s">
        <v>30</v>
      </c>
      <c r="AA118" s="3">
        <f>X118-Grocery_Inventory_and_Sales_Dat!N118</f>
        <v>10535</v>
      </c>
    </row>
    <row r="119" spans="1:27" x14ac:dyDescent="0.3">
      <c r="A119" t="s">
        <v>559</v>
      </c>
      <c r="B119" t="s">
        <v>560</v>
      </c>
      <c r="C119" t="s">
        <v>52</v>
      </c>
      <c r="D119" t="s">
        <v>561</v>
      </c>
      <c r="E119" s="13" t="s">
        <v>562</v>
      </c>
      <c r="G119" s="2">
        <v>47</v>
      </c>
      <c r="H119">
        <v>72</v>
      </c>
      <c r="I119">
        <v>73</v>
      </c>
      <c r="J119" t="s">
        <v>27</v>
      </c>
      <c r="K119">
        <v>72</v>
      </c>
      <c r="L119" t="s">
        <v>28</v>
      </c>
      <c r="M119" s="12">
        <v>4</v>
      </c>
      <c r="N119" s="3">
        <f>G119*M119</f>
        <v>188</v>
      </c>
      <c r="O119" s="1">
        <v>45433</v>
      </c>
      <c r="P119" s="1">
        <v>45381</v>
      </c>
      <c r="Q119" s="1">
        <v>45412</v>
      </c>
      <c r="R119">
        <v>646</v>
      </c>
      <c r="S119">
        <v>698</v>
      </c>
      <c r="T119">
        <v>667</v>
      </c>
      <c r="U119" t="str">
        <f t="shared" si="2"/>
        <v>Safe</v>
      </c>
      <c r="V119" t="s">
        <v>563</v>
      </c>
      <c r="W119">
        <v>93</v>
      </c>
      <c r="X119" s="3">
        <f t="shared" si="3"/>
        <v>17484</v>
      </c>
      <c r="Y119">
        <v>27</v>
      </c>
      <c r="Z119" t="s">
        <v>43</v>
      </c>
      <c r="AA119" s="3">
        <f>X119-Grocery_Inventory_and_Sales_Dat!N119</f>
        <v>17296</v>
      </c>
    </row>
    <row r="120" spans="1:27" x14ac:dyDescent="0.3">
      <c r="A120" t="s">
        <v>564</v>
      </c>
      <c r="B120" t="s">
        <v>391</v>
      </c>
      <c r="C120" t="s">
        <v>24</v>
      </c>
      <c r="D120" t="s">
        <v>565</v>
      </c>
      <c r="E120" s="13" t="s">
        <v>566</v>
      </c>
      <c r="G120" s="2">
        <v>95</v>
      </c>
      <c r="H120">
        <v>93</v>
      </c>
      <c r="I120">
        <v>16</v>
      </c>
      <c r="J120" t="s">
        <v>55</v>
      </c>
      <c r="K120">
        <v>0</v>
      </c>
      <c r="L120" t="s">
        <v>41</v>
      </c>
      <c r="M120" s="12">
        <v>4.5</v>
      </c>
      <c r="N120" s="3">
        <f>G120*M120</f>
        <v>427.5</v>
      </c>
      <c r="O120" s="1">
        <v>45622</v>
      </c>
      <c r="P120" s="1">
        <v>45452</v>
      </c>
      <c r="Q120" s="1">
        <v>45556</v>
      </c>
      <c r="R120">
        <v>457</v>
      </c>
      <c r="S120">
        <v>627</v>
      </c>
      <c r="T120">
        <v>523</v>
      </c>
      <c r="U120" t="str">
        <f t="shared" si="2"/>
        <v>Expiring Soon</v>
      </c>
      <c r="V120" t="s">
        <v>567</v>
      </c>
      <c r="W120">
        <v>60</v>
      </c>
      <c r="X120" s="3">
        <f t="shared" si="3"/>
        <v>25650</v>
      </c>
      <c r="Y120">
        <v>19</v>
      </c>
      <c r="Z120" t="s">
        <v>49</v>
      </c>
      <c r="AA120" s="3">
        <f>X120-Grocery_Inventory_and_Sales_Dat!N120</f>
        <v>25222.5</v>
      </c>
    </row>
    <row r="121" spans="1:27" x14ac:dyDescent="0.3">
      <c r="A121" t="s">
        <v>568</v>
      </c>
      <c r="B121" t="s">
        <v>51</v>
      </c>
      <c r="C121" t="s">
        <v>52</v>
      </c>
      <c r="D121" t="s">
        <v>569</v>
      </c>
      <c r="E121" s="13" t="s">
        <v>570</v>
      </c>
      <c r="G121" s="2">
        <v>20</v>
      </c>
      <c r="H121">
        <v>42</v>
      </c>
      <c r="I121">
        <v>21</v>
      </c>
      <c r="J121" t="s">
        <v>27</v>
      </c>
      <c r="K121">
        <v>42</v>
      </c>
      <c r="L121" t="s">
        <v>41</v>
      </c>
      <c r="M121" s="12">
        <v>3.85</v>
      </c>
      <c r="N121" s="3">
        <f>G121*M121</f>
        <v>77</v>
      </c>
      <c r="O121" s="1">
        <v>45624</v>
      </c>
      <c r="P121" s="1">
        <v>45684</v>
      </c>
      <c r="Q121" s="1">
        <v>45708</v>
      </c>
      <c r="R121">
        <v>455</v>
      </c>
      <c r="S121">
        <v>395</v>
      </c>
      <c r="T121">
        <v>371</v>
      </c>
      <c r="U121" t="str">
        <f t="shared" si="2"/>
        <v>Expiring Soon</v>
      </c>
      <c r="V121" t="s">
        <v>571</v>
      </c>
      <c r="W121">
        <v>61</v>
      </c>
      <c r="X121" s="3">
        <f t="shared" si="3"/>
        <v>4697</v>
      </c>
      <c r="Y121">
        <v>25</v>
      </c>
      <c r="Z121" t="s">
        <v>30</v>
      </c>
      <c r="AA121" s="3">
        <f>X121-Grocery_Inventory_and_Sales_Dat!N121</f>
        <v>4620</v>
      </c>
    </row>
    <row r="122" spans="1:27" x14ac:dyDescent="0.3">
      <c r="A122" t="s">
        <v>572</v>
      </c>
      <c r="B122" t="s">
        <v>23</v>
      </c>
      <c r="C122" t="s">
        <v>24</v>
      </c>
      <c r="D122" t="s">
        <v>573</v>
      </c>
      <c r="E122" s="13" t="s">
        <v>574</v>
      </c>
      <c r="G122" s="2">
        <v>19</v>
      </c>
      <c r="H122">
        <v>17</v>
      </c>
      <c r="I122">
        <v>14</v>
      </c>
      <c r="J122" t="s">
        <v>55</v>
      </c>
      <c r="K122">
        <v>0</v>
      </c>
      <c r="L122" t="s">
        <v>41</v>
      </c>
      <c r="M122" s="12">
        <v>4.3</v>
      </c>
      <c r="N122" s="3">
        <f>G122*M122</f>
        <v>81.7</v>
      </c>
      <c r="O122" s="1">
        <v>45534</v>
      </c>
      <c r="P122" s="1">
        <v>45472</v>
      </c>
      <c r="Q122" s="1">
        <v>45361</v>
      </c>
      <c r="R122">
        <v>545</v>
      </c>
      <c r="S122">
        <v>607</v>
      </c>
      <c r="T122">
        <v>718</v>
      </c>
      <c r="U122" t="str">
        <f t="shared" si="2"/>
        <v>Safe</v>
      </c>
      <c r="V122" t="s">
        <v>575</v>
      </c>
      <c r="W122">
        <v>58</v>
      </c>
      <c r="X122" s="3">
        <f t="shared" si="3"/>
        <v>4738.6000000000004</v>
      </c>
      <c r="Y122">
        <v>23</v>
      </c>
      <c r="Z122" t="s">
        <v>49</v>
      </c>
      <c r="AA122" s="3">
        <f>X122-Grocery_Inventory_and_Sales_Dat!N122</f>
        <v>4656.9000000000005</v>
      </c>
    </row>
    <row r="123" spans="1:27" x14ac:dyDescent="0.3">
      <c r="A123" t="s">
        <v>576</v>
      </c>
      <c r="B123" t="s">
        <v>32</v>
      </c>
      <c r="C123" t="s">
        <v>33</v>
      </c>
      <c r="D123" t="s">
        <v>577</v>
      </c>
      <c r="E123" s="13" t="s">
        <v>475</v>
      </c>
      <c r="G123" s="2">
        <v>74</v>
      </c>
      <c r="H123">
        <v>72</v>
      </c>
      <c r="I123">
        <v>18</v>
      </c>
      <c r="J123" t="s">
        <v>55</v>
      </c>
      <c r="K123">
        <v>0</v>
      </c>
      <c r="L123" t="s">
        <v>41</v>
      </c>
      <c r="M123" s="12">
        <v>21</v>
      </c>
      <c r="N123" s="3">
        <f>G123*M123</f>
        <v>1554</v>
      </c>
      <c r="O123" s="1">
        <v>45611</v>
      </c>
      <c r="P123" s="1">
        <v>45349</v>
      </c>
      <c r="Q123" s="1">
        <v>45693</v>
      </c>
      <c r="R123">
        <v>468</v>
      </c>
      <c r="S123">
        <v>730</v>
      </c>
      <c r="T123">
        <v>386</v>
      </c>
      <c r="U123" t="str">
        <f t="shared" si="2"/>
        <v>Expiring Soon</v>
      </c>
      <c r="V123" t="s">
        <v>578</v>
      </c>
      <c r="W123">
        <v>83</v>
      </c>
      <c r="X123" s="3">
        <f t="shared" si="3"/>
        <v>128982</v>
      </c>
      <c r="Y123">
        <v>54</v>
      </c>
      <c r="Z123" t="s">
        <v>49</v>
      </c>
      <c r="AA123" s="3">
        <f>X123-Grocery_Inventory_and_Sales_Dat!N123</f>
        <v>127428</v>
      </c>
    </row>
    <row r="124" spans="1:27" x14ac:dyDescent="0.3">
      <c r="A124" t="s">
        <v>579</v>
      </c>
      <c r="B124" t="s">
        <v>177</v>
      </c>
      <c r="C124" t="s">
        <v>52</v>
      </c>
      <c r="D124" t="s">
        <v>580</v>
      </c>
      <c r="E124" s="13" t="s">
        <v>581</v>
      </c>
      <c r="G124" s="2">
        <v>61</v>
      </c>
      <c r="H124">
        <v>50</v>
      </c>
      <c r="I124">
        <v>9</v>
      </c>
      <c r="J124" t="s">
        <v>55</v>
      </c>
      <c r="K124">
        <v>0</v>
      </c>
      <c r="L124" t="s">
        <v>41</v>
      </c>
      <c r="M124" s="12">
        <v>4.5</v>
      </c>
      <c r="N124" s="3">
        <f>G124*M124</f>
        <v>274.5</v>
      </c>
      <c r="O124" s="1">
        <v>45514</v>
      </c>
      <c r="P124" s="1">
        <v>45348</v>
      </c>
      <c r="Q124" s="1">
        <v>45676</v>
      </c>
      <c r="R124">
        <v>565</v>
      </c>
      <c r="S124">
        <v>731</v>
      </c>
      <c r="T124">
        <v>403</v>
      </c>
      <c r="U124" t="str">
        <f t="shared" si="2"/>
        <v>Expiring Soon</v>
      </c>
      <c r="V124" t="s">
        <v>582</v>
      </c>
      <c r="W124">
        <v>24</v>
      </c>
      <c r="X124" s="3">
        <f t="shared" si="3"/>
        <v>6588</v>
      </c>
      <c r="Y124">
        <v>92</v>
      </c>
      <c r="Z124" t="s">
        <v>49</v>
      </c>
      <c r="AA124" s="3">
        <f>X124-Grocery_Inventory_and_Sales_Dat!N124</f>
        <v>6313.5</v>
      </c>
    </row>
    <row r="125" spans="1:27" x14ac:dyDescent="0.3">
      <c r="A125" t="s">
        <v>583</v>
      </c>
      <c r="B125" t="s">
        <v>271</v>
      </c>
      <c r="C125" t="s">
        <v>95</v>
      </c>
      <c r="D125" t="s">
        <v>584</v>
      </c>
      <c r="E125" s="13" t="s">
        <v>585</v>
      </c>
      <c r="G125" s="2">
        <v>34</v>
      </c>
      <c r="H125">
        <v>42</v>
      </c>
      <c r="I125">
        <v>86</v>
      </c>
      <c r="J125" t="s">
        <v>27</v>
      </c>
      <c r="K125">
        <v>42</v>
      </c>
      <c r="L125" t="s">
        <v>41</v>
      </c>
      <c r="M125" s="12">
        <v>4</v>
      </c>
      <c r="N125" s="3">
        <f>G125*M125</f>
        <v>136</v>
      </c>
      <c r="O125" s="1">
        <v>45428</v>
      </c>
      <c r="P125" s="1">
        <v>45483</v>
      </c>
      <c r="Q125" s="1">
        <v>45383</v>
      </c>
      <c r="R125">
        <v>651</v>
      </c>
      <c r="S125">
        <v>596</v>
      </c>
      <c r="T125">
        <v>696</v>
      </c>
      <c r="U125" t="str">
        <f t="shared" si="2"/>
        <v>Safe</v>
      </c>
      <c r="V125" t="s">
        <v>586</v>
      </c>
      <c r="W125">
        <v>28</v>
      </c>
      <c r="X125" s="3">
        <f t="shared" si="3"/>
        <v>3808</v>
      </c>
      <c r="Y125">
        <v>23</v>
      </c>
      <c r="Z125" t="s">
        <v>30</v>
      </c>
      <c r="AA125" s="3">
        <f>X125-Grocery_Inventory_and_Sales_Dat!N125</f>
        <v>3672</v>
      </c>
    </row>
    <row r="126" spans="1:27" x14ac:dyDescent="0.3">
      <c r="A126" t="s">
        <v>587</v>
      </c>
      <c r="B126" t="s">
        <v>177</v>
      </c>
      <c r="C126" t="s">
        <v>52</v>
      </c>
      <c r="D126" t="s">
        <v>588</v>
      </c>
      <c r="E126" s="13" t="s">
        <v>589</v>
      </c>
      <c r="G126" s="2">
        <v>29</v>
      </c>
      <c r="H126">
        <v>20</v>
      </c>
      <c r="I126">
        <v>85</v>
      </c>
      <c r="J126" t="s">
        <v>55</v>
      </c>
      <c r="K126">
        <v>0</v>
      </c>
      <c r="L126" t="s">
        <v>41</v>
      </c>
      <c r="M126" s="12">
        <v>4.5</v>
      </c>
      <c r="N126" s="3">
        <f>G126*M126</f>
        <v>130.5</v>
      </c>
      <c r="O126" s="1">
        <v>45592</v>
      </c>
      <c r="P126" s="1">
        <v>45708</v>
      </c>
      <c r="Q126" s="1">
        <v>45353</v>
      </c>
      <c r="R126">
        <v>487</v>
      </c>
      <c r="S126">
        <v>371</v>
      </c>
      <c r="T126">
        <v>726</v>
      </c>
      <c r="U126" t="str">
        <f t="shared" si="2"/>
        <v>Safe</v>
      </c>
      <c r="V126" t="s">
        <v>590</v>
      </c>
      <c r="W126">
        <v>31</v>
      </c>
      <c r="X126" s="3">
        <f t="shared" si="3"/>
        <v>4045.5</v>
      </c>
      <c r="Y126">
        <v>31</v>
      </c>
      <c r="Z126" t="s">
        <v>49</v>
      </c>
      <c r="AA126" s="3">
        <f>X126-Grocery_Inventory_and_Sales_Dat!N126</f>
        <v>3915</v>
      </c>
    </row>
    <row r="127" spans="1:27" x14ac:dyDescent="0.3">
      <c r="A127" t="s">
        <v>591</v>
      </c>
      <c r="B127" t="s">
        <v>369</v>
      </c>
      <c r="C127" t="s">
        <v>70</v>
      </c>
      <c r="D127" t="s">
        <v>592</v>
      </c>
      <c r="E127" s="13" t="s">
        <v>495</v>
      </c>
      <c r="G127" s="2">
        <v>14</v>
      </c>
      <c r="H127">
        <v>99</v>
      </c>
      <c r="I127">
        <v>97</v>
      </c>
      <c r="J127" t="s">
        <v>27</v>
      </c>
      <c r="K127">
        <v>99</v>
      </c>
      <c r="L127" t="s">
        <v>28</v>
      </c>
      <c r="M127" s="12">
        <v>4.2</v>
      </c>
      <c r="N127" s="3">
        <f>G127*M127</f>
        <v>58.800000000000004</v>
      </c>
      <c r="O127" s="1">
        <v>45403</v>
      </c>
      <c r="P127" s="1">
        <v>45809</v>
      </c>
      <c r="Q127" s="1">
        <v>45469</v>
      </c>
      <c r="R127">
        <v>676</v>
      </c>
      <c r="S127">
        <v>270</v>
      </c>
      <c r="T127">
        <v>610</v>
      </c>
      <c r="U127" t="str">
        <f t="shared" si="2"/>
        <v>Safe</v>
      </c>
      <c r="V127" t="s">
        <v>593</v>
      </c>
      <c r="W127">
        <v>28</v>
      </c>
      <c r="X127" s="3">
        <f t="shared" si="3"/>
        <v>1646.4</v>
      </c>
      <c r="Y127">
        <v>45</v>
      </c>
      <c r="Z127" t="s">
        <v>30</v>
      </c>
      <c r="AA127" s="3">
        <f>X127-Grocery_Inventory_and_Sales_Dat!N127</f>
        <v>1587.6000000000001</v>
      </c>
    </row>
    <row r="128" spans="1:27" x14ac:dyDescent="0.3">
      <c r="A128" t="s">
        <v>594</v>
      </c>
      <c r="B128" t="s">
        <v>595</v>
      </c>
      <c r="C128" t="s">
        <v>24</v>
      </c>
      <c r="D128" t="s">
        <v>596</v>
      </c>
      <c r="E128" s="13" t="s">
        <v>597</v>
      </c>
      <c r="G128" s="2">
        <v>20</v>
      </c>
      <c r="H128">
        <v>20</v>
      </c>
      <c r="I128">
        <v>56</v>
      </c>
      <c r="J128" t="s">
        <v>27</v>
      </c>
      <c r="K128">
        <v>20</v>
      </c>
      <c r="L128" t="s">
        <v>41</v>
      </c>
      <c r="M128" s="12">
        <v>1.8</v>
      </c>
      <c r="N128" s="3">
        <f>G128*M128</f>
        <v>36</v>
      </c>
      <c r="O128" s="1">
        <v>45809</v>
      </c>
      <c r="P128" s="1">
        <v>45297</v>
      </c>
      <c r="Q128" s="1">
        <v>45418</v>
      </c>
      <c r="R128">
        <v>270</v>
      </c>
      <c r="S128">
        <v>782</v>
      </c>
      <c r="T128">
        <v>661</v>
      </c>
      <c r="U128" t="str">
        <f t="shared" si="2"/>
        <v>Safe</v>
      </c>
      <c r="V128" t="s">
        <v>598</v>
      </c>
      <c r="W128">
        <v>62</v>
      </c>
      <c r="X128" s="3">
        <f t="shared" si="3"/>
        <v>2232</v>
      </c>
      <c r="Y128">
        <v>69</v>
      </c>
      <c r="Z128" t="s">
        <v>43</v>
      </c>
      <c r="AA128" s="3">
        <f>X128-Grocery_Inventory_and_Sales_Dat!N128</f>
        <v>2196</v>
      </c>
    </row>
    <row r="129" spans="1:27" x14ac:dyDescent="0.3">
      <c r="A129" t="s">
        <v>599</v>
      </c>
      <c r="B129" t="s">
        <v>600</v>
      </c>
      <c r="C129" t="s">
        <v>24</v>
      </c>
      <c r="D129" t="s">
        <v>601</v>
      </c>
      <c r="E129" s="13" t="s">
        <v>602</v>
      </c>
      <c r="G129" s="2">
        <v>40</v>
      </c>
      <c r="H129">
        <v>38</v>
      </c>
      <c r="I129">
        <v>32</v>
      </c>
      <c r="J129" t="s">
        <v>55</v>
      </c>
      <c r="K129">
        <v>0</v>
      </c>
      <c r="L129" t="s">
        <v>41</v>
      </c>
      <c r="M129" s="12">
        <v>3.2</v>
      </c>
      <c r="N129" s="3">
        <f>G129*M129</f>
        <v>128</v>
      </c>
      <c r="O129" s="1">
        <v>45590</v>
      </c>
      <c r="P129" s="1">
        <v>45510</v>
      </c>
      <c r="Q129" s="1">
        <v>45660</v>
      </c>
      <c r="R129">
        <v>489</v>
      </c>
      <c r="S129">
        <v>569</v>
      </c>
      <c r="T129">
        <v>419</v>
      </c>
      <c r="U129" t="str">
        <f t="shared" si="2"/>
        <v>Expiring Soon</v>
      </c>
      <c r="V129" t="s">
        <v>603</v>
      </c>
      <c r="W129">
        <v>21</v>
      </c>
      <c r="X129" s="3">
        <f t="shared" si="3"/>
        <v>2688</v>
      </c>
      <c r="Y129">
        <v>45</v>
      </c>
      <c r="Z129" t="s">
        <v>43</v>
      </c>
      <c r="AA129" s="3">
        <f>X129-Grocery_Inventory_and_Sales_Dat!N129</f>
        <v>2560</v>
      </c>
    </row>
    <row r="130" spans="1:27" x14ac:dyDescent="0.3">
      <c r="A130" t="s">
        <v>604</v>
      </c>
      <c r="B130" t="s">
        <v>605</v>
      </c>
      <c r="C130" t="s">
        <v>64</v>
      </c>
      <c r="D130" t="s">
        <v>606</v>
      </c>
      <c r="E130" s="13" t="s">
        <v>129</v>
      </c>
      <c r="G130" s="2">
        <v>91</v>
      </c>
      <c r="H130">
        <v>82</v>
      </c>
      <c r="I130">
        <v>58</v>
      </c>
      <c r="J130" t="s">
        <v>55</v>
      </c>
      <c r="K130">
        <v>0</v>
      </c>
      <c r="L130" t="s">
        <v>41</v>
      </c>
      <c r="M130" s="12">
        <v>2.2999999999999998</v>
      </c>
      <c r="N130" s="3">
        <f>G130*M130</f>
        <v>209.29999999999998</v>
      </c>
      <c r="O130" s="1">
        <v>45409</v>
      </c>
      <c r="P130" s="1">
        <v>45586</v>
      </c>
      <c r="Q130" s="1">
        <v>45710</v>
      </c>
      <c r="R130">
        <v>670</v>
      </c>
      <c r="S130">
        <v>493</v>
      </c>
      <c r="T130">
        <v>369</v>
      </c>
      <c r="U130" t="str">
        <f t="shared" si="2"/>
        <v>Expiring Soon</v>
      </c>
      <c r="V130" t="s">
        <v>607</v>
      </c>
      <c r="W130">
        <v>43</v>
      </c>
      <c r="X130" s="3">
        <f t="shared" si="3"/>
        <v>8999.9</v>
      </c>
      <c r="Y130">
        <v>45</v>
      </c>
      <c r="Z130" t="s">
        <v>30</v>
      </c>
      <c r="AA130" s="3">
        <f>X130-Grocery_Inventory_and_Sales_Dat!N130</f>
        <v>8790.6</v>
      </c>
    </row>
    <row r="131" spans="1:27" x14ac:dyDescent="0.3">
      <c r="A131" t="s">
        <v>608</v>
      </c>
      <c r="B131" t="s">
        <v>609</v>
      </c>
      <c r="C131" t="s">
        <v>64</v>
      </c>
      <c r="D131" t="s">
        <v>610</v>
      </c>
      <c r="E131" s="13" t="s">
        <v>611</v>
      </c>
      <c r="G131" s="2">
        <v>99</v>
      </c>
      <c r="H131">
        <v>96</v>
      </c>
      <c r="I131">
        <v>39</v>
      </c>
      <c r="J131" t="s">
        <v>55</v>
      </c>
      <c r="K131">
        <v>0</v>
      </c>
      <c r="L131" t="s">
        <v>41</v>
      </c>
      <c r="M131" s="12">
        <v>10</v>
      </c>
      <c r="N131" s="3">
        <f>G131*M131</f>
        <v>990</v>
      </c>
      <c r="O131" s="1">
        <v>45465</v>
      </c>
      <c r="P131" s="1">
        <v>45462</v>
      </c>
      <c r="Q131" s="1">
        <v>45563</v>
      </c>
      <c r="R131">
        <v>614</v>
      </c>
      <c r="S131">
        <v>617</v>
      </c>
      <c r="T131">
        <v>516</v>
      </c>
      <c r="U131" t="str">
        <f t="shared" ref="U131:U194" si="4">IF(T131&lt;0,"Expired",IF(T131&lt;=550,"Expiring Soon","Safe"))</f>
        <v>Expiring Soon</v>
      </c>
      <c r="V131" t="s">
        <v>612</v>
      </c>
      <c r="W131">
        <v>94</v>
      </c>
      <c r="X131" s="3">
        <f t="shared" ref="X131:X194" si="5">W131*N131</f>
        <v>93060</v>
      </c>
      <c r="Y131">
        <v>89</v>
      </c>
      <c r="Z131" t="s">
        <v>43</v>
      </c>
      <c r="AA131" s="3">
        <f>X131-Grocery_Inventory_and_Sales_Dat!N131</f>
        <v>92070</v>
      </c>
    </row>
    <row r="132" spans="1:27" x14ac:dyDescent="0.3">
      <c r="A132" t="s">
        <v>613</v>
      </c>
      <c r="B132" t="s">
        <v>114</v>
      </c>
      <c r="C132" t="s">
        <v>24</v>
      </c>
      <c r="D132" t="s">
        <v>614</v>
      </c>
      <c r="E132" s="13" t="s">
        <v>615</v>
      </c>
      <c r="G132" s="2">
        <v>34</v>
      </c>
      <c r="H132">
        <v>46</v>
      </c>
      <c r="I132">
        <v>45</v>
      </c>
      <c r="J132" t="s">
        <v>27</v>
      </c>
      <c r="K132">
        <v>46</v>
      </c>
      <c r="L132" t="s">
        <v>41</v>
      </c>
      <c r="M132" s="12">
        <v>1.5</v>
      </c>
      <c r="N132" s="3">
        <f>G132*M132</f>
        <v>51</v>
      </c>
      <c r="O132" s="1">
        <v>45545</v>
      </c>
      <c r="P132" s="1">
        <v>45608</v>
      </c>
      <c r="Q132" s="1">
        <v>45648</v>
      </c>
      <c r="R132">
        <v>534</v>
      </c>
      <c r="S132">
        <v>471</v>
      </c>
      <c r="T132">
        <v>431</v>
      </c>
      <c r="U132" t="str">
        <f t="shared" si="4"/>
        <v>Expiring Soon</v>
      </c>
      <c r="V132" t="s">
        <v>616</v>
      </c>
      <c r="W132">
        <v>49</v>
      </c>
      <c r="X132" s="3">
        <f t="shared" si="5"/>
        <v>2499</v>
      </c>
      <c r="Y132">
        <v>25</v>
      </c>
      <c r="Z132" t="s">
        <v>43</v>
      </c>
      <c r="AA132" s="3">
        <f>X132-Grocery_Inventory_and_Sales_Dat!N132</f>
        <v>2448</v>
      </c>
    </row>
    <row r="133" spans="1:27" x14ac:dyDescent="0.3">
      <c r="A133" t="s">
        <v>617</v>
      </c>
      <c r="B133" t="s">
        <v>618</v>
      </c>
      <c r="C133" t="s">
        <v>70</v>
      </c>
      <c r="D133" t="s">
        <v>619</v>
      </c>
      <c r="E133" s="13" t="s">
        <v>620</v>
      </c>
      <c r="G133" s="2">
        <v>100</v>
      </c>
      <c r="H133">
        <v>21</v>
      </c>
      <c r="I133">
        <v>64</v>
      </c>
      <c r="J133" t="s">
        <v>55</v>
      </c>
      <c r="K133">
        <v>0</v>
      </c>
      <c r="L133" t="s">
        <v>41</v>
      </c>
      <c r="M133" s="12">
        <v>7</v>
      </c>
      <c r="N133" s="3">
        <f>G133*M133</f>
        <v>700</v>
      </c>
      <c r="O133" s="1">
        <v>45462</v>
      </c>
      <c r="P133" s="1">
        <v>45599</v>
      </c>
      <c r="Q133" s="1">
        <v>45533</v>
      </c>
      <c r="R133">
        <v>617</v>
      </c>
      <c r="S133">
        <v>480</v>
      </c>
      <c r="T133">
        <v>546</v>
      </c>
      <c r="U133" t="str">
        <f t="shared" si="4"/>
        <v>Expiring Soon</v>
      </c>
      <c r="V133" t="s">
        <v>621</v>
      </c>
      <c r="W133">
        <v>20</v>
      </c>
      <c r="X133" s="3">
        <f t="shared" si="5"/>
        <v>14000</v>
      </c>
      <c r="Y133">
        <v>13</v>
      </c>
      <c r="Z133" t="s">
        <v>43</v>
      </c>
      <c r="AA133" s="3">
        <f>X133-Grocery_Inventory_and_Sales_Dat!N133</f>
        <v>13300</v>
      </c>
    </row>
    <row r="134" spans="1:27" x14ac:dyDescent="0.3">
      <c r="A134" t="s">
        <v>622</v>
      </c>
      <c r="B134" t="s">
        <v>38</v>
      </c>
      <c r="C134" t="s">
        <v>24</v>
      </c>
      <c r="D134" t="s">
        <v>623</v>
      </c>
      <c r="E134" s="13" t="s">
        <v>624</v>
      </c>
      <c r="G134" s="2">
        <v>79</v>
      </c>
      <c r="H134">
        <v>98</v>
      </c>
      <c r="I134">
        <v>97</v>
      </c>
      <c r="J134" t="s">
        <v>27</v>
      </c>
      <c r="K134">
        <v>98</v>
      </c>
      <c r="L134" t="s">
        <v>28</v>
      </c>
      <c r="M134" s="12">
        <v>6</v>
      </c>
      <c r="N134" s="3">
        <f>G134*M134</f>
        <v>474</v>
      </c>
      <c r="O134" s="1">
        <v>45577</v>
      </c>
      <c r="P134" s="1">
        <v>45674</v>
      </c>
      <c r="Q134" s="1">
        <v>45429</v>
      </c>
      <c r="R134">
        <v>502</v>
      </c>
      <c r="S134">
        <v>405</v>
      </c>
      <c r="T134">
        <v>650</v>
      </c>
      <c r="U134" t="str">
        <f t="shared" si="4"/>
        <v>Safe</v>
      </c>
      <c r="V134" t="s">
        <v>625</v>
      </c>
      <c r="W134">
        <v>26</v>
      </c>
      <c r="X134" s="3">
        <f t="shared" si="5"/>
        <v>12324</v>
      </c>
      <c r="Y134">
        <v>21</v>
      </c>
      <c r="Z134" t="s">
        <v>43</v>
      </c>
      <c r="AA134" s="3">
        <f>X134-Grocery_Inventory_and_Sales_Dat!N134</f>
        <v>11850</v>
      </c>
    </row>
    <row r="135" spans="1:27" x14ac:dyDescent="0.3">
      <c r="A135" t="s">
        <v>626</v>
      </c>
      <c r="B135" t="s">
        <v>75</v>
      </c>
      <c r="C135" t="s">
        <v>70</v>
      </c>
      <c r="D135" t="s">
        <v>627</v>
      </c>
      <c r="E135" s="13" t="s">
        <v>620</v>
      </c>
      <c r="G135" s="2">
        <v>62</v>
      </c>
      <c r="H135">
        <v>2</v>
      </c>
      <c r="I135">
        <v>98</v>
      </c>
      <c r="J135" t="s">
        <v>55</v>
      </c>
      <c r="K135">
        <v>0</v>
      </c>
      <c r="L135" t="s">
        <v>41</v>
      </c>
      <c r="M135" s="12">
        <v>3</v>
      </c>
      <c r="N135" s="3">
        <f>G135*M135</f>
        <v>186</v>
      </c>
      <c r="O135" s="1">
        <v>45435</v>
      </c>
      <c r="P135" s="1">
        <v>45583</v>
      </c>
      <c r="Q135" s="1">
        <v>45540</v>
      </c>
      <c r="R135">
        <v>644</v>
      </c>
      <c r="S135">
        <v>496</v>
      </c>
      <c r="T135">
        <v>539</v>
      </c>
      <c r="U135" t="str">
        <f t="shared" si="4"/>
        <v>Expiring Soon</v>
      </c>
      <c r="V135" t="s">
        <v>628</v>
      </c>
      <c r="W135">
        <v>50</v>
      </c>
      <c r="X135" s="3">
        <f t="shared" si="5"/>
        <v>9300</v>
      </c>
      <c r="Y135">
        <v>11</v>
      </c>
      <c r="Z135" t="s">
        <v>30</v>
      </c>
      <c r="AA135" s="3">
        <f>X135-Grocery_Inventory_and_Sales_Dat!N135</f>
        <v>9114</v>
      </c>
    </row>
    <row r="136" spans="1:27" x14ac:dyDescent="0.3">
      <c r="A136" t="s">
        <v>629</v>
      </c>
      <c r="B136" t="s">
        <v>630</v>
      </c>
      <c r="C136" t="s">
        <v>138</v>
      </c>
      <c r="D136" t="s">
        <v>631</v>
      </c>
      <c r="E136" s="13" t="s">
        <v>632</v>
      </c>
      <c r="G136" s="2">
        <v>25</v>
      </c>
      <c r="H136">
        <v>44</v>
      </c>
      <c r="I136">
        <v>96</v>
      </c>
      <c r="J136" t="s">
        <v>27</v>
      </c>
      <c r="K136">
        <v>44</v>
      </c>
      <c r="L136" t="s">
        <v>41</v>
      </c>
      <c r="M136" s="12">
        <v>18</v>
      </c>
      <c r="N136" s="3">
        <f>G136*M136</f>
        <v>450</v>
      </c>
      <c r="O136" s="1">
        <v>45389</v>
      </c>
      <c r="P136" s="1">
        <v>45538</v>
      </c>
      <c r="Q136" s="1">
        <v>45536</v>
      </c>
      <c r="R136">
        <v>690</v>
      </c>
      <c r="S136">
        <v>541</v>
      </c>
      <c r="T136">
        <v>543</v>
      </c>
      <c r="U136" t="str">
        <f t="shared" si="4"/>
        <v>Expiring Soon</v>
      </c>
      <c r="V136" t="s">
        <v>633</v>
      </c>
      <c r="W136">
        <v>36</v>
      </c>
      <c r="X136" s="3">
        <f t="shared" si="5"/>
        <v>16200</v>
      </c>
      <c r="Y136">
        <v>16</v>
      </c>
      <c r="Z136" t="s">
        <v>49</v>
      </c>
      <c r="AA136" s="3">
        <f>X136-Grocery_Inventory_and_Sales_Dat!N136</f>
        <v>15750</v>
      </c>
    </row>
    <row r="137" spans="1:27" x14ac:dyDescent="0.3">
      <c r="A137" t="s">
        <v>634</v>
      </c>
      <c r="B137" t="s">
        <v>635</v>
      </c>
      <c r="C137" t="s">
        <v>70</v>
      </c>
      <c r="D137" t="s">
        <v>636</v>
      </c>
      <c r="E137" s="13" t="s">
        <v>40</v>
      </c>
      <c r="G137" s="2">
        <v>47</v>
      </c>
      <c r="H137">
        <v>2</v>
      </c>
      <c r="I137">
        <v>76</v>
      </c>
      <c r="J137" t="s">
        <v>55</v>
      </c>
      <c r="K137">
        <v>0</v>
      </c>
      <c r="L137" t="s">
        <v>41</v>
      </c>
      <c r="M137" s="12">
        <v>2.5</v>
      </c>
      <c r="N137" s="3">
        <f>G137*M137</f>
        <v>117.5</v>
      </c>
      <c r="O137" s="1">
        <v>45425</v>
      </c>
      <c r="P137" s="1">
        <v>45472</v>
      </c>
      <c r="Q137" s="1">
        <v>45357</v>
      </c>
      <c r="R137">
        <v>654</v>
      </c>
      <c r="S137">
        <v>607</v>
      </c>
      <c r="T137">
        <v>722</v>
      </c>
      <c r="U137" t="str">
        <f t="shared" si="4"/>
        <v>Safe</v>
      </c>
      <c r="V137" t="s">
        <v>637</v>
      </c>
      <c r="W137">
        <v>48</v>
      </c>
      <c r="X137" s="3">
        <f t="shared" si="5"/>
        <v>5640</v>
      </c>
      <c r="Y137">
        <v>36</v>
      </c>
      <c r="Z137" t="s">
        <v>30</v>
      </c>
      <c r="AA137" s="3">
        <f>X137-Grocery_Inventory_and_Sales_Dat!N137</f>
        <v>5522.5</v>
      </c>
    </row>
    <row r="138" spans="1:27" x14ac:dyDescent="0.3">
      <c r="A138" t="s">
        <v>638</v>
      </c>
      <c r="B138" t="s">
        <v>280</v>
      </c>
      <c r="C138" t="s">
        <v>52</v>
      </c>
      <c r="D138" t="s">
        <v>639</v>
      </c>
      <c r="E138" s="13" t="s">
        <v>640</v>
      </c>
      <c r="G138" s="2">
        <v>15</v>
      </c>
      <c r="H138">
        <v>44</v>
      </c>
      <c r="I138">
        <v>88</v>
      </c>
      <c r="J138" t="s">
        <v>27</v>
      </c>
      <c r="K138">
        <v>44</v>
      </c>
      <c r="L138" t="s">
        <v>41</v>
      </c>
      <c r="M138" s="12">
        <v>3</v>
      </c>
      <c r="N138" s="3">
        <f>G138*M138</f>
        <v>45</v>
      </c>
      <c r="O138" s="1">
        <v>45535</v>
      </c>
      <c r="P138" s="1">
        <v>45701</v>
      </c>
      <c r="Q138" s="1">
        <v>45410</v>
      </c>
      <c r="R138">
        <v>544</v>
      </c>
      <c r="S138">
        <v>378</v>
      </c>
      <c r="T138">
        <v>669</v>
      </c>
      <c r="U138" t="str">
        <f t="shared" si="4"/>
        <v>Safe</v>
      </c>
      <c r="V138" t="s">
        <v>641</v>
      </c>
      <c r="W138">
        <v>56</v>
      </c>
      <c r="X138" s="3">
        <f t="shared" si="5"/>
        <v>2520</v>
      </c>
      <c r="Y138">
        <v>12</v>
      </c>
      <c r="Z138" t="s">
        <v>30</v>
      </c>
      <c r="AA138" s="3">
        <f>X138-Grocery_Inventory_and_Sales_Dat!N138</f>
        <v>2475</v>
      </c>
    </row>
    <row r="139" spans="1:27" x14ac:dyDescent="0.3">
      <c r="A139" t="s">
        <v>642</v>
      </c>
      <c r="B139" t="s">
        <v>551</v>
      </c>
      <c r="C139" t="s">
        <v>52</v>
      </c>
      <c r="D139" t="s">
        <v>643</v>
      </c>
      <c r="E139" s="13" t="s">
        <v>644</v>
      </c>
      <c r="G139" s="2">
        <v>19</v>
      </c>
      <c r="H139">
        <v>65</v>
      </c>
      <c r="I139">
        <v>48</v>
      </c>
      <c r="J139" t="s">
        <v>27</v>
      </c>
      <c r="K139">
        <v>65</v>
      </c>
      <c r="L139" t="s">
        <v>28</v>
      </c>
      <c r="M139" s="12">
        <v>6</v>
      </c>
      <c r="N139" s="3">
        <f>G139*M139</f>
        <v>114</v>
      </c>
      <c r="O139" s="1">
        <v>45544</v>
      </c>
      <c r="P139" s="1">
        <v>45702</v>
      </c>
      <c r="Q139" s="1">
        <v>45547</v>
      </c>
      <c r="R139">
        <v>535</v>
      </c>
      <c r="S139">
        <v>377</v>
      </c>
      <c r="T139">
        <v>532</v>
      </c>
      <c r="U139" t="str">
        <f t="shared" si="4"/>
        <v>Expiring Soon</v>
      </c>
      <c r="V139" t="s">
        <v>645</v>
      </c>
      <c r="W139">
        <v>59</v>
      </c>
      <c r="X139" s="3">
        <f t="shared" si="5"/>
        <v>6726</v>
      </c>
      <c r="Y139">
        <v>53</v>
      </c>
      <c r="Z139" t="s">
        <v>30</v>
      </c>
      <c r="AA139" s="3">
        <f>X139-Grocery_Inventory_and_Sales_Dat!N139</f>
        <v>6612</v>
      </c>
    </row>
    <row r="140" spans="1:27" x14ac:dyDescent="0.3">
      <c r="A140" t="s">
        <v>646</v>
      </c>
      <c r="B140" t="s">
        <v>630</v>
      </c>
      <c r="C140" t="s">
        <v>138</v>
      </c>
      <c r="D140" t="s">
        <v>647</v>
      </c>
      <c r="E140" s="13" t="s">
        <v>648</v>
      </c>
      <c r="G140" s="2">
        <v>58</v>
      </c>
      <c r="H140">
        <v>77</v>
      </c>
      <c r="I140">
        <v>96</v>
      </c>
      <c r="J140" t="s">
        <v>27</v>
      </c>
      <c r="K140">
        <v>77</v>
      </c>
      <c r="L140" t="s">
        <v>28</v>
      </c>
      <c r="M140" s="12">
        <v>18</v>
      </c>
      <c r="N140" s="3">
        <f>G140*M140</f>
        <v>1044</v>
      </c>
      <c r="O140" s="1">
        <v>45605</v>
      </c>
      <c r="P140" s="1">
        <v>45399</v>
      </c>
      <c r="Q140" s="1">
        <v>45381</v>
      </c>
      <c r="R140">
        <v>474</v>
      </c>
      <c r="S140">
        <v>680</v>
      </c>
      <c r="T140">
        <v>698</v>
      </c>
      <c r="U140" t="str">
        <f t="shared" si="4"/>
        <v>Safe</v>
      </c>
      <c r="V140" t="s">
        <v>649</v>
      </c>
      <c r="W140">
        <v>25</v>
      </c>
      <c r="X140" s="3">
        <f t="shared" si="5"/>
        <v>26100</v>
      </c>
      <c r="Y140">
        <v>17</v>
      </c>
      <c r="Z140" t="s">
        <v>30</v>
      </c>
      <c r="AA140" s="3">
        <f>X140-Grocery_Inventory_and_Sales_Dat!N140</f>
        <v>25056</v>
      </c>
    </row>
    <row r="141" spans="1:27" x14ac:dyDescent="0.3">
      <c r="A141" t="s">
        <v>650</v>
      </c>
      <c r="B141" t="s">
        <v>651</v>
      </c>
      <c r="C141" t="s">
        <v>70</v>
      </c>
      <c r="D141" t="s">
        <v>652</v>
      </c>
      <c r="E141" s="13" t="s">
        <v>653</v>
      </c>
      <c r="G141" s="2">
        <v>11</v>
      </c>
      <c r="H141">
        <v>30</v>
      </c>
      <c r="I141">
        <v>4</v>
      </c>
      <c r="J141" t="s">
        <v>27</v>
      </c>
      <c r="K141">
        <v>30</v>
      </c>
      <c r="L141" t="s">
        <v>41</v>
      </c>
      <c r="M141" s="12">
        <v>4</v>
      </c>
      <c r="N141" s="3">
        <f>G141*M141</f>
        <v>44</v>
      </c>
      <c r="O141" s="1">
        <v>45330</v>
      </c>
      <c r="P141" s="1">
        <v>45564</v>
      </c>
      <c r="Q141" s="1">
        <v>45640</v>
      </c>
      <c r="R141">
        <v>749</v>
      </c>
      <c r="S141">
        <v>515</v>
      </c>
      <c r="T141">
        <v>439</v>
      </c>
      <c r="U141" t="str">
        <f t="shared" si="4"/>
        <v>Expiring Soon</v>
      </c>
      <c r="V141" t="s">
        <v>654</v>
      </c>
      <c r="W141">
        <v>84</v>
      </c>
      <c r="X141" s="3">
        <f t="shared" si="5"/>
        <v>3696</v>
      </c>
      <c r="Y141">
        <v>4</v>
      </c>
      <c r="Z141" t="s">
        <v>49</v>
      </c>
      <c r="AA141" s="3">
        <f>X141-Grocery_Inventory_and_Sales_Dat!N141</f>
        <v>3652</v>
      </c>
    </row>
    <row r="142" spans="1:27" x14ac:dyDescent="0.3">
      <c r="A142" t="s">
        <v>655</v>
      </c>
      <c r="B142" t="s">
        <v>478</v>
      </c>
      <c r="C142" t="s">
        <v>24</v>
      </c>
      <c r="D142" t="s">
        <v>656</v>
      </c>
      <c r="E142" s="13" t="s">
        <v>657</v>
      </c>
      <c r="G142" s="2">
        <v>99</v>
      </c>
      <c r="H142">
        <v>44</v>
      </c>
      <c r="I142">
        <v>52</v>
      </c>
      <c r="J142" t="s">
        <v>55</v>
      </c>
      <c r="K142">
        <v>0</v>
      </c>
      <c r="L142" t="s">
        <v>41</v>
      </c>
      <c r="M142" s="12">
        <v>2</v>
      </c>
      <c r="N142" s="3">
        <f>G142*M142</f>
        <v>198</v>
      </c>
      <c r="O142" s="1">
        <v>45590</v>
      </c>
      <c r="P142" s="1">
        <v>45433</v>
      </c>
      <c r="Q142" s="1">
        <v>45463</v>
      </c>
      <c r="R142">
        <v>489</v>
      </c>
      <c r="S142">
        <v>646</v>
      </c>
      <c r="T142">
        <v>616</v>
      </c>
      <c r="U142" t="str">
        <f t="shared" si="4"/>
        <v>Safe</v>
      </c>
      <c r="V142" t="s">
        <v>658</v>
      </c>
      <c r="W142">
        <v>36</v>
      </c>
      <c r="X142" s="3">
        <f t="shared" si="5"/>
        <v>7128</v>
      </c>
      <c r="Y142">
        <v>2</v>
      </c>
      <c r="Z142" t="s">
        <v>30</v>
      </c>
      <c r="AA142" s="3">
        <f>X142-Grocery_Inventory_and_Sales_Dat!N142</f>
        <v>6930</v>
      </c>
    </row>
    <row r="143" spans="1:27" x14ac:dyDescent="0.3">
      <c r="A143" t="s">
        <v>659</v>
      </c>
      <c r="B143" t="s">
        <v>45</v>
      </c>
      <c r="C143" t="s">
        <v>24</v>
      </c>
      <c r="D143" t="s">
        <v>660</v>
      </c>
      <c r="E143" s="13" t="s">
        <v>661</v>
      </c>
      <c r="G143" s="2">
        <v>26</v>
      </c>
      <c r="H143">
        <v>82</v>
      </c>
      <c r="I143">
        <v>19</v>
      </c>
      <c r="J143" t="s">
        <v>27</v>
      </c>
      <c r="K143">
        <v>82</v>
      </c>
      <c r="L143" t="s">
        <v>28</v>
      </c>
      <c r="M143" s="12">
        <v>1.5</v>
      </c>
      <c r="N143" s="3">
        <f>G143*M143</f>
        <v>39</v>
      </c>
      <c r="O143" s="1">
        <v>45558</v>
      </c>
      <c r="P143" s="1">
        <v>45572</v>
      </c>
      <c r="Q143" s="1">
        <v>45381</v>
      </c>
      <c r="R143">
        <v>521</v>
      </c>
      <c r="S143">
        <v>507</v>
      </c>
      <c r="T143">
        <v>698</v>
      </c>
      <c r="U143" t="str">
        <f t="shared" si="4"/>
        <v>Safe</v>
      </c>
      <c r="V143" t="s">
        <v>662</v>
      </c>
      <c r="W143">
        <v>76</v>
      </c>
      <c r="X143" s="3">
        <f t="shared" si="5"/>
        <v>2964</v>
      </c>
      <c r="Y143">
        <v>88</v>
      </c>
      <c r="Z143" t="s">
        <v>49</v>
      </c>
      <c r="AA143" s="3">
        <f>X143-Grocery_Inventory_and_Sales_Dat!N143</f>
        <v>2925</v>
      </c>
    </row>
    <row r="144" spans="1:27" x14ac:dyDescent="0.3">
      <c r="A144" t="s">
        <v>663</v>
      </c>
      <c r="B144" t="s">
        <v>374</v>
      </c>
      <c r="C144" t="s">
        <v>52</v>
      </c>
      <c r="D144" t="s">
        <v>664</v>
      </c>
      <c r="E144" s="13" t="s">
        <v>213</v>
      </c>
      <c r="G144" s="2">
        <v>70</v>
      </c>
      <c r="H144">
        <v>31</v>
      </c>
      <c r="I144">
        <v>55</v>
      </c>
      <c r="J144" t="s">
        <v>55</v>
      </c>
      <c r="K144">
        <v>0</v>
      </c>
      <c r="L144" t="s">
        <v>41</v>
      </c>
      <c r="M144" s="12">
        <v>4.5</v>
      </c>
      <c r="N144" s="3">
        <f>G144*M144</f>
        <v>315</v>
      </c>
      <c r="O144" s="1">
        <v>45504</v>
      </c>
      <c r="P144" s="1">
        <v>45500</v>
      </c>
      <c r="Q144" s="1">
        <v>45480</v>
      </c>
      <c r="R144">
        <v>575</v>
      </c>
      <c r="S144">
        <v>579</v>
      </c>
      <c r="T144">
        <v>599</v>
      </c>
      <c r="U144" t="str">
        <f t="shared" si="4"/>
        <v>Safe</v>
      </c>
      <c r="V144" t="s">
        <v>665</v>
      </c>
      <c r="W144">
        <v>23</v>
      </c>
      <c r="X144" s="3">
        <f t="shared" si="5"/>
        <v>7245</v>
      </c>
      <c r="Y144">
        <v>80</v>
      </c>
      <c r="Z144" t="s">
        <v>30</v>
      </c>
      <c r="AA144" s="3">
        <f>X144-Grocery_Inventory_and_Sales_Dat!N144</f>
        <v>6930</v>
      </c>
    </row>
    <row r="145" spans="1:27" x14ac:dyDescent="0.3">
      <c r="A145" t="s">
        <v>666</v>
      </c>
      <c r="B145" t="s">
        <v>374</v>
      </c>
      <c r="C145" t="s">
        <v>52</v>
      </c>
      <c r="D145" t="s">
        <v>667</v>
      </c>
      <c r="E145" s="13" t="s">
        <v>668</v>
      </c>
      <c r="G145" s="2">
        <v>50</v>
      </c>
      <c r="H145">
        <v>3</v>
      </c>
      <c r="I145">
        <v>88</v>
      </c>
      <c r="J145" t="s">
        <v>55</v>
      </c>
      <c r="K145">
        <v>0</v>
      </c>
      <c r="L145" t="s">
        <v>41</v>
      </c>
      <c r="M145" s="12">
        <v>4.5</v>
      </c>
      <c r="N145" s="3">
        <f>G145*M145</f>
        <v>225</v>
      </c>
      <c r="O145" s="1">
        <v>45494</v>
      </c>
      <c r="P145" s="1">
        <v>45473</v>
      </c>
      <c r="Q145" s="1">
        <v>45557</v>
      </c>
      <c r="R145">
        <v>585</v>
      </c>
      <c r="S145">
        <v>606</v>
      </c>
      <c r="T145">
        <v>522</v>
      </c>
      <c r="U145" t="str">
        <f t="shared" si="4"/>
        <v>Expiring Soon</v>
      </c>
      <c r="V145" t="s">
        <v>669</v>
      </c>
      <c r="W145">
        <v>69</v>
      </c>
      <c r="X145" s="3">
        <f t="shared" si="5"/>
        <v>15525</v>
      </c>
      <c r="Y145">
        <v>73</v>
      </c>
      <c r="Z145" t="s">
        <v>30</v>
      </c>
      <c r="AA145" s="3">
        <f>X145-Grocery_Inventory_and_Sales_Dat!N145</f>
        <v>15300</v>
      </c>
    </row>
    <row r="146" spans="1:27" x14ac:dyDescent="0.3">
      <c r="A146" t="s">
        <v>670</v>
      </c>
      <c r="B146" t="s">
        <v>187</v>
      </c>
      <c r="C146" t="s">
        <v>52</v>
      </c>
      <c r="D146" t="s">
        <v>671</v>
      </c>
      <c r="E146" s="13" t="s">
        <v>624</v>
      </c>
      <c r="G146" s="2">
        <v>55</v>
      </c>
      <c r="H146">
        <v>91</v>
      </c>
      <c r="I146">
        <v>35</v>
      </c>
      <c r="J146" t="s">
        <v>27</v>
      </c>
      <c r="K146">
        <v>91</v>
      </c>
      <c r="L146" t="s">
        <v>28</v>
      </c>
      <c r="M146" s="12">
        <v>3.5</v>
      </c>
      <c r="N146" s="3">
        <f>G146*M146</f>
        <v>192.5</v>
      </c>
      <c r="O146" s="1">
        <v>45509</v>
      </c>
      <c r="P146" s="1">
        <v>45434</v>
      </c>
      <c r="Q146" s="1">
        <v>45705</v>
      </c>
      <c r="R146">
        <v>570</v>
      </c>
      <c r="S146">
        <v>645</v>
      </c>
      <c r="T146">
        <v>374</v>
      </c>
      <c r="U146" t="str">
        <f t="shared" si="4"/>
        <v>Expiring Soon</v>
      </c>
      <c r="V146" t="s">
        <v>672</v>
      </c>
      <c r="W146">
        <v>81</v>
      </c>
      <c r="X146" s="3">
        <f t="shared" si="5"/>
        <v>15592.5</v>
      </c>
      <c r="Y146">
        <v>19</v>
      </c>
      <c r="Z146" t="s">
        <v>49</v>
      </c>
      <c r="AA146" s="3">
        <f>X146-Grocery_Inventory_and_Sales_Dat!N146</f>
        <v>15400</v>
      </c>
    </row>
    <row r="147" spans="1:27" x14ac:dyDescent="0.3">
      <c r="A147" t="s">
        <v>673</v>
      </c>
      <c r="B147" t="s">
        <v>538</v>
      </c>
      <c r="C147" t="s">
        <v>138</v>
      </c>
      <c r="D147" t="s">
        <v>674</v>
      </c>
      <c r="E147" s="13" t="s">
        <v>675</v>
      </c>
      <c r="G147" s="2">
        <v>31</v>
      </c>
      <c r="H147">
        <v>87</v>
      </c>
      <c r="I147">
        <v>19</v>
      </c>
      <c r="J147" t="s">
        <v>27</v>
      </c>
      <c r="K147">
        <v>87</v>
      </c>
      <c r="L147" t="s">
        <v>28</v>
      </c>
      <c r="M147" s="12">
        <v>8</v>
      </c>
      <c r="N147" s="3">
        <f>G147*M147</f>
        <v>248</v>
      </c>
      <c r="O147" s="1">
        <v>45435</v>
      </c>
      <c r="P147" s="1">
        <v>45486</v>
      </c>
      <c r="Q147" s="1">
        <v>45413</v>
      </c>
      <c r="R147">
        <v>644</v>
      </c>
      <c r="S147">
        <v>593</v>
      </c>
      <c r="T147">
        <v>666</v>
      </c>
      <c r="U147" t="str">
        <f t="shared" si="4"/>
        <v>Safe</v>
      </c>
      <c r="V147" t="s">
        <v>676</v>
      </c>
      <c r="W147">
        <v>41</v>
      </c>
      <c r="X147" s="3">
        <f t="shared" si="5"/>
        <v>10168</v>
      </c>
      <c r="Y147">
        <v>10</v>
      </c>
      <c r="Z147" t="s">
        <v>49</v>
      </c>
      <c r="AA147" s="3">
        <f>X147-Grocery_Inventory_and_Sales_Dat!N147</f>
        <v>9920</v>
      </c>
    </row>
    <row r="148" spans="1:27" x14ac:dyDescent="0.3">
      <c r="A148" t="s">
        <v>677</v>
      </c>
      <c r="B148" t="s">
        <v>678</v>
      </c>
      <c r="C148" t="s">
        <v>33</v>
      </c>
      <c r="D148" t="s">
        <v>679</v>
      </c>
      <c r="E148" s="13" t="s">
        <v>680</v>
      </c>
      <c r="G148" s="2">
        <v>63</v>
      </c>
      <c r="H148">
        <v>92</v>
      </c>
      <c r="I148">
        <v>26</v>
      </c>
      <c r="J148" t="s">
        <v>27</v>
      </c>
      <c r="K148">
        <v>92</v>
      </c>
      <c r="L148" t="s">
        <v>28</v>
      </c>
      <c r="M148" s="12">
        <v>8</v>
      </c>
      <c r="N148" s="3">
        <f>G148*M148</f>
        <v>504</v>
      </c>
      <c r="O148" s="1">
        <v>45522</v>
      </c>
      <c r="P148" s="1">
        <v>45993</v>
      </c>
      <c r="Q148" s="1">
        <v>45411</v>
      </c>
      <c r="R148">
        <v>557</v>
      </c>
      <c r="S148">
        <v>86</v>
      </c>
      <c r="T148">
        <v>668</v>
      </c>
      <c r="U148" t="str">
        <f t="shared" si="4"/>
        <v>Safe</v>
      </c>
      <c r="V148" t="s">
        <v>681</v>
      </c>
      <c r="W148">
        <v>93</v>
      </c>
      <c r="X148" s="3">
        <f t="shared" si="5"/>
        <v>46872</v>
      </c>
      <c r="Y148">
        <v>99</v>
      </c>
      <c r="Z148" t="s">
        <v>49</v>
      </c>
      <c r="AA148" s="3">
        <f>X148-Grocery_Inventory_and_Sales_Dat!N148</f>
        <v>46368</v>
      </c>
    </row>
    <row r="149" spans="1:27" x14ac:dyDescent="0.3">
      <c r="A149" t="s">
        <v>682</v>
      </c>
      <c r="B149" t="s">
        <v>308</v>
      </c>
      <c r="C149" t="s">
        <v>138</v>
      </c>
      <c r="D149" t="s">
        <v>683</v>
      </c>
      <c r="E149" s="13" t="s">
        <v>602</v>
      </c>
      <c r="G149" s="2">
        <v>73</v>
      </c>
      <c r="H149">
        <v>31</v>
      </c>
      <c r="I149">
        <v>49</v>
      </c>
      <c r="J149" t="s">
        <v>55</v>
      </c>
      <c r="K149">
        <v>0</v>
      </c>
      <c r="L149" t="s">
        <v>41</v>
      </c>
      <c r="M149" s="12">
        <v>6</v>
      </c>
      <c r="N149" s="3">
        <f>G149*M149</f>
        <v>438</v>
      </c>
      <c r="O149" s="1">
        <v>45683</v>
      </c>
      <c r="P149" s="1">
        <v>45325</v>
      </c>
      <c r="Q149" s="1">
        <v>45357</v>
      </c>
      <c r="R149">
        <v>396</v>
      </c>
      <c r="S149">
        <v>754</v>
      </c>
      <c r="T149">
        <v>722</v>
      </c>
      <c r="U149" t="str">
        <f t="shared" si="4"/>
        <v>Safe</v>
      </c>
      <c r="V149" t="s">
        <v>684</v>
      </c>
      <c r="W149">
        <v>22</v>
      </c>
      <c r="X149" s="3">
        <f t="shared" si="5"/>
        <v>9636</v>
      </c>
      <c r="Y149">
        <v>47</v>
      </c>
      <c r="Z149" t="s">
        <v>30</v>
      </c>
      <c r="AA149" s="3">
        <f>X149-Grocery_Inventory_and_Sales_Dat!N149</f>
        <v>9198</v>
      </c>
    </row>
    <row r="150" spans="1:27" x14ac:dyDescent="0.3">
      <c r="A150" t="s">
        <v>685</v>
      </c>
      <c r="B150" t="s">
        <v>271</v>
      </c>
      <c r="C150" t="s">
        <v>95</v>
      </c>
      <c r="D150" t="s">
        <v>686</v>
      </c>
      <c r="E150" s="13" t="s">
        <v>528</v>
      </c>
      <c r="G150" s="2">
        <v>12</v>
      </c>
      <c r="H150">
        <v>86</v>
      </c>
      <c r="I150">
        <v>98</v>
      </c>
      <c r="J150" t="s">
        <v>27</v>
      </c>
      <c r="K150">
        <v>86</v>
      </c>
      <c r="L150" t="s">
        <v>28</v>
      </c>
      <c r="M150" s="12">
        <v>4</v>
      </c>
      <c r="N150" s="3">
        <f>G150*M150</f>
        <v>48</v>
      </c>
      <c r="O150" s="1">
        <v>45575</v>
      </c>
      <c r="P150" s="1">
        <v>45472</v>
      </c>
      <c r="Q150" s="1">
        <v>45564</v>
      </c>
      <c r="R150">
        <v>504</v>
      </c>
      <c r="S150">
        <v>607</v>
      </c>
      <c r="T150">
        <v>515</v>
      </c>
      <c r="U150" t="str">
        <f t="shared" si="4"/>
        <v>Expiring Soon</v>
      </c>
      <c r="V150" t="s">
        <v>687</v>
      </c>
      <c r="W150">
        <v>75</v>
      </c>
      <c r="X150" s="3">
        <f t="shared" si="5"/>
        <v>3600</v>
      </c>
      <c r="Y150">
        <v>86</v>
      </c>
      <c r="Z150" t="s">
        <v>30</v>
      </c>
      <c r="AA150" s="3">
        <f>X150-Grocery_Inventory_and_Sales_Dat!N150</f>
        <v>3552</v>
      </c>
    </row>
    <row r="151" spans="1:27" x14ac:dyDescent="0.3">
      <c r="A151" t="s">
        <v>688</v>
      </c>
      <c r="B151" t="s">
        <v>225</v>
      </c>
      <c r="C151" t="s">
        <v>24</v>
      </c>
      <c r="D151" t="s">
        <v>689</v>
      </c>
      <c r="E151" s="13" t="s">
        <v>690</v>
      </c>
      <c r="G151" s="2">
        <v>53</v>
      </c>
      <c r="H151">
        <v>86</v>
      </c>
      <c r="I151">
        <v>54</v>
      </c>
      <c r="J151" t="s">
        <v>27</v>
      </c>
      <c r="K151">
        <v>86</v>
      </c>
      <c r="L151" t="s">
        <v>28</v>
      </c>
      <c r="M151" s="12">
        <v>3</v>
      </c>
      <c r="N151" s="3">
        <f>G151*M151</f>
        <v>159</v>
      </c>
      <c r="O151" s="1">
        <v>45518</v>
      </c>
      <c r="P151" s="1">
        <v>45749</v>
      </c>
      <c r="Q151" s="1">
        <v>45602</v>
      </c>
      <c r="R151">
        <v>561</v>
      </c>
      <c r="S151">
        <v>330</v>
      </c>
      <c r="T151">
        <v>477</v>
      </c>
      <c r="U151" t="str">
        <f t="shared" si="4"/>
        <v>Expiring Soon</v>
      </c>
      <c r="V151" t="s">
        <v>691</v>
      </c>
      <c r="W151">
        <v>44</v>
      </c>
      <c r="X151" s="3">
        <f t="shared" si="5"/>
        <v>6996</v>
      </c>
      <c r="Y151">
        <v>3</v>
      </c>
      <c r="Z151" t="s">
        <v>30</v>
      </c>
      <c r="AA151" s="3">
        <f>X151-Grocery_Inventory_and_Sales_Dat!N151</f>
        <v>6837</v>
      </c>
    </row>
    <row r="152" spans="1:27" x14ac:dyDescent="0.3">
      <c r="A152" t="s">
        <v>692</v>
      </c>
      <c r="B152" t="s">
        <v>693</v>
      </c>
      <c r="C152" t="s">
        <v>24</v>
      </c>
      <c r="D152" t="s">
        <v>694</v>
      </c>
      <c r="E152" s="13" t="s">
        <v>695</v>
      </c>
      <c r="G152" s="2">
        <v>68</v>
      </c>
      <c r="H152">
        <v>7</v>
      </c>
      <c r="I152">
        <v>37</v>
      </c>
      <c r="J152" t="s">
        <v>55</v>
      </c>
      <c r="K152">
        <v>0</v>
      </c>
      <c r="L152" t="s">
        <v>41</v>
      </c>
      <c r="M152" s="12">
        <v>2.5</v>
      </c>
      <c r="N152" s="3">
        <f>G152*M152</f>
        <v>170</v>
      </c>
      <c r="O152" s="1">
        <v>45512</v>
      </c>
      <c r="P152" s="1">
        <v>45600</v>
      </c>
      <c r="Q152" s="1">
        <v>45654</v>
      </c>
      <c r="R152">
        <v>567</v>
      </c>
      <c r="S152">
        <v>479</v>
      </c>
      <c r="T152">
        <v>425</v>
      </c>
      <c r="U152" t="str">
        <f t="shared" si="4"/>
        <v>Expiring Soon</v>
      </c>
      <c r="V152" t="s">
        <v>696</v>
      </c>
      <c r="W152">
        <v>69</v>
      </c>
      <c r="X152" s="3">
        <f t="shared" si="5"/>
        <v>11730</v>
      </c>
      <c r="Y152">
        <v>1</v>
      </c>
      <c r="Z152" t="s">
        <v>30</v>
      </c>
      <c r="AA152" s="3">
        <f>X152-Grocery_Inventory_and_Sales_Dat!N152</f>
        <v>11560</v>
      </c>
    </row>
    <row r="153" spans="1:27" x14ac:dyDescent="0.3">
      <c r="A153" t="s">
        <v>697</v>
      </c>
      <c r="B153" t="s">
        <v>119</v>
      </c>
      <c r="C153" t="s">
        <v>70</v>
      </c>
      <c r="D153" t="s">
        <v>698</v>
      </c>
      <c r="E153" s="13" t="s">
        <v>699</v>
      </c>
      <c r="G153" s="2">
        <v>80</v>
      </c>
      <c r="H153">
        <v>9</v>
      </c>
      <c r="I153">
        <v>29</v>
      </c>
      <c r="J153" t="s">
        <v>55</v>
      </c>
      <c r="K153">
        <v>0</v>
      </c>
      <c r="L153" t="s">
        <v>41</v>
      </c>
      <c r="M153" s="12">
        <v>8.1</v>
      </c>
      <c r="N153" s="3">
        <f>G153*M153</f>
        <v>648</v>
      </c>
      <c r="O153" s="1">
        <v>45530</v>
      </c>
      <c r="P153" s="1">
        <v>45616</v>
      </c>
      <c r="Q153" s="1">
        <v>45574</v>
      </c>
      <c r="R153">
        <v>549</v>
      </c>
      <c r="S153">
        <v>463</v>
      </c>
      <c r="T153">
        <v>505</v>
      </c>
      <c r="U153" t="str">
        <f t="shared" si="4"/>
        <v>Expiring Soon</v>
      </c>
      <c r="V153" t="s">
        <v>700</v>
      </c>
      <c r="W153">
        <v>54</v>
      </c>
      <c r="X153" s="3">
        <f t="shared" si="5"/>
        <v>34992</v>
      </c>
      <c r="Y153">
        <v>62</v>
      </c>
      <c r="Z153" t="s">
        <v>49</v>
      </c>
      <c r="AA153" s="3">
        <f>X153-Grocery_Inventory_and_Sales_Dat!N153</f>
        <v>34344</v>
      </c>
    </row>
    <row r="154" spans="1:27" x14ac:dyDescent="0.3">
      <c r="A154" t="s">
        <v>701</v>
      </c>
      <c r="B154" t="s">
        <v>630</v>
      </c>
      <c r="C154" t="s">
        <v>138</v>
      </c>
      <c r="D154" t="s">
        <v>702</v>
      </c>
      <c r="E154" s="13" t="s">
        <v>703</v>
      </c>
      <c r="G154" s="2">
        <v>92</v>
      </c>
      <c r="H154">
        <v>68</v>
      </c>
      <c r="I154">
        <v>79</v>
      </c>
      <c r="J154" t="s">
        <v>55</v>
      </c>
      <c r="K154">
        <v>0</v>
      </c>
      <c r="L154" t="s">
        <v>41</v>
      </c>
      <c r="M154" s="12">
        <v>18</v>
      </c>
      <c r="N154" s="3">
        <f>G154*M154</f>
        <v>1656</v>
      </c>
      <c r="O154" s="1">
        <v>45650</v>
      </c>
      <c r="P154" s="1">
        <v>45522</v>
      </c>
      <c r="Q154" s="1">
        <v>45386</v>
      </c>
      <c r="R154">
        <v>429</v>
      </c>
      <c r="S154">
        <v>557</v>
      </c>
      <c r="T154">
        <v>693</v>
      </c>
      <c r="U154" t="str">
        <f t="shared" si="4"/>
        <v>Safe</v>
      </c>
      <c r="V154" t="s">
        <v>704</v>
      </c>
      <c r="W154">
        <v>40</v>
      </c>
      <c r="X154" s="3">
        <f t="shared" si="5"/>
        <v>66240</v>
      </c>
      <c r="Y154">
        <v>57</v>
      </c>
      <c r="Z154" t="s">
        <v>30</v>
      </c>
      <c r="AA154" s="3">
        <f>X154-Grocery_Inventory_and_Sales_Dat!N154</f>
        <v>64584</v>
      </c>
    </row>
    <row r="155" spans="1:27" x14ac:dyDescent="0.3">
      <c r="A155" t="s">
        <v>705</v>
      </c>
      <c r="B155" t="s">
        <v>182</v>
      </c>
      <c r="C155" t="s">
        <v>52</v>
      </c>
      <c r="D155" t="s">
        <v>706</v>
      </c>
      <c r="E155" s="13" t="s">
        <v>362</v>
      </c>
      <c r="G155" s="2">
        <v>31</v>
      </c>
      <c r="H155">
        <v>98</v>
      </c>
      <c r="I155">
        <v>72</v>
      </c>
      <c r="J155" t="s">
        <v>27</v>
      </c>
      <c r="K155">
        <v>98</v>
      </c>
      <c r="L155" t="s">
        <v>28</v>
      </c>
      <c r="M155" s="12">
        <v>1.8</v>
      </c>
      <c r="N155" s="3">
        <f>G155*M155</f>
        <v>55.800000000000004</v>
      </c>
      <c r="O155" s="1">
        <v>45530</v>
      </c>
      <c r="P155" s="1">
        <v>45483</v>
      </c>
      <c r="Q155" s="1">
        <v>45630</v>
      </c>
      <c r="R155">
        <v>549</v>
      </c>
      <c r="S155">
        <v>596</v>
      </c>
      <c r="T155">
        <v>449</v>
      </c>
      <c r="U155" t="str">
        <f t="shared" si="4"/>
        <v>Expiring Soon</v>
      </c>
      <c r="V155" t="s">
        <v>707</v>
      </c>
      <c r="W155">
        <v>91</v>
      </c>
      <c r="X155" s="3">
        <f t="shared" si="5"/>
        <v>5077.8</v>
      </c>
      <c r="Y155">
        <v>29</v>
      </c>
      <c r="Z155" t="s">
        <v>49</v>
      </c>
      <c r="AA155" s="3">
        <f>X155-Grocery_Inventory_and_Sales_Dat!N155</f>
        <v>5022</v>
      </c>
    </row>
    <row r="156" spans="1:27" x14ac:dyDescent="0.3">
      <c r="A156" t="s">
        <v>708</v>
      </c>
      <c r="B156" t="s">
        <v>360</v>
      </c>
      <c r="C156" t="s">
        <v>52</v>
      </c>
      <c r="D156" t="s">
        <v>709</v>
      </c>
      <c r="E156" s="13" t="s">
        <v>54</v>
      </c>
      <c r="G156" s="2">
        <v>31</v>
      </c>
      <c r="H156">
        <v>44</v>
      </c>
      <c r="I156">
        <v>9</v>
      </c>
      <c r="J156" t="s">
        <v>27</v>
      </c>
      <c r="K156">
        <v>44</v>
      </c>
      <c r="L156" t="s">
        <v>41</v>
      </c>
      <c r="M156" s="12">
        <v>3</v>
      </c>
      <c r="N156" s="3">
        <f>G156*M156</f>
        <v>93</v>
      </c>
      <c r="O156" s="1">
        <v>45442</v>
      </c>
      <c r="P156" s="1">
        <v>45428</v>
      </c>
      <c r="Q156" s="1">
        <v>45509</v>
      </c>
      <c r="R156">
        <v>637</v>
      </c>
      <c r="S156">
        <v>651</v>
      </c>
      <c r="T156">
        <v>570</v>
      </c>
      <c r="U156" t="str">
        <f t="shared" si="4"/>
        <v>Safe</v>
      </c>
      <c r="V156" t="s">
        <v>710</v>
      </c>
      <c r="W156">
        <v>46</v>
      </c>
      <c r="X156" s="3">
        <f t="shared" si="5"/>
        <v>4278</v>
      </c>
      <c r="Y156">
        <v>9</v>
      </c>
      <c r="Z156" t="s">
        <v>30</v>
      </c>
      <c r="AA156" s="3">
        <f>X156-Grocery_Inventory_and_Sales_Dat!N156</f>
        <v>4185</v>
      </c>
    </row>
    <row r="157" spans="1:27" x14ac:dyDescent="0.3">
      <c r="A157" t="s">
        <v>711</v>
      </c>
      <c r="B157" t="s">
        <v>469</v>
      </c>
      <c r="C157" t="s">
        <v>52</v>
      </c>
      <c r="D157" t="s">
        <v>712</v>
      </c>
      <c r="E157" s="13" t="s">
        <v>713</v>
      </c>
      <c r="G157" s="2">
        <v>76</v>
      </c>
      <c r="H157">
        <v>97</v>
      </c>
      <c r="I157">
        <v>20</v>
      </c>
      <c r="J157" t="s">
        <v>27</v>
      </c>
      <c r="K157">
        <v>97</v>
      </c>
      <c r="L157" t="s">
        <v>28</v>
      </c>
      <c r="M157" s="12">
        <v>7</v>
      </c>
      <c r="N157" s="3">
        <f>G157*M157</f>
        <v>532</v>
      </c>
      <c r="O157" s="1">
        <v>45378</v>
      </c>
      <c r="P157" s="1">
        <v>45528</v>
      </c>
      <c r="Q157" s="1">
        <v>45423</v>
      </c>
      <c r="R157">
        <v>701</v>
      </c>
      <c r="S157">
        <v>551</v>
      </c>
      <c r="T157">
        <v>656</v>
      </c>
      <c r="U157" t="str">
        <f t="shared" si="4"/>
        <v>Safe</v>
      </c>
      <c r="V157" t="s">
        <v>714</v>
      </c>
      <c r="W157">
        <v>52</v>
      </c>
      <c r="X157" s="3">
        <f t="shared" si="5"/>
        <v>27664</v>
      </c>
      <c r="Y157">
        <v>82</v>
      </c>
      <c r="Z157" t="s">
        <v>30</v>
      </c>
      <c r="AA157" s="3">
        <f>X157-Grocery_Inventory_and_Sales_Dat!N157</f>
        <v>27132</v>
      </c>
    </row>
    <row r="158" spans="1:27" x14ac:dyDescent="0.3">
      <c r="A158" t="s">
        <v>715</v>
      </c>
      <c r="B158" t="s">
        <v>716</v>
      </c>
      <c r="C158" t="s">
        <v>64</v>
      </c>
      <c r="D158" t="s">
        <v>717</v>
      </c>
      <c r="E158" s="13" t="s">
        <v>718</v>
      </c>
      <c r="G158" s="2">
        <v>57</v>
      </c>
      <c r="H158">
        <v>99</v>
      </c>
      <c r="I158">
        <v>23</v>
      </c>
      <c r="J158" t="s">
        <v>27</v>
      </c>
      <c r="K158">
        <v>99</v>
      </c>
      <c r="L158" t="s">
        <v>28</v>
      </c>
      <c r="M158" s="12">
        <v>2</v>
      </c>
      <c r="N158" s="3">
        <f>G158*M158</f>
        <v>114</v>
      </c>
      <c r="O158" s="1">
        <v>45498</v>
      </c>
      <c r="P158" s="1">
        <v>45437</v>
      </c>
      <c r="Q158" s="1">
        <v>45401</v>
      </c>
      <c r="R158">
        <v>581</v>
      </c>
      <c r="S158">
        <v>642</v>
      </c>
      <c r="T158">
        <v>678</v>
      </c>
      <c r="U158" t="str">
        <f t="shared" si="4"/>
        <v>Safe</v>
      </c>
      <c r="V158" t="s">
        <v>719</v>
      </c>
      <c r="W158">
        <v>89</v>
      </c>
      <c r="X158" s="3">
        <f t="shared" si="5"/>
        <v>10146</v>
      </c>
      <c r="Y158">
        <v>21</v>
      </c>
      <c r="Z158" t="s">
        <v>43</v>
      </c>
      <c r="AA158" s="3">
        <f>X158-Grocery_Inventory_and_Sales_Dat!N158</f>
        <v>10032</v>
      </c>
    </row>
    <row r="159" spans="1:27" x14ac:dyDescent="0.3">
      <c r="A159" t="s">
        <v>720</v>
      </c>
      <c r="B159" t="s">
        <v>502</v>
      </c>
      <c r="C159" t="s">
        <v>70</v>
      </c>
      <c r="D159" t="s">
        <v>721</v>
      </c>
      <c r="E159" s="13" t="s">
        <v>722</v>
      </c>
      <c r="G159" s="2">
        <v>92</v>
      </c>
      <c r="H159">
        <v>99</v>
      </c>
      <c r="I159">
        <v>93</v>
      </c>
      <c r="J159" t="s">
        <v>27</v>
      </c>
      <c r="K159">
        <v>99</v>
      </c>
      <c r="L159" t="s">
        <v>28</v>
      </c>
      <c r="M159" s="12">
        <v>4</v>
      </c>
      <c r="N159" s="3">
        <f>G159*M159</f>
        <v>368</v>
      </c>
      <c r="O159" s="1">
        <v>45707</v>
      </c>
      <c r="P159" s="1">
        <v>45486</v>
      </c>
      <c r="Q159" s="1">
        <v>45377</v>
      </c>
      <c r="R159">
        <v>372</v>
      </c>
      <c r="S159">
        <v>593</v>
      </c>
      <c r="T159">
        <v>702</v>
      </c>
      <c r="U159" t="str">
        <f t="shared" si="4"/>
        <v>Safe</v>
      </c>
      <c r="V159" t="s">
        <v>723</v>
      </c>
      <c r="W159">
        <v>43</v>
      </c>
      <c r="X159" s="3">
        <f t="shared" si="5"/>
        <v>15824</v>
      </c>
      <c r="Y159">
        <v>90</v>
      </c>
      <c r="Z159" t="s">
        <v>30</v>
      </c>
      <c r="AA159" s="3">
        <f>X159-Grocery_Inventory_and_Sales_Dat!N159</f>
        <v>15456</v>
      </c>
    </row>
    <row r="160" spans="1:27" x14ac:dyDescent="0.3">
      <c r="A160" t="s">
        <v>724</v>
      </c>
      <c r="B160" t="s">
        <v>725</v>
      </c>
      <c r="C160" t="s">
        <v>70</v>
      </c>
      <c r="D160" t="s">
        <v>726</v>
      </c>
      <c r="E160" s="13" t="s">
        <v>727</v>
      </c>
      <c r="G160" s="2">
        <v>88</v>
      </c>
      <c r="H160">
        <v>74</v>
      </c>
      <c r="I160">
        <v>97</v>
      </c>
      <c r="J160" t="s">
        <v>55</v>
      </c>
      <c r="K160">
        <v>0</v>
      </c>
      <c r="L160" t="s">
        <v>41</v>
      </c>
      <c r="M160" s="12">
        <v>9</v>
      </c>
      <c r="N160" s="3">
        <f>G160*M160</f>
        <v>792</v>
      </c>
      <c r="O160" s="1">
        <v>45440</v>
      </c>
      <c r="P160" s="1">
        <v>45443</v>
      </c>
      <c r="Q160" s="1">
        <v>45528</v>
      </c>
      <c r="R160">
        <v>639</v>
      </c>
      <c r="S160">
        <v>636</v>
      </c>
      <c r="T160">
        <v>551</v>
      </c>
      <c r="U160" t="str">
        <f t="shared" si="4"/>
        <v>Safe</v>
      </c>
      <c r="V160" t="s">
        <v>728</v>
      </c>
      <c r="W160">
        <v>79</v>
      </c>
      <c r="X160" s="3">
        <f t="shared" si="5"/>
        <v>62568</v>
      </c>
      <c r="Y160">
        <v>5</v>
      </c>
      <c r="Z160" t="s">
        <v>49</v>
      </c>
      <c r="AA160" s="3">
        <f>X160-Grocery_Inventory_and_Sales_Dat!N160</f>
        <v>61776</v>
      </c>
    </row>
    <row r="161" spans="1:27" x14ac:dyDescent="0.3">
      <c r="A161" t="s">
        <v>729</v>
      </c>
      <c r="B161" t="s">
        <v>534</v>
      </c>
      <c r="C161" t="s">
        <v>52</v>
      </c>
      <c r="D161" t="s">
        <v>730</v>
      </c>
      <c r="E161" s="13" t="s">
        <v>731</v>
      </c>
      <c r="G161" s="2">
        <v>99</v>
      </c>
      <c r="H161">
        <v>8</v>
      </c>
      <c r="I161">
        <v>27</v>
      </c>
      <c r="J161" t="s">
        <v>55</v>
      </c>
      <c r="K161">
        <v>0</v>
      </c>
      <c r="L161" t="s">
        <v>41</v>
      </c>
      <c r="M161" s="12">
        <v>5</v>
      </c>
      <c r="N161" s="3">
        <f>G161*M161</f>
        <v>495</v>
      </c>
      <c r="O161" s="1">
        <v>45489</v>
      </c>
      <c r="P161" s="1">
        <v>45486</v>
      </c>
      <c r="Q161" s="1">
        <v>45514</v>
      </c>
      <c r="R161">
        <v>590</v>
      </c>
      <c r="S161">
        <v>593</v>
      </c>
      <c r="T161">
        <v>565</v>
      </c>
      <c r="U161" t="str">
        <f t="shared" si="4"/>
        <v>Safe</v>
      </c>
      <c r="V161" t="s">
        <v>732</v>
      </c>
      <c r="W161">
        <v>41</v>
      </c>
      <c r="X161" s="3">
        <f t="shared" si="5"/>
        <v>20295</v>
      </c>
      <c r="Y161">
        <v>50</v>
      </c>
      <c r="Z161" t="s">
        <v>30</v>
      </c>
      <c r="AA161" s="3">
        <f>X161-Grocery_Inventory_and_Sales_Dat!N161</f>
        <v>19800</v>
      </c>
    </row>
    <row r="162" spans="1:27" x14ac:dyDescent="0.3">
      <c r="A162" t="s">
        <v>733</v>
      </c>
      <c r="B162" t="s">
        <v>734</v>
      </c>
      <c r="C162" t="s">
        <v>70</v>
      </c>
      <c r="D162" t="s">
        <v>735</v>
      </c>
      <c r="E162" s="13" t="s">
        <v>736</v>
      </c>
      <c r="G162" s="2">
        <v>44</v>
      </c>
      <c r="H162">
        <v>84</v>
      </c>
      <c r="I162">
        <v>63</v>
      </c>
      <c r="J162" t="s">
        <v>27</v>
      </c>
      <c r="K162">
        <v>84</v>
      </c>
      <c r="L162" t="s">
        <v>28</v>
      </c>
      <c r="M162" s="12">
        <v>2.5</v>
      </c>
      <c r="N162" s="3">
        <f>G162*M162</f>
        <v>110</v>
      </c>
      <c r="O162" s="1">
        <v>45502</v>
      </c>
      <c r="P162" s="1">
        <v>45600</v>
      </c>
      <c r="Q162" s="1">
        <v>45560</v>
      </c>
      <c r="R162">
        <v>577</v>
      </c>
      <c r="S162">
        <v>479</v>
      </c>
      <c r="T162">
        <v>519</v>
      </c>
      <c r="U162" t="str">
        <f t="shared" si="4"/>
        <v>Expiring Soon</v>
      </c>
      <c r="V162" t="s">
        <v>737</v>
      </c>
      <c r="W162">
        <v>51</v>
      </c>
      <c r="X162" s="3">
        <f t="shared" si="5"/>
        <v>5610</v>
      </c>
      <c r="Y162">
        <v>67</v>
      </c>
      <c r="Z162" t="s">
        <v>30</v>
      </c>
      <c r="AA162" s="3">
        <f>X162-Grocery_Inventory_and_Sales_Dat!N162</f>
        <v>5500</v>
      </c>
    </row>
    <row r="163" spans="1:27" x14ac:dyDescent="0.3">
      <c r="A163" t="s">
        <v>738</v>
      </c>
      <c r="B163" t="s">
        <v>197</v>
      </c>
      <c r="C163" t="s">
        <v>33</v>
      </c>
      <c r="D163" t="s">
        <v>739</v>
      </c>
      <c r="E163" s="13" t="s">
        <v>740</v>
      </c>
      <c r="G163" s="2">
        <v>48</v>
      </c>
      <c r="H163">
        <v>77</v>
      </c>
      <c r="I163">
        <v>81</v>
      </c>
      <c r="J163" t="s">
        <v>27</v>
      </c>
      <c r="K163">
        <v>77</v>
      </c>
      <c r="L163" t="s">
        <v>28</v>
      </c>
      <c r="M163" s="12">
        <v>31</v>
      </c>
      <c r="N163" s="3">
        <f>G163*M163</f>
        <v>1488</v>
      </c>
      <c r="O163" s="1">
        <v>45685</v>
      </c>
      <c r="P163" s="1">
        <v>45422</v>
      </c>
      <c r="Q163" s="1">
        <v>45633</v>
      </c>
      <c r="R163">
        <v>394</v>
      </c>
      <c r="S163">
        <v>657</v>
      </c>
      <c r="T163">
        <v>446</v>
      </c>
      <c r="U163" t="str">
        <f t="shared" si="4"/>
        <v>Expiring Soon</v>
      </c>
      <c r="V163" t="s">
        <v>741</v>
      </c>
      <c r="W163">
        <v>70</v>
      </c>
      <c r="X163" s="3">
        <f t="shared" si="5"/>
        <v>104160</v>
      </c>
      <c r="Y163">
        <v>74</v>
      </c>
      <c r="Z163" t="s">
        <v>43</v>
      </c>
      <c r="AA163" s="3">
        <f>X163-Grocery_Inventory_and_Sales_Dat!N163</f>
        <v>102672</v>
      </c>
    </row>
    <row r="164" spans="1:27" x14ac:dyDescent="0.3">
      <c r="A164" t="s">
        <v>742</v>
      </c>
      <c r="B164" t="s">
        <v>743</v>
      </c>
      <c r="C164" t="s">
        <v>64</v>
      </c>
      <c r="D164" t="s">
        <v>744</v>
      </c>
      <c r="E164" s="13" t="s">
        <v>504</v>
      </c>
      <c r="G164" s="2">
        <v>27</v>
      </c>
      <c r="H164">
        <v>92</v>
      </c>
      <c r="I164">
        <v>56</v>
      </c>
      <c r="J164" t="s">
        <v>27</v>
      </c>
      <c r="K164">
        <v>92</v>
      </c>
      <c r="L164" t="s">
        <v>28</v>
      </c>
      <c r="M164" s="12">
        <v>6.5</v>
      </c>
      <c r="N164" s="3">
        <f>G164*M164</f>
        <v>175.5</v>
      </c>
      <c r="O164" s="1">
        <v>45400</v>
      </c>
      <c r="P164" s="1">
        <v>45584</v>
      </c>
      <c r="Q164" s="1">
        <v>45644</v>
      </c>
      <c r="R164">
        <v>679</v>
      </c>
      <c r="S164">
        <v>495</v>
      </c>
      <c r="T164">
        <v>435</v>
      </c>
      <c r="U164" t="str">
        <f t="shared" si="4"/>
        <v>Expiring Soon</v>
      </c>
      <c r="V164" t="s">
        <v>745</v>
      </c>
      <c r="W164">
        <v>29</v>
      </c>
      <c r="X164" s="3">
        <f t="shared" si="5"/>
        <v>5089.5</v>
      </c>
      <c r="Y164">
        <v>32</v>
      </c>
      <c r="Z164" t="s">
        <v>30</v>
      </c>
      <c r="AA164" s="3">
        <f>X164-Grocery_Inventory_and_Sales_Dat!N164</f>
        <v>4914</v>
      </c>
    </row>
    <row r="165" spans="1:27" x14ac:dyDescent="0.3">
      <c r="A165" t="s">
        <v>746</v>
      </c>
      <c r="B165" t="s">
        <v>38</v>
      </c>
      <c r="C165" t="s">
        <v>24</v>
      </c>
      <c r="D165" t="s">
        <v>747</v>
      </c>
      <c r="E165" s="13" t="s">
        <v>748</v>
      </c>
      <c r="G165" s="2">
        <v>34</v>
      </c>
      <c r="H165">
        <v>96</v>
      </c>
      <c r="I165">
        <v>76</v>
      </c>
      <c r="J165" t="s">
        <v>27</v>
      </c>
      <c r="K165">
        <v>96</v>
      </c>
      <c r="L165" t="s">
        <v>28</v>
      </c>
      <c r="M165" s="12">
        <v>6.15</v>
      </c>
      <c r="N165" s="3">
        <f>G165*M165</f>
        <v>209.10000000000002</v>
      </c>
      <c r="O165" s="1">
        <v>45361</v>
      </c>
      <c r="P165" s="1">
        <v>45455</v>
      </c>
      <c r="Q165" s="1">
        <v>45672</v>
      </c>
      <c r="R165">
        <v>718</v>
      </c>
      <c r="S165">
        <v>624</v>
      </c>
      <c r="T165">
        <v>407</v>
      </c>
      <c r="U165" t="str">
        <f t="shared" si="4"/>
        <v>Expiring Soon</v>
      </c>
      <c r="V165" t="s">
        <v>749</v>
      </c>
      <c r="W165">
        <v>90</v>
      </c>
      <c r="X165" s="3">
        <f t="shared" si="5"/>
        <v>18819.000000000004</v>
      </c>
      <c r="Y165">
        <v>34</v>
      </c>
      <c r="Z165" t="s">
        <v>30</v>
      </c>
      <c r="AA165" s="3">
        <f>X165-Grocery_Inventory_and_Sales_Dat!N165</f>
        <v>18609.900000000005</v>
      </c>
    </row>
    <row r="166" spans="1:27" x14ac:dyDescent="0.3">
      <c r="A166" t="s">
        <v>750</v>
      </c>
      <c r="B166" t="s">
        <v>280</v>
      </c>
      <c r="C166" t="s">
        <v>52</v>
      </c>
      <c r="D166" t="s">
        <v>751</v>
      </c>
      <c r="E166" s="13" t="s">
        <v>268</v>
      </c>
      <c r="G166" s="2">
        <v>41</v>
      </c>
      <c r="H166">
        <v>94</v>
      </c>
      <c r="I166">
        <v>4</v>
      </c>
      <c r="J166" t="s">
        <v>27</v>
      </c>
      <c r="K166">
        <v>94</v>
      </c>
      <c r="L166" t="s">
        <v>28</v>
      </c>
      <c r="M166" s="12">
        <v>3</v>
      </c>
      <c r="N166" s="3">
        <f>G166*M166</f>
        <v>123</v>
      </c>
      <c r="O166" s="1">
        <v>45749</v>
      </c>
      <c r="P166" s="1">
        <v>45499</v>
      </c>
      <c r="Q166" s="1">
        <v>45405</v>
      </c>
      <c r="R166">
        <v>330</v>
      </c>
      <c r="S166">
        <v>580</v>
      </c>
      <c r="T166">
        <v>674</v>
      </c>
      <c r="U166" t="str">
        <f t="shared" si="4"/>
        <v>Safe</v>
      </c>
      <c r="V166" t="s">
        <v>752</v>
      </c>
      <c r="W166">
        <v>88</v>
      </c>
      <c r="X166" s="3">
        <f t="shared" si="5"/>
        <v>10824</v>
      </c>
      <c r="Y166">
        <v>92</v>
      </c>
      <c r="Z166" t="s">
        <v>30</v>
      </c>
      <c r="AA166" s="3">
        <f>X166-Grocery_Inventory_and_Sales_Dat!N166</f>
        <v>10701</v>
      </c>
    </row>
    <row r="167" spans="1:27" x14ac:dyDescent="0.3">
      <c r="A167" t="s">
        <v>753</v>
      </c>
      <c r="B167" t="s">
        <v>322</v>
      </c>
      <c r="C167" t="s">
        <v>33</v>
      </c>
      <c r="D167" t="s">
        <v>754</v>
      </c>
      <c r="E167" s="13" t="s">
        <v>54</v>
      </c>
      <c r="G167" s="2">
        <v>56</v>
      </c>
      <c r="H167">
        <v>12</v>
      </c>
      <c r="I167">
        <v>85</v>
      </c>
      <c r="J167" t="s">
        <v>55</v>
      </c>
      <c r="K167">
        <v>0</v>
      </c>
      <c r="L167" t="s">
        <v>41</v>
      </c>
      <c r="M167" s="12">
        <v>5</v>
      </c>
      <c r="N167" s="3">
        <f>G167*M167</f>
        <v>280</v>
      </c>
      <c r="O167" s="1">
        <v>45577</v>
      </c>
      <c r="P167" s="1">
        <v>45371</v>
      </c>
      <c r="Q167" s="1">
        <v>45401</v>
      </c>
      <c r="R167">
        <v>502</v>
      </c>
      <c r="S167">
        <v>708</v>
      </c>
      <c r="T167">
        <v>678</v>
      </c>
      <c r="U167" t="str">
        <f t="shared" si="4"/>
        <v>Safe</v>
      </c>
      <c r="V167" t="s">
        <v>755</v>
      </c>
      <c r="W167">
        <v>52</v>
      </c>
      <c r="X167" s="3">
        <f t="shared" si="5"/>
        <v>14560</v>
      </c>
      <c r="Y167">
        <v>46</v>
      </c>
      <c r="Z167" t="s">
        <v>49</v>
      </c>
      <c r="AA167" s="3">
        <f>X167-Grocery_Inventory_and_Sales_Dat!N167</f>
        <v>14280</v>
      </c>
    </row>
    <row r="168" spans="1:27" x14ac:dyDescent="0.3">
      <c r="A168" t="s">
        <v>756</v>
      </c>
      <c r="B168" t="s">
        <v>757</v>
      </c>
      <c r="C168" t="s">
        <v>52</v>
      </c>
      <c r="D168" t="s">
        <v>758</v>
      </c>
      <c r="E168" s="13" t="s">
        <v>759</v>
      </c>
      <c r="G168" s="2">
        <v>22</v>
      </c>
      <c r="H168">
        <v>40</v>
      </c>
      <c r="I168">
        <v>7</v>
      </c>
      <c r="J168" t="s">
        <v>27</v>
      </c>
      <c r="K168">
        <v>40</v>
      </c>
      <c r="L168" t="s">
        <v>41</v>
      </c>
      <c r="M168" s="12">
        <v>5</v>
      </c>
      <c r="N168" s="3">
        <f>G168*M168</f>
        <v>110</v>
      </c>
      <c r="O168" s="1">
        <v>45635</v>
      </c>
      <c r="P168" s="1">
        <v>45657</v>
      </c>
      <c r="Q168" s="1">
        <v>45683</v>
      </c>
      <c r="R168">
        <v>444</v>
      </c>
      <c r="S168">
        <v>422</v>
      </c>
      <c r="T168">
        <v>396</v>
      </c>
      <c r="U168" t="str">
        <f t="shared" si="4"/>
        <v>Expiring Soon</v>
      </c>
      <c r="V168" t="s">
        <v>760</v>
      </c>
      <c r="W168">
        <v>98</v>
      </c>
      <c r="X168" s="3">
        <f t="shared" si="5"/>
        <v>10780</v>
      </c>
      <c r="Y168">
        <v>60</v>
      </c>
      <c r="Z168" t="s">
        <v>49</v>
      </c>
      <c r="AA168" s="3">
        <f>X168-Grocery_Inventory_and_Sales_Dat!N168</f>
        <v>10670</v>
      </c>
    </row>
    <row r="169" spans="1:27" x14ac:dyDescent="0.3">
      <c r="A169" t="s">
        <v>761</v>
      </c>
      <c r="B169" t="s">
        <v>461</v>
      </c>
      <c r="C169" t="s">
        <v>64</v>
      </c>
      <c r="D169" t="s">
        <v>762</v>
      </c>
      <c r="E169" s="13" t="s">
        <v>763</v>
      </c>
      <c r="G169" s="2">
        <v>40</v>
      </c>
      <c r="H169">
        <v>2</v>
      </c>
      <c r="I169">
        <v>58</v>
      </c>
      <c r="J169" t="s">
        <v>55</v>
      </c>
      <c r="K169">
        <v>0</v>
      </c>
      <c r="L169" t="s">
        <v>41</v>
      </c>
      <c r="M169" s="12">
        <v>1.8</v>
      </c>
      <c r="N169" s="3">
        <f>G169*M169</f>
        <v>72</v>
      </c>
      <c r="O169" s="1">
        <v>45596</v>
      </c>
      <c r="P169" s="1">
        <v>45517</v>
      </c>
      <c r="Q169" s="1">
        <v>45604</v>
      </c>
      <c r="R169">
        <v>483</v>
      </c>
      <c r="S169">
        <v>562</v>
      </c>
      <c r="T169">
        <v>475</v>
      </c>
      <c r="U169" t="str">
        <f t="shared" si="4"/>
        <v>Expiring Soon</v>
      </c>
      <c r="V169" t="s">
        <v>764</v>
      </c>
      <c r="W169">
        <v>71</v>
      </c>
      <c r="X169" s="3">
        <f t="shared" si="5"/>
        <v>5112</v>
      </c>
      <c r="Y169">
        <v>10</v>
      </c>
      <c r="Z169" t="s">
        <v>49</v>
      </c>
      <c r="AA169" s="3">
        <f>X169-Grocery_Inventory_and_Sales_Dat!N169</f>
        <v>5040</v>
      </c>
    </row>
    <row r="170" spans="1:27" x14ac:dyDescent="0.3">
      <c r="A170" t="s">
        <v>765</v>
      </c>
      <c r="B170" t="s">
        <v>119</v>
      </c>
      <c r="C170" t="s">
        <v>70</v>
      </c>
      <c r="D170" t="s">
        <v>766</v>
      </c>
      <c r="E170" s="13" t="s">
        <v>767</v>
      </c>
      <c r="G170" s="2">
        <v>50</v>
      </c>
      <c r="H170">
        <v>99</v>
      </c>
      <c r="I170">
        <v>73</v>
      </c>
      <c r="J170" t="s">
        <v>27</v>
      </c>
      <c r="K170">
        <v>99</v>
      </c>
      <c r="L170" t="s">
        <v>28</v>
      </c>
      <c r="M170" s="12">
        <v>8</v>
      </c>
      <c r="N170" s="3">
        <f>G170*M170</f>
        <v>400</v>
      </c>
      <c r="O170" s="1">
        <v>45631</v>
      </c>
      <c r="P170" s="1">
        <v>45527</v>
      </c>
      <c r="Q170" s="1">
        <v>45429</v>
      </c>
      <c r="R170">
        <v>448</v>
      </c>
      <c r="S170">
        <v>552</v>
      </c>
      <c r="T170">
        <v>650</v>
      </c>
      <c r="U170" t="str">
        <f t="shared" si="4"/>
        <v>Safe</v>
      </c>
      <c r="V170" t="s">
        <v>768</v>
      </c>
      <c r="W170">
        <v>42</v>
      </c>
      <c r="X170" s="3">
        <f t="shared" si="5"/>
        <v>16800</v>
      </c>
      <c r="Y170">
        <v>1</v>
      </c>
      <c r="Z170" t="s">
        <v>43</v>
      </c>
      <c r="AA170" s="3">
        <f>X170-Grocery_Inventory_and_Sales_Dat!N170</f>
        <v>16400</v>
      </c>
    </row>
    <row r="171" spans="1:27" x14ac:dyDescent="0.3">
      <c r="A171" t="s">
        <v>769</v>
      </c>
      <c r="B171" t="s">
        <v>230</v>
      </c>
      <c r="C171" t="s">
        <v>52</v>
      </c>
      <c r="D171" t="s">
        <v>770</v>
      </c>
      <c r="E171" s="13" t="s">
        <v>771</v>
      </c>
      <c r="G171" s="2">
        <v>89</v>
      </c>
      <c r="H171">
        <v>92</v>
      </c>
      <c r="I171">
        <v>62</v>
      </c>
      <c r="J171" t="s">
        <v>27</v>
      </c>
      <c r="K171">
        <v>92</v>
      </c>
      <c r="L171" t="s">
        <v>28</v>
      </c>
      <c r="M171" s="12">
        <v>4.8</v>
      </c>
      <c r="N171" s="3">
        <f>G171*M171</f>
        <v>427.2</v>
      </c>
      <c r="O171" s="1">
        <v>45325</v>
      </c>
      <c r="P171" s="1">
        <v>45511</v>
      </c>
      <c r="Q171" s="1">
        <v>45607</v>
      </c>
      <c r="R171">
        <v>754</v>
      </c>
      <c r="S171">
        <v>568</v>
      </c>
      <c r="T171">
        <v>472</v>
      </c>
      <c r="U171" t="str">
        <f t="shared" si="4"/>
        <v>Expiring Soon</v>
      </c>
      <c r="V171" t="s">
        <v>772</v>
      </c>
      <c r="W171">
        <v>46</v>
      </c>
      <c r="X171" s="3">
        <f t="shared" si="5"/>
        <v>19651.2</v>
      </c>
      <c r="Y171">
        <v>11</v>
      </c>
      <c r="Z171" t="s">
        <v>43</v>
      </c>
      <c r="AA171" s="3">
        <f>X171-Grocery_Inventory_and_Sales_Dat!N171</f>
        <v>19224</v>
      </c>
    </row>
    <row r="172" spans="1:27" x14ac:dyDescent="0.3">
      <c r="A172" t="s">
        <v>773</v>
      </c>
      <c r="B172" t="s">
        <v>734</v>
      </c>
      <c r="C172" t="s">
        <v>70</v>
      </c>
      <c r="D172" t="s">
        <v>774</v>
      </c>
      <c r="E172" s="13" t="s">
        <v>443</v>
      </c>
      <c r="G172" s="2">
        <v>76</v>
      </c>
      <c r="H172">
        <v>54</v>
      </c>
      <c r="I172">
        <v>76</v>
      </c>
      <c r="J172" t="s">
        <v>55</v>
      </c>
      <c r="K172">
        <v>0</v>
      </c>
      <c r="L172" t="s">
        <v>41</v>
      </c>
      <c r="M172" s="12">
        <v>2.5</v>
      </c>
      <c r="N172" s="3">
        <f>G172*M172</f>
        <v>190</v>
      </c>
      <c r="O172" s="1">
        <v>45301</v>
      </c>
      <c r="P172" s="1">
        <v>45521</v>
      </c>
      <c r="Q172" s="1">
        <v>45438</v>
      </c>
      <c r="R172">
        <v>778</v>
      </c>
      <c r="S172">
        <v>558</v>
      </c>
      <c r="T172">
        <v>641</v>
      </c>
      <c r="U172" t="str">
        <f t="shared" si="4"/>
        <v>Safe</v>
      </c>
      <c r="V172" t="s">
        <v>775</v>
      </c>
      <c r="W172">
        <v>69</v>
      </c>
      <c r="X172" s="3">
        <f t="shared" si="5"/>
        <v>13110</v>
      </c>
      <c r="Y172">
        <v>27</v>
      </c>
      <c r="Z172" t="s">
        <v>43</v>
      </c>
      <c r="AA172" s="3">
        <f>X172-Grocery_Inventory_and_Sales_Dat!N172</f>
        <v>12920</v>
      </c>
    </row>
    <row r="173" spans="1:27" x14ac:dyDescent="0.3">
      <c r="A173" t="s">
        <v>776</v>
      </c>
      <c r="B173" t="s">
        <v>777</v>
      </c>
      <c r="C173" t="s">
        <v>24</v>
      </c>
      <c r="D173" t="s">
        <v>778</v>
      </c>
      <c r="E173" s="13" t="s">
        <v>589</v>
      </c>
      <c r="G173" s="2">
        <v>67</v>
      </c>
      <c r="H173">
        <v>60</v>
      </c>
      <c r="I173">
        <v>21</v>
      </c>
      <c r="J173" t="s">
        <v>55</v>
      </c>
      <c r="K173">
        <v>0</v>
      </c>
      <c r="L173" t="s">
        <v>41</v>
      </c>
      <c r="M173" s="12">
        <v>2.75</v>
      </c>
      <c r="N173" s="3">
        <f>G173*M173</f>
        <v>184.25</v>
      </c>
      <c r="O173" s="1">
        <v>45355</v>
      </c>
      <c r="P173" s="1">
        <v>45432</v>
      </c>
      <c r="Q173" s="1">
        <v>45541</v>
      </c>
      <c r="R173">
        <v>724</v>
      </c>
      <c r="S173">
        <v>647</v>
      </c>
      <c r="T173">
        <v>538</v>
      </c>
      <c r="U173" t="str">
        <f t="shared" si="4"/>
        <v>Expiring Soon</v>
      </c>
      <c r="V173" t="s">
        <v>779</v>
      </c>
      <c r="W173">
        <v>30</v>
      </c>
      <c r="X173" s="3">
        <f t="shared" si="5"/>
        <v>5527.5</v>
      </c>
      <c r="Y173">
        <v>6</v>
      </c>
      <c r="Z173" t="s">
        <v>49</v>
      </c>
      <c r="AA173" s="3">
        <f>X173-Grocery_Inventory_and_Sales_Dat!N173</f>
        <v>5343.25</v>
      </c>
    </row>
    <row r="174" spans="1:27" x14ac:dyDescent="0.3">
      <c r="A174" t="s">
        <v>780</v>
      </c>
      <c r="B174" t="s">
        <v>781</v>
      </c>
      <c r="C174" t="s">
        <v>33</v>
      </c>
      <c r="D174" t="s">
        <v>782</v>
      </c>
      <c r="E174" s="13" t="s">
        <v>783</v>
      </c>
      <c r="G174" s="2">
        <v>62</v>
      </c>
      <c r="H174">
        <v>78</v>
      </c>
      <c r="I174">
        <v>97</v>
      </c>
      <c r="J174" t="s">
        <v>27</v>
      </c>
      <c r="K174">
        <v>78</v>
      </c>
      <c r="L174" t="s">
        <v>28</v>
      </c>
      <c r="M174" s="12">
        <v>10</v>
      </c>
      <c r="N174" s="3">
        <f>G174*M174</f>
        <v>620</v>
      </c>
      <c r="O174" s="1">
        <v>45508</v>
      </c>
      <c r="P174" s="1">
        <v>45533</v>
      </c>
      <c r="Q174" s="1">
        <v>45377</v>
      </c>
      <c r="R174">
        <v>571</v>
      </c>
      <c r="S174">
        <v>546</v>
      </c>
      <c r="T174">
        <v>702</v>
      </c>
      <c r="U174" t="str">
        <f t="shared" si="4"/>
        <v>Safe</v>
      </c>
      <c r="V174" t="s">
        <v>784</v>
      </c>
      <c r="W174">
        <v>62</v>
      </c>
      <c r="X174" s="3">
        <f t="shared" si="5"/>
        <v>38440</v>
      </c>
      <c r="Y174">
        <v>97</v>
      </c>
      <c r="Z174" t="s">
        <v>30</v>
      </c>
      <c r="AA174" s="3">
        <f>X174-Grocery_Inventory_and_Sales_Dat!N174</f>
        <v>37820</v>
      </c>
    </row>
    <row r="175" spans="1:27" x14ac:dyDescent="0.3">
      <c r="A175" t="s">
        <v>785</v>
      </c>
      <c r="B175" t="s">
        <v>786</v>
      </c>
      <c r="C175" t="s">
        <v>52</v>
      </c>
      <c r="D175" t="s">
        <v>787</v>
      </c>
      <c r="E175" s="13" t="s">
        <v>788</v>
      </c>
      <c r="G175" s="2">
        <v>75</v>
      </c>
      <c r="H175">
        <v>10</v>
      </c>
      <c r="I175">
        <v>68</v>
      </c>
      <c r="J175" t="s">
        <v>55</v>
      </c>
      <c r="K175">
        <v>0</v>
      </c>
      <c r="L175" t="s">
        <v>41</v>
      </c>
      <c r="M175" s="12">
        <v>3</v>
      </c>
      <c r="N175" s="3">
        <f>G175*M175</f>
        <v>225</v>
      </c>
      <c r="O175" s="1">
        <v>45605</v>
      </c>
      <c r="P175" s="1">
        <v>45931</v>
      </c>
      <c r="Q175" s="1">
        <v>45629</v>
      </c>
      <c r="R175">
        <v>474</v>
      </c>
      <c r="S175">
        <v>148</v>
      </c>
      <c r="T175">
        <v>450</v>
      </c>
      <c r="U175" t="str">
        <f t="shared" si="4"/>
        <v>Expiring Soon</v>
      </c>
      <c r="V175" t="s">
        <v>789</v>
      </c>
      <c r="W175">
        <v>90</v>
      </c>
      <c r="X175" s="3">
        <f t="shared" si="5"/>
        <v>20250</v>
      </c>
      <c r="Y175">
        <v>42</v>
      </c>
      <c r="Z175" t="s">
        <v>49</v>
      </c>
      <c r="AA175" s="3">
        <f>X175-Grocery_Inventory_and_Sales_Dat!N175</f>
        <v>20025</v>
      </c>
    </row>
    <row r="176" spans="1:27" x14ac:dyDescent="0.3">
      <c r="A176" t="s">
        <v>790</v>
      </c>
      <c r="B176" t="s">
        <v>292</v>
      </c>
      <c r="C176" t="s">
        <v>33</v>
      </c>
      <c r="D176" t="s">
        <v>791</v>
      </c>
      <c r="E176" s="13" t="s">
        <v>792</v>
      </c>
      <c r="G176" s="2">
        <v>75</v>
      </c>
      <c r="H176">
        <v>47</v>
      </c>
      <c r="I176">
        <v>33</v>
      </c>
      <c r="J176" t="s">
        <v>55</v>
      </c>
      <c r="K176">
        <v>0</v>
      </c>
      <c r="L176" t="s">
        <v>41</v>
      </c>
      <c r="M176" s="12">
        <v>12.5</v>
      </c>
      <c r="N176" s="3">
        <f>G176*M176</f>
        <v>937.5</v>
      </c>
      <c r="O176" s="1">
        <v>45469</v>
      </c>
      <c r="P176" s="1">
        <v>45547</v>
      </c>
      <c r="Q176" s="1">
        <v>45435</v>
      </c>
      <c r="R176">
        <v>610</v>
      </c>
      <c r="S176">
        <v>532</v>
      </c>
      <c r="T176">
        <v>644</v>
      </c>
      <c r="U176" t="str">
        <f t="shared" si="4"/>
        <v>Safe</v>
      </c>
      <c r="V176" t="s">
        <v>793</v>
      </c>
      <c r="W176">
        <v>33</v>
      </c>
      <c r="X176" s="3">
        <f t="shared" si="5"/>
        <v>30937.5</v>
      </c>
      <c r="Y176">
        <v>12</v>
      </c>
      <c r="Z176" t="s">
        <v>30</v>
      </c>
      <c r="AA176" s="3">
        <f>X176-Grocery_Inventory_and_Sales_Dat!N176</f>
        <v>30000</v>
      </c>
    </row>
    <row r="177" spans="1:27" x14ac:dyDescent="0.3">
      <c r="A177" t="s">
        <v>794</v>
      </c>
      <c r="B177" t="s">
        <v>413</v>
      </c>
      <c r="C177" t="s">
        <v>70</v>
      </c>
      <c r="D177" t="s">
        <v>795</v>
      </c>
      <c r="E177" s="13" t="s">
        <v>771</v>
      </c>
      <c r="G177" s="2">
        <v>29</v>
      </c>
      <c r="H177">
        <v>32</v>
      </c>
      <c r="I177">
        <v>26</v>
      </c>
      <c r="J177" t="s">
        <v>27</v>
      </c>
      <c r="K177">
        <v>32</v>
      </c>
      <c r="L177" t="s">
        <v>41</v>
      </c>
      <c r="M177" s="12">
        <v>2.5</v>
      </c>
      <c r="N177" s="3">
        <f>G177*M177</f>
        <v>72.5</v>
      </c>
      <c r="O177" s="1">
        <v>45556</v>
      </c>
      <c r="P177" s="1">
        <v>45458</v>
      </c>
      <c r="Q177" s="1">
        <v>45550</v>
      </c>
      <c r="R177">
        <v>523</v>
      </c>
      <c r="S177">
        <v>621</v>
      </c>
      <c r="T177">
        <v>529</v>
      </c>
      <c r="U177" t="str">
        <f t="shared" si="4"/>
        <v>Expiring Soon</v>
      </c>
      <c r="V177" t="s">
        <v>796</v>
      </c>
      <c r="W177">
        <v>64</v>
      </c>
      <c r="X177" s="3">
        <f t="shared" si="5"/>
        <v>4640</v>
      </c>
      <c r="Y177">
        <v>85</v>
      </c>
      <c r="Z177" t="s">
        <v>30</v>
      </c>
      <c r="AA177" s="3">
        <f>X177-Grocery_Inventory_and_Sales_Dat!N177</f>
        <v>4567.5</v>
      </c>
    </row>
    <row r="178" spans="1:27" x14ac:dyDescent="0.3">
      <c r="A178" t="s">
        <v>797</v>
      </c>
      <c r="B178" t="s">
        <v>173</v>
      </c>
      <c r="C178" t="s">
        <v>95</v>
      </c>
      <c r="D178" t="s">
        <v>798</v>
      </c>
      <c r="E178" s="13" t="s">
        <v>799</v>
      </c>
      <c r="G178" s="2">
        <v>34</v>
      </c>
      <c r="H178">
        <v>55</v>
      </c>
      <c r="I178">
        <v>22</v>
      </c>
      <c r="J178" t="s">
        <v>27</v>
      </c>
      <c r="K178">
        <v>55</v>
      </c>
      <c r="L178" t="s">
        <v>41</v>
      </c>
      <c r="M178" s="12">
        <v>5</v>
      </c>
      <c r="N178" s="3">
        <f>G178*M178</f>
        <v>170</v>
      </c>
      <c r="O178" s="1">
        <v>45606</v>
      </c>
      <c r="P178" s="1">
        <v>45472</v>
      </c>
      <c r="Q178" s="1">
        <v>45611</v>
      </c>
      <c r="R178">
        <v>473</v>
      </c>
      <c r="S178">
        <v>607</v>
      </c>
      <c r="T178">
        <v>468</v>
      </c>
      <c r="U178" t="str">
        <f t="shared" si="4"/>
        <v>Expiring Soon</v>
      </c>
      <c r="V178" t="s">
        <v>800</v>
      </c>
      <c r="W178">
        <v>77</v>
      </c>
      <c r="X178" s="3">
        <f t="shared" si="5"/>
        <v>13090</v>
      </c>
      <c r="Y178">
        <v>85</v>
      </c>
      <c r="Z178" t="s">
        <v>49</v>
      </c>
      <c r="AA178" s="3">
        <f>X178-Grocery_Inventory_and_Sales_Dat!N178</f>
        <v>12920</v>
      </c>
    </row>
    <row r="179" spans="1:27" x14ac:dyDescent="0.3">
      <c r="A179" t="s">
        <v>801</v>
      </c>
      <c r="B179" t="s">
        <v>678</v>
      </c>
      <c r="C179" t="s">
        <v>33</v>
      </c>
      <c r="D179" t="s">
        <v>802</v>
      </c>
      <c r="E179" s="13" t="s">
        <v>803</v>
      </c>
      <c r="G179" s="2">
        <v>15</v>
      </c>
      <c r="H179">
        <v>66</v>
      </c>
      <c r="I179">
        <v>85</v>
      </c>
      <c r="J179" t="s">
        <v>27</v>
      </c>
      <c r="K179">
        <v>66</v>
      </c>
      <c r="L179" t="s">
        <v>28</v>
      </c>
      <c r="M179" s="12">
        <v>8</v>
      </c>
      <c r="N179" s="3">
        <f>G179*M179</f>
        <v>120</v>
      </c>
      <c r="O179" s="1">
        <v>45583</v>
      </c>
      <c r="P179" s="1">
        <v>45358</v>
      </c>
      <c r="Q179" s="1">
        <v>45366</v>
      </c>
      <c r="R179">
        <v>496</v>
      </c>
      <c r="S179">
        <v>721</v>
      </c>
      <c r="T179">
        <v>713</v>
      </c>
      <c r="U179" t="str">
        <f t="shared" si="4"/>
        <v>Safe</v>
      </c>
      <c r="V179" t="s">
        <v>804</v>
      </c>
      <c r="W179">
        <v>60</v>
      </c>
      <c r="X179" s="3">
        <f t="shared" si="5"/>
        <v>7200</v>
      </c>
      <c r="Y179">
        <v>40</v>
      </c>
      <c r="Z179" t="s">
        <v>43</v>
      </c>
      <c r="AA179" s="3">
        <f>X179-Grocery_Inventory_and_Sales_Dat!N179</f>
        <v>7080</v>
      </c>
    </row>
    <row r="180" spans="1:27" x14ac:dyDescent="0.3">
      <c r="A180" t="s">
        <v>805</v>
      </c>
      <c r="B180" t="s">
        <v>806</v>
      </c>
      <c r="C180" t="s">
        <v>138</v>
      </c>
      <c r="D180" t="s">
        <v>807</v>
      </c>
      <c r="E180" s="13" t="s">
        <v>808</v>
      </c>
      <c r="G180" s="2">
        <v>88</v>
      </c>
      <c r="H180">
        <v>56</v>
      </c>
      <c r="I180">
        <v>81</v>
      </c>
      <c r="J180" t="s">
        <v>55</v>
      </c>
      <c r="K180">
        <v>0</v>
      </c>
      <c r="L180" t="s">
        <v>41</v>
      </c>
      <c r="M180" s="12">
        <v>10</v>
      </c>
      <c r="N180" s="3">
        <f>G180*M180</f>
        <v>880</v>
      </c>
      <c r="O180" s="1">
        <v>45570</v>
      </c>
      <c r="P180" s="1">
        <v>45568</v>
      </c>
      <c r="Q180" s="1">
        <v>45549</v>
      </c>
      <c r="R180">
        <v>509</v>
      </c>
      <c r="S180">
        <v>511</v>
      </c>
      <c r="T180">
        <v>530</v>
      </c>
      <c r="U180" t="str">
        <f t="shared" si="4"/>
        <v>Expiring Soon</v>
      </c>
      <c r="V180" t="s">
        <v>809</v>
      </c>
      <c r="W180">
        <v>98</v>
      </c>
      <c r="X180" s="3">
        <f t="shared" si="5"/>
        <v>86240</v>
      </c>
      <c r="Y180">
        <v>86</v>
      </c>
      <c r="Z180" t="s">
        <v>30</v>
      </c>
      <c r="AA180" s="3">
        <f>X180-Grocery_Inventory_and_Sales_Dat!N180</f>
        <v>85360</v>
      </c>
    </row>
    <row r="181" spans="1:27" x14ac:dyDescent="0.3">
      <c r="A181" t="s">
        <v>810</v>
      </c>
      <c r="B181" t="s">
        <v>725</v>
      </c>
      <c r="C181" t="s">
        <v>70</v>
      </c>
      <c r="D181" t="s">
        <v>811</v>
      </c>
      <c r="E181" s="13" t="s">
        <v>812</v>
      </c>
      <c r="G181" s="2">
        <v>40</v>
      </c>
      <c r="H181">
        <v>81</v>
      </c>
      <c r="I181">
        <v>40</v>
      </c>
      <c r="J181" t="s">
        <v>27</v>
      </c>
      <c r="K181">
        <v>81</v>
      </c>
      <c r="L181" t="s">
        <v>28</v>
      </c>
      <c r="M181" s="12">
        <v>9</v>
      </c>
      <c r="N181" s="3">
        <f>G181*M181</f>
        <v>360</v>
      </c>
      <c r="O181" s="1">
        <v>45545</v>
      </c>
      <c r="P181" s="1">
        <v>45410</v>
      </c>
      <c r="Q181" s="1">
        <v>45595</v>
      </c>
      <c r="R181">
        <v>534</v>
      </c>
      <c r="S181">
        <v>669</v>
      </c>
      <c r="T181">
        <v>484</v>
      </c>
      <c r="U181" t="str">
        <f t="shared" si="4"/>
        <v>Expiring Soon</v>
      </c>
      <c r="V181" t="s">
        <v>813</v>
      </c>
      <c r="W181">
        <v>40</v>
      </c>
      <c r="X181" s="3">
        <f t="shared" si="5"/>
        <v>14400</v>
      </c>
      <c r="Y181">
        <v>48</v>
      </c>
      <c r="Z181" t="s">
        <v>43</v>
      </c>
      <c r="AA181" s="3">
        <f>X181-Grocery_Inventory_and_Sales_Dat!N181</f>
        <v>14040</v>
      </c>
    </row>
    <row r="182" spans="1:27" x14ac:dyDescent="0.3">
      <c r="A182" t="s">
        <v>814</v>
      </c>
      <c r="B182" t="s">
        <v>609</v>
      </c>
      <c r="C182" t="s">
        <v>64</v>
      </c>
      <c r="D182" t="s">
        <v>815</v>
      </c>
      <c r="E182" s="13" t="s">
        <v>816</v>
      </c>
      <c r="G182" s="2">
        <v>10</v>
      </c>
      <c r="H182">
        <v>86</v>
      </c>
      <c r="I182">
        <v>23</v>
      </c>
      <c r="J182" t="s">
        <v>27</v>
      </c>
      <c r="K182">
        <v>86</v>
      </c>
      <c r="L182" t="s">
        <v>28</v>
      </c>
      <c r="M182" s="12">
        <v>10</v>
      </c>
      <c r="N182" s="3">
        <f>G182*M182</f>
        <v>100</v>
      </c>
      <c r="O182" s="1">
        <v>45472</v>
      </c>
      <c r="P182" s="1">
        <v>45622</v>
      </c>
      <c r="Q182" s="1">
        <v>45639</v>
      </c>
      <c r="R182">
        <v>607</v>
      </c>
      <c r="S182">
        <v>457</v>
      </c>
      <c r="T182">
        <v>440</v>
      </c>
      <c r="U182" t="str">
        <f t="shared" si="4"/>
        <v>Expiring Soon</v>
      </c>
      <c r="V182" t="s">
        <v>817</v>
      </c>
      <c r="W182">
        <v>24</v>
      </c>
      <c r="X182" s="3">
        <f t="shared" si="5"/>
        <v>2400</v>
      </c>
      <c r="Y182">
        <v>52</v>
      </c>
      <c r="Z182" t="s">
        <v>43</v>
      </c>
      <c r="AA182" s="3">
        <f>X182-Grocery_Inventory_and_Sales_Dat!N182</f>
        <v>2300</v>
      </c>
    </row>
    <row r="183" spans="1:27" x14ac:dyDescent="0.3">
      <c r="A183" t="s">
        <v>818</v>
      </c>
      <c r="B183" t="s">
        <v>32</v>
      </c>
      <c r="C183" t="s">
        <v>33</v>
      </c>
      <c r="D183" t="s">
        <v>819</v>
      </c>
      <c r="E183" s="13" t="s">
        <v>35</v>
      </c>
      <c r="G183" s="2">
        <v>21</v>
      </c>
      <c r="H183">
        <v>87</v>
      </c>
      <c r="I183">
        <v>12</v>
      </c>
      <c r="J183" t="s">
        <v>27</v>
      </c>
      <c r="K183">
        <v>87</v>
      </c>
      <c r="L183" t="s">
        <v>28</v>
      </c>
      <c r="M183" s="12">
        <v>21</v>
      </c>
      <c r="N183" s="3">
        <f>G183*M183</f>
        <v>441</v>
      </c>
      <c r="O183" s="1">
        <v>45613</v>
      </c>
      <c r="P183" s="1">
        <v>45331</v>
      </c>
      <c r="Q183" s="1">
        <v>45542</v>
      </c>
      <c r="R183">
        <v>466</v>
      </c>
      <c r="S183">
        <v>748</v>
      </c>
      <c r="T183">
        <v>537</v>
      </c>
      <c r="U183" t="str">
        <f t="shared" si="4"/>
        <v>Expiring Soon</v>
      </c>
      <c r="V183" t="s">
        <v>820</v>
      </c>
      <c r="W183">
        <v>20</v>
      </c>
      <c r="X183" s="3">
        <f t="shared" si="5"/>
        <v>8820</v>
      </c>
      <c r="Y183">
        <v>38</v>
      </c>
      <c r="Z183" t="s">
        <v>30</v>
      </c>
      <c r="AA183" s="3">
        <f>X183-Grocery_Inventory_and_Sales_Dat!N183</f>
        <v>8379</v>
      </c>
    </row>
    <row r="184" spans="1:27" x14ac:dyDescent="0.3">
      <c r="A184" t="s">
        <v>821</v>
      </c>
      <c r="B184" t="s">
        <v>137</v>
      </c>
      <c r="C184" t="s">
        <v>138</v>
      </c>
      <c r="D184" t="s">
        <v>822</v>
      </c>
      <c r="E184" s="13" t="s">
        <v>823</v>
      </c>
      <c r="G184" s="2">
        <v>75</v>
      </c>
      <c r="H184">
        <v>25</v>
      </c>
      <c r="I184">
        <v>99</v>
      </c>
      <c r="J184" t="s">
        <v>55</v>
      </c>
      <c r="K184">
        <v>0</v>
      </c>
      <c r="L184" t="s">
        <v>41</v>
      </c>
      <c r="M184" s="12">
        <v>12</v>
      </c>
      <c r="N184" s="3">
        <f>G184*M184</f>
        <v>900</v>
      </c>
      <c r="O184" s="1">
        <v>45585</v>
      </c>
      <c r="P184" s="1">
        <v>45441</v>
      </c>
      <c r="Q184" s="1">
        <v>45486</v>
      </c>
      <c r="R184">
        <v>494</v>
      </c>
      <c r="S184">
        <v>638</v>
      </c>
      <c r="T184">
        <v>593</v>
      </c>
      <c r="U184" t="str">
        <f t="shared" si="4"/>
        <v>Safe</v>
      </c>
      <c r="V184" t="s">
        <v>824</v>
      </c>
      <c r="W184">
        <v>89</v>
      </c>
      <c r="X184" s="3">
        <f t="shared" si="5"/>
        <v>80100</v>
      </c>
      <c r="Y184">
        <v>42</v>
      </c>
      <c r="Z184" t="s">
        <v>49</v>
      </c>
      <c r="AA184" s="3">
        <f>X184-Grocery_Inventory_and_Sales_Dat!N184</f>
        <v>79200</v>
      </c>
    </row>
    <row r="185" spans="1:27" x14ac:dyDescent="0.3">
      <c r="A185" t="s">
        <v>825</v>
      </c>
      <c r="B185" t="s">
        <v>538</v>
      </c>
      <c r="C185" t="s">
        <v>138</v>
      </c>
      <c r="D185" t="s">
        <v>826</v>
      </c>
      <c r="E185" s="13" t="s">
        <v>827</v>
      </c>
      <c r="G185" s="2">
        <v>56</v>
      </c>
      <c r="H185">
        <v>50</v>
      </c>
      <c r="I185">
        <v>80</v>
      </c>
      <c r="J185" t="s">
        <v>55</v>
      </c>
      <c r="K185">
        <v>0</v>
      </c>
      <c r="L185" t="s">
        <v>41</v>
      </c>
      <c r="M185" s="12">
        <v>8</v>
      </c>
      <c r="N185" s="3">
        <f>G185*M185</f>
        <v>448</v>
      </c>
      <c r="O185" s="1">
        <v>45712</v>
      </c>
      <c r="P185" s="1">
        <v>45629</v>
      </c>
      <c r="Q185" s="1">
        <v>45587</v>
      </c>
      <c r="R185">
        <v>367</v>
      </c>
      <c r="S185">
        <v>450</v>
      </c>
      <c r="T185">
        <v>492</v>
      </c>
      <c r="U185" t="str">
        <f t="shared" si="4"/>
        <v>Expiring Soon</v>
      </c>
      <c r="V185" t="s">
        <v>828</v>
      </c>
      <c r="W185">
        <v>99</v>
      </c>
      <c r="X185" s="3">
        <f t="shared" si="5"/>
        <v>44352</v>
      </c>
      <c r="Y185">
        <v>5</v>
      </c>
      <c r="Z185" t="s">
        <v>30</v>
      </c>
      <c r="AA185" s="3">
        <f>X185-Grocery_Inventory_and_Sales_Dat!N185</f>
        <v>43904</v>
      </c>
    </row>
    <row r="186" spans="1:27" x14ac:dyDescent="0.3">
      <c r="A186" t="s">
        <v>829</v>
      </c>
      <c r="B186" t="s">
        <v>94</v>
      </c>
      <c r="C186" t="s">
        <v>95</v>
      </c>
      <c r="D186" t="s">
        <v>830</v>
      </c>
      <c r="E186" s="13" t="s">
        <v>831</v>
      </c>
      <c r="G186" s="2">
        <v>69</v>
      </c>
      <c r="H186">
        <v>65</v>
      </c>
      <c r="I186">
        <v>91</v>
      </c>
      <c r="J186" t="s">
        <v>55</v>
      </c>
      <c r="K186">
        <v>0</v>
      </c>
      <c r="L186" t="s">
        <v>41</v>
      </c>
      <c r="M186" s="12">
        <v>3</v>
      </c>
      <c r="N186" s="3">
        <f>G186*M186</f>
        <v>207</v>
      </c>
      <c r="O186" s="1">
        <v>45419</v>
      </c>
      <c r="P186" s="1">
        <v>45499</v>
      </c>
      <c r="Q186" s="1">
        <v>45390</v>
      </c>
      <c r="R186">
        <v>660</v>
      </c>
      <c r="S186">
        <v>580</v>
      </c>
      <c r="T186">
        <v>689</v>
      </c>
      <c r="U186" t="str">
        <f t="shared" si="4"/>
        <v>Safe</v>
      </c>
      <c r="V186" t="s">
        <v>832</v>
      </c>
      <c r="W186">
        <v>98</v>
      </c>
      <c r="X186" s="3">
        <f t="shared" si="5"/>
        <v>20286</v>
      </c>
      <c r="Y186">
        <v>50</v>
      </c>
      <c r="Z186" t="s">
        <v>43</v>
      </c>
      <c r="AA186" s="3">
        <f>X186-Grocery_Inventory_and_Sales_Dat!N186</f>
        <v>20079</v>
      </c>
    </row>
    <row r="187" spans="1:27" x14ac:dyDescent="0.3">
      <c r="A187" t="s">
        <v>833</v>
      </c>
      <c r="B187" t="s">
        <v>834</v>
      </c>
      <c r="C187" t="s">
        <v>24</v>
      </c>
      <c r="D187" t="s">
        <v>835</v>
      </c>
      <c r="E187" s="13" t="s">
        <v>836</v>
      </c>
      <c r="G187" s="2">
        <v>56</v>
      </c>
      <c r="H187">
        <v>53</v>
      </c>
      <c r="I187">
        <v>77</v>
      </c>
      <c r="J187" t="s">
        <v>55</v>
      </c>
      <c r="K187">
        <v>0</v>
      </c>
      <c r="L187" t="s">
        <v>41</v>
      </c>
      <c r="M187" s="12">
        <v>4.5</v>
      </c>
      <c r="N187" s="3">
        <f>G187*M187</f>
        <v>252</v>
      </c>
      <c r="O187" s="1">
        <v>45633</v>
      </c>
      <c r="P187" s="1">
        <v>45497</v>
      </c>
      <c r="Q187" s="1">
        <v>45685</v>
      </c>
      <c r="R187">
        <v>446</v>
      </c>
      <c r="S187">
        <v>582</v>
      </c>
      <c r="T187">
        <v>394</v>
      </c>
      <c r="U187" t="str">
        <f t="shared" si="4"/>
        <v>Expiring Soon</v>
      </c>
      <c r="V187" t="s">
        <v>837</v>
      </c>
      <c r="W187">
        <v>69</v>
      </c>
      <c r="X187" s="3">
        <f t="shared" si="5"/>
        <v>17388</v>
      </c>
      <c r="Y187">
        <v>69</v>
      </c>
      <c r="Z187" t="s">
        <v>49</v>
      </c>
      <c r="AA187" s="3">
        <f>X187-Grocery_Inventory_and_Sales_Dat!N187</f>
        <v>17136</v>
      </c>
    </row>
    <row r="188" spans="1:27" x14ac:dyDescent="0.3">
      <c r="A188" t="s">
        <v>838</v>
      </c>
      <c r="B188" t="s">
        <v>89</v>
      </c>
      <c r="C188" t="s">
        <v>24</v>
      </c>
      <c r="D188" t="s">
        <v>839</v>
      </c>
      <c r="E188" s="13" t="s">
        <v>352</v>
      </c>
      <c r="G188" s="2">
        <v>24</v>
      </c>
      <c r="H188">
        <v>69</v>
      </c>
      <c r="I188">
        <v>2</v>
      </c>
      <c r="J188" t="s">
        <v>27</v>
      </c>
      <c r="K188">
        <v>69</v>
      </c>
      <c r="L188" t="s">
        <v>28</v>
      </c>
      <c r="M188" s="12">
        <v>2</v>
      </c>
      <c r="N188" s="3">
        <f>G188*M188</f>
        <v>48</v>
      </c>
      <c r="O188" s="1">
        <v>45422</v>
      </c>
      <c r="P188" s="1">
        <v>45395</v>
      </c>
      <c r="Q188" s="1">
        <v>45649</v>
      </c>
      <c r="R188">
        <v>657</v>
      </c>
      <c r="S188">
        <v>684</v>
      </c>
      <c r="T188">
        <v>430</v>
      </c>
      <c r="U188" t="str">
        <f t="shared" si="4"/>
        <v>Expiring Soon</v>
      </c>
      <c r="V188" t="s">
        <v>840</v>
      </c>
      <c r="W188">
        <v>20</v>
      </c>
      <c r="X188" s="3">
        <f t="shared" si="5"/>
        <v>960</v>
      </c>
      <c r="Y188">
        <v>20</v>
      </c>
      <c r="Z188" t="s">
        <v>43</v>
      </c>
      <c r="AA188" s="3">
        <f>X188-Grocery_Inventory_and_Sales_Dat!N188</f>
        <v>912</v>
      </c>
    </row>
    <row r="189" spans="1:27" x14ac:dyDescent="0.3">
      <c r="A189" t="s">
        <v>841</v>
      </c>
      <c r="B189" t="s">
        <v>271</v>
      </c>
      <c r="C189" t="s">
        <v>95</v>
      </c>
      <c r="D189" t="s">
        <v>842</v>
      </c>
      <c r="E189" s="13" t="s">
        <v>77</v>
      </c>
      <c r="G189" s="2">
        <v>30</v>
      </c>
      <c r="H189">
        <v>85</v>
      </c>
      <c r="I189">
        <v>21</v>
      </c>
      <c r="J189" t="s">
        <v>27</v>
      </c>
      <c r="K189">
        <v>85</v>
      </c>
      <c r="L189" t="s">
        <v>28</v>
      </c>
      <c r="M189" s="12">
        <v>4.5</v>
      </c>
      <c r="N189" s="3">
        <f>G189*M189</f>
        <v>135</v>
      </c>
      <c r="O189" s="1">
        <v>45645</v>
      </c>
      <c r="P189" s="1">
        <v>45559</v>
      </c>
      <c r="Q189" s="1">
        <v>45616</v>
      </c>
      <c r="R189">
        <v>434</v>
      </c>
      <c r="S189">
        <v>520</v>
      </c>
      <c r="T189">
        <v>463</v>
      </c>
      <c r="U189" t="str">
        <f t="shared" si="4"/>
        <v>Expiring Soon</v>
      </c>
      <c r="V189" t="s">
        <v>843</v>
      </c>
      <c r="W189">
        <v>32</v>
      </c>
      <c r="X189" s="3">
        <f t="shared" si="5"/>
        <v>4320</v>
      </c>
      <c r="Y189">
        <v>83</v>
      </c>
      <c r="Z189" t="s">
        <v>30</v>
      </c>
      <c r="AA189" s="3">
        <f>X189-Grocery_Inventory_and_Sales_Dat!N189</f>
        <v>4185</v>
      </c>
    </row>
    <row r="190" spans="1:27" x14ac:dyDescent="0.3">
      <c r="A190" t="s">
        <v>844</v>
      </c>
      <c r="B190" t="s">
        <v>342</v>
      </c>
      <c r="C190" t="s">
        <v>33</v>
      </c>
      <c r="D190" t="s">
        <v>845</v>
      </c>
      <c r="E190" s="13" t="s">
        <v>846</v>
      </c>
      <c r="G190" s="2">
        <v>36</v>
      </c>
      <c r="H190">
        <v>90</v>
      </c>
      <c r="I190">
        <v>57</v>
      </c>
      <c r="J190" t="s">
        <v>27</v>
      </c>
      <c r="K190">
        <v>90</v>
      </c>
      <c r="L190" t="s">
        <v>28</v>
      </c>
      <c r="M190" s="12">
        <v>25</v>
      </c>
      <c r="N190" s="3">
        <f>G190*M190</f>
        <v>900</v>
      </c>
      <c r="O190" s="1">
        <v>45608</v>
      </c>
      <c r="P190" s="1">
        <v>45481</v>
      </c>
      <c r="Q190" s="1">
        <v>45430</v>
      </c>
      <c r="R190">
        <v>471</v>
      </c>
      <c r="S190">
        <v>598</v>
      </c>
      <c r="T190">
        <v>649</v>
      </c>
      <c r="U190" t="str">
        <f t="shared" si="4"/>
        <v>Safe</v>
      </c>
      <c r="V190" t="s">
        <v>847</v>
      </c>
      <c r="W190">
        <v>35</v>
      </c>
      <c r="X190" s="3">
        <f t="shared" si="5"/>
        <v>31500</v>
      </c>
      <c r="Y190">
        <v>68</v>
      </c>
      <c r="Z190" t="s">
        <v>43</v>
      </c>
      <c r="AA190" s="3">
        <f>X190-Grocery_Inventory_and_Sales_Dat!N190</f>
        <v>30600</v>
      </c>
    </row>
    <row r="191" spans="1:27" x14ac:dyDescent="0.3">
      <c r="A191" t="s">
        <v>848</v>
      </c>
      <c r="B191" t="s">
        <v>288</v>
      </c>
      <c r="C191" t="s">
        <v>95</v>
      </c>
      <c r="D191" t="s">
        <v>849</v>
      </c>
      <c r="E191" s="13" t="s">
        <v>850</v>
      </c>
      <c r="G191" s="2">
        <v>93</v>
      </c>
      <c r="H191">
        <v>76</v>
      </c>
      <c r="I191">
        <v>82</v>
      </c>
      <c r="J191" t="s">
        <v>55</v>
      </c>
      <c r="K191">
        <v>0</v>
      </c>
      <c r="L191" t="s">
        <v>41</v>
      </c>
      <c r="M191" s="12">
        <v>2.5</v>
      </c>
      <c r="N191" s="3">
        <f>G191*M191</f>
        <v>232.5</v>
      </c>
      <c r="O191" s="1">
        <v>45437</v>
      </c>
      <c r="P191" s="1">
        <v>45501</v>
      </c>
      <c r="Q191" s="1">
        <v>45676</v>
      </c>
      <c r="R191">
        <v>642</v>
      </c>
      <c r="S191">
        <v>578</v>
      </c>
      <c r="T191">
        <v>403</v>
      </c>
      <c r="U191" t="str">
        <f t="shared" si="4"/>
        <v>Expiring Soon</v>
      </c>
      <c r="V191" t="s">
        <v>851</v>
      </c>
      <c r="W191">
        <v>76</v>
      </c>
      <c r="X191" s="3">
        <f t="shared" si="5"/>
        <v>17670</v>
      </c>
      <c r="Y191">
        <v>51</v>
      </c>
      <c r="Z191" t="s">
        <v>43</v>
      </c>
      <c r="AA191" s="3">
        <f>X191-Grocery_Inventory_and_Sales_Dat!N191</f>
        <v>17437.5</v>
      </c>
    </row>
    <row r="192" spans="1:27" x14ac:dyDescent="0.3">
      <c r="A192" t="s">
        <v>852</v>
      </c>
      <c r="B192" t="s">
        <v>350</v>
      </c>
      <c r="C192" t="s">
        <v>70</v>
      </c>
      <c r="D192" t="s">
        <v>853</v>
      </c>
      <c r="E192" s="13" t="s">
        <v>854</v>
      </c>
      <c r="G192" s="2">
        <v>96</v>
      </c>
      <c r="H192">
        <v>38</v>
      </c>
      <c r="I192">
        <v>17</v>
      </c>
      <c r="J192" t="s">
        <v>55</v>
      </c>
      <c r="K192">
        <v>0</v>
      </c>
      <c r="L192" t="s">
        <v>41</v>
      </c>
      <c r="M192" s="12">
        <v>7</v>
      </c>
      <c r="N192" s="3">
        <f>G192*M192</f>
        <v>672</v>
      </c>
      <c r="O192" s="1">
        <v>45401</v>
      </c>
      <c r="P192" s="1">
        <v>45301</v>
      </c>
      <c r="Q192" s="1">
        <v>45607</v>
      </c>
      <c r="R192">
        <v>678</v>
      </c>
      <c r="S192">
        <v>778</v>
      </c>
      <c r="T192">
        <v>472</v>
      </c>
      <c r="U192" t="str">
        <f t="shared" si="4"/>
        <v>Expiring Soon</v>
      </c>
      <c r="V192" t="s">
        <v>855</v>
      </c>
      <c r="W192">
        <v>72</v>
      </c>
      <c r="X192" s="3">
        <f t="shared" si="5"/>
        <v>48384</v>
      </c>
      <c r="Y192">
        <v>84</v>
      </c>
      <c r="Z192" t="s">
        <v>49</v>
      </c>
      <c r="AA192" s="3">
        <f>X192-Grocery_Inventory_and_Sales_Dat!N192</f>
        <v>47712</v>
      </c>
    </row>
    <row r="193" spans="1:27" x14ac:dyDescent="0.3">
      <c r="A193" t="s">
        <v>856</v>
      </c>
      <c r="B193" t="s">
        <v>441</v>
      </c>
      <c r="C193" t="s">
        <v>64</v>
      </c>
      <c r="D193" t="s">
        <v>857</v>
      </c>
      <c r="E193" s="13" t="s">
        <v>615</v>
      </c>
      <c r="G193" s="2">
        <v>60</v>
      </c>
      <c r="H193">
        <v>88</v>
      </c>
      <c r="I193">
        <v>65</v>
      </c>
      <c r="J193" t="s">
        <v>27</v>
      </c>
      <c r="K193">
        <v>88</v>
      </c>
      <c r="L193" t="s">
        <v>28</v>
      </c>
      <c r="M193" s="12">
        <v>4</v>
      </c>
      <c r="N193" s="3">
        <f>G193*M193</f>
        <v>240</v>
      </c>
      <c r="O193" s="1">
        <v>45533</v>
      </c>
      <c r="P193" s="1">
        <v>45673</v>
      </c>
      <c r="Q193" s="1">
        <v>45458</v>
      </c>
      <c r="R193">
        <v>546</v>
      </c>
      <c r="S193">
        <v>406</v>
      </c>
      <c r="T193">
        <v>621</v>
      </c>
      <c r="U193" t="str">
        <f t="shared" si="4"/>
        <v>Safe</v>
      </c>
      <c r="V193" t="s">
        <v>858</v>
      </c>
      <c r="W193">
        <v>94</v>
      </c>
      <c r="X193" s="3">
        <f t="shared" si="5"/>
        <v>22560</v>
      </c>
      <c r="Y193">
        <v>15</v>
      </c>
      <c r="Z193" t="s">
        <v>49</v>
      </c>
      <c r="AA193" s="3">
        <f>X193-Grocery_Inventory_and_Sales_Dat!N193</f>
        <v>22320</v>
      </c>
    </row>
    <row r="194" spans="1:27" x14ac:dyDescent="0.3">
      <c r="A194" t="s">
        <v>859</v>
      </c>
      <c r="B194" t="s">
        <v>618</v>
      </c>
      <c r="C194" t="s">
        <v>70</v>
      </c>
      <c r="D194" t="s">
        <v>860</v>
      </c>
      <c r="E194" s="13" t="s">
        <v>668</v>
      </c>
      <c r="G194" s="2">
        <v>97</v>
      </c>
      <c r="H194">
        <v>77</v>
      </c>
      <c r="I194">
        <v>13</v>
      </c>
      <c r="J194" t="s">
        <v>55</v>
      </c>
      <c r="K194">
        <v>0</v>
      </c>
      <c r="L194" t="s">
        <v>41</v>
      </c>
      <c r="M194" s="12">
        <v>7</v>
      </c>
      <c r="N194" s="3">
        <f>G194*M194</f>
        <v>679</v>
      </c>
      <c r="O194" s="1">
        <v>45607</v>
      </c>
      <c r="P194" s="1">
        <v>45550</v>
      </c>
      <c r="Q194" s="1">
        <v>45475</v>
      </c>
      <c r="R194">
        <v>472</v>
      </c>
      <c r="S194">
        <v>529</v>
      </c>
      <c r="T194">
        <v>604</v>
      </c>
      <c r="U194" t="str">
        <f t="shared" si="4"/>
        <v>Safe</v>
      </c>
      <c r="V194" t="s">
        <v>861</v>
      </c>
      <c r="W194">
        <v>43</v>
      </c>
      <c r="X194" s="3">
        <f t="shared" si="5"/>
        <v>29197</v>
      </c>
      <c r="Y194">
        <v>40</v>
      </c>
      <c r="Z194" t="s">
        <v>43</v>
      </c>
      <c r="AA194" s="3">
        <f>X194-Grocery_Inventory_and_Sales_Dat!N194</f>
        <v>28518</v>
      </c>
    </row>
    <row r="195" spans="1:27" x14ac:dyDescent="0.3">
      <c r="A195" t="s">
        <v>862</v>
      </c>
      <c r="B195" t="s">
        <v>451</v>
      </c>
      <c r="C195" t="s">
        <v>95</v>
      </c>
      <c r="D195" t="s">
        <v>863</v>
      </c>
      <c r="E195" s="13" t="s">
        <v>864</v>
      </c>
      <c r="G195" s="2">
        <v>11</v>
      </c>
      <c r="H195">
        <v>6</v>
      </c>
      <c r="I195">
        <v>100</v>
      </c>
      <c r="J195" t="s">
        <v>55</v>
      </c>
      <c r="K195">
        <v>0</v>
      </c>
      <c r="L195" t="s">
        <v>41</v>
      </c>
      <c r="M195" s="12">
        <v>5</v>
      </c>
      <c r="N195" s="3">
        <f>G195*M195</f>
        <v>55</v>
      </c>
      <c r="O195" s="1">
        <v>45415</v>
      </c>
      <c r="P195" s="1">
        <v>45551</v>
      </c>
      <c r="Q195" s="1">
        <v>45347</v>
      </c>
      <c r="R195">
        <v>664</v>
      </c>
      <c r="S195">
        <v>528</v>
      </c>
      <c r="T195">
        <v>732</v>
      </c>
      <c r="U195" t="str">
        <f t="shared" ref="U195:U258" si="6">IF(T195&lt;0,"Expired",IF(T195&lt;=550,"Expiring Soon","Safe"))</f>
        <v>Safe</v>
      </c>
      <c r="V195" t="s">
        <v>865</v>
      </c>
      <c r="W195">
        <v>88</v>
      </c>
      <c r="X195" s="3">
        <f t="shared" ref="X195:X258" si="7">W195*N195</f>
        <v>4840</v>
      </c>
      <c r="Y195">
        <v>24</v>
      </c>
      <c r="Z195" t="s">
        <v>30</v>
      </c>
      <c r="AA195" s="3">
        <f>X195-Grocery_Inventory_and_Sales_Dat!N195</f>
        <v>4785</v>
      </c>
    </row>
    <row r="196" spans="1:27" x14ac:dyDescent="0.3">
      <c r="A196" t="s">
        <v>866</v>
      </c>
      <c r="B196" t="s">
        <v>551</v>
      </c>
      <c r="C196" t="s">
        <v>52</v>
      </c>
      <c r="D196" t="s">
        <v>867</v>
      </c>
      <c r="E196" s="13" t="s">
        <v>194</v>
      </c>
      <c r="G196" s="2">
        <v>14</v>
      </c>
      <c r="H196">
        <v>66</v>
      </c>
      <c r="I196">
        <v>1</v>
      </c>
      <c r="J196" t="s">
        <v>27</v>
      </c>
      <c r="K196">
        <v>66</v>
      </c>
      <c r="L196" t="s">
        <v>28</v>
      </c>
      <c r="M196" s="12">
        <v>6</v>
      </c>
      <c r="N196" s="3">
        <f>G196*M196</f>
        <v>84</v>
      </c>
      <c r="O196" s="1">
        <v>45517</v>
      </c>
      <c r="P196" s="1">
        <v>45639</v>
      </c>
      <c r="Q196" s="1">
        <v>45349</v>
      </c>
      <c r="R196">
        <v>562</v>
      </c>
      <c r="S196">
        <v>440</v>
      </c>
      <c r="T196">
        <v>730</v>
      </c>
      <c r="U196" t="str">
        <f t="shared" si="6"/>
        <v>Safe</v>
      </c>
      <c r="V196" t="s">
        <v>868</v>
      </c>
      <c r="W196">
        <v>86</v>
      </c>
      <c r="X196" s="3">
        <f t="shared" si="7"/>
        <v>7224</v>
      </c>
      <c r="Y196">
        <v>15</v>
      </c>
      <c r="Z196" t="s">
        <v>43</v>
      </c>
      <c r="AA196" s="3">
        <f>X196-Grocery_Inventory_and_Sales_Dat!N196</f>
        <v>7140</v>
      </c>
    </row>
    <row r="197" spans="1:27" x14ac:dyDescent="0.3">
      <c r="A197" t="s">
        <v>869</v>
      </c>
      <c r="B197" t="s">
        <v>870</v>
      </c>
      <c r="C197" t="s">
        <v>64</v>
      </c>
      <c r="D197" t="s">
        <v>871</v>
      </c>
      <c r="E197" s="13" t="s">
        <v>699</v>
      </c>
      <c r="G197" s="2">
        <v>88</v>
      </c>
      <c r="H197">
        <v>100</v>
      </c>
      <c r="I197">
        <v>17</v>
      </c>
      <c r="J197" t="s">
        <v>27</v>
      </c>
      <c r="K197">
        <v>100</v>
      </c>
      <c r="L197" t="s">
        <v>28</v>
      </c>
      <c r="M197" s="12">
        <v>2.5</v>
      </c>
      <c r="N197" s="3">
        <f>G197*M197</f>
        <v>220</v>
      </c>
      <c r="O197" s="1">
        <v>45608</v>
      </c>
      <c r="P197" s="1">
        <v>45593</v>
      </c>
      <c r="Q197" s="1">
        <v>45635</v>
      </c>
      <c r="R197">
        <v>471</v>
      </c>
      <c r="S197">
        <v>486</v>
      </c>
      <c r="T197">
        <v>444</v>
      </c>
      <c r="U197" t="str">
        <f t="shared" si="6"/>
        <v>Expiring Soon</v>
      </c>
      <c r="V197" t="s">
        <v>872</v>
      </c>
      <c r="W197">
        <v>25</v>
      </c>
      <c r="X197" s="3">
        <f t="shared" si="7"/>
        <v>5500</v>
      </c>
      <c r="Y197">
        <v>28</v>
      </c>
      <c r="Z197" t="s">
        <v>30</v>
      </c>
      <c r="AA197" s="3">
        <f>X197-Grocery_Inventory_and_Sales_Dat!N197</f>
        <v>5280</v>
      </c>
    </row>
    <row r="198" spans="1:27" x14ac:dyDescent="0.3">
      <c r="A198" t="s">
        <v>873</v>
      </c>
      <c r="B198" t="s">
        <v>473</v>
      </c>
      <c r="C198" t="s">
        <v>24</v>
      </c>
      <c r="D198" t="s">
        <v>874</v>
      </c>
      <c r="E198" s="13" t="s">
        <v>140</v>
      </c>
      <c r="G198" s="2">
        <v>24</v>
      </c>
      <c r="H198">
        <v>15</v>
      </c>
      <c r="I198">
        <v>6</v>
      </c>
      <c r="J198" t="s">
        <v>55</v>
      </c>
      <c r="K198">
        <v>0</v>
      </c>
      <c r="L198" t="s">
        <v>41</v>
      </c>
      <c r="M198" s="12">
        <v>4.75</v>
      </c>
      <c r="N198" s="3">
        <f>G198*M198</f>
        <v>114</v>
      </c>
      <c r="O198" s="1">
        <v>45710</v>
      </c>
      <c r="P198" s="1">
        <v>45459</v>
      </c>
      <c r="Q198" s="1">
        <v>45419</v>
      </c>
      <c r="R198">
        <v>369</v>
      </c>
      <c r="S198">
        <v>620</v>
      </c>
      <c r="T198">
        <v>660</v>
      </c>
      <c r="U198" t="str">
        <f t="shared" si="6"/>
        <v>Safe</v>
      </c>
      <c r="V198" t="s">
        <v>875</v>
      </c>
      <c r="W198">
        <v>35</v>
      </c>
      <c r="X198" s="3">
        <f t="shared" si="7"/>
        <v>3990</v>
      </c>
      <c r="Y198">
        <v>4</v>
      </c>
      <c r="Z198" t="s">
        <v>30</v>
      </c>
      <c r="AA198" s="3">
        <f>X198-Grocery_Inventory_and_Sales_Dat!N198</f>
        <v>3876</v>
      </c>
    </row>
    <row r="199" spans="1:27" x14ac:dyDescent="0.3">
      <c r="A199" t="s">
        <v>876</v>
      </c>
      <c r="B199" t="s">
        <v>202</v>
      </c>
      <c r="C199" t="s">
        <v>138</v>
      </c>
      <c r="D199" t="s">
        <v>877</v>
      </c>
      <c r="E199" s="13" t="s">
        <v>878</v>
      </c>
      <c r="G199" s="2">
        <v>93</v>
      </c>
      <c r="H199">
        <v>62</v>
      </c>
      <c r="I199">
        <v>65</v>
      </c>
      <c r="J199" t="s">
        <v>55</v>
      </c>
      <c r="K199">
        <v>0</v>
      </c>
      <c r="L199" t="s">
        <v>41</v>
      </c>
      <c r="M199" s="12">
        <v>9</v>
      </c>
      <c r="N199" s="3">
        <f>G199*M199</f>
        <v>837</v>
      </c>
      <c r="O199" s="1">
        <v>45541</v>
      </c>
      <c r="P199" s="1">
        <v>45465</v>
      </c>
      <c r="Q199" s="1">
        <v>45399</v>
      </c>
      <c r="R199">
        <v>538</v>
      </c>
      <c r="S199">
        <v>614</v>
      </c>
      <c r="T199">
        <v>680</v>
      </c>
      <c r="U199" t="str">
        <f t="shared" si="6"/>
        <v>Safe</v>
      </c>
      <c r="V199" t="s">
        <v>879</v>
      </c>
      <c r="W199">
        <v>78</v>
      </c>
      <c r="X199" s="3">
        <f t="shared" si="7"/>
        <v>65286</v>
      </c>
      <c r="Y199">
        <v>87</v>
      </c>
      <c r="Z199" t="s">
        <v>49</v>
      </c>
      <c r="AA199" s="3">
        <f>X199-Grocery_Inventory_and_Sales_Dat!N199</f>
        <v>64449</v>
      </c>
    </row>
    <row r="200" spans="1:27" x14ac:dyDescent="0.3">
      <c r="A200" t="s">
        <v>880</v>
      </c>
      <c r="B200" t="s">
        <v>38</v>
      </c>
      <c r="C200" t="s">
        <v>24</v>
      </c>
      <c r="D200" t="s">
        <v>881</v>
      </c>
      <c r="E200" s="13" t="s">
        <v>121</v>
      </c>
      <c r="G200" s="2">
        <v>68</v>
      </c>
      <c r="H200">
        <v>68</v>
      </c>
      <c r="I200">
        <v>97</v>
      </c>
      <c r="J200" t="s">
        <v>27</v>
      </c>
      <c r="K200">
        <v>68</v>
      </c>
      <c r="L200" t="s">
        <v>28</v>
      </c>
      <c r="M200" s="12">
        <v>6</v>
      </c>
      <c r="N200" s="3">
        <f>G200*M200</f>
        <v>408</v>
      </c>
      <c r="O200" s="1">
        <v>45511</v>
      </c>
      <c r="P200" s="1">
        <v>45488</v>
      </c>
      <c r="Q200" s="1">
        <v>45466</v>
      </c>
      <c r="R200">
        <v>568</v>
      </c>
      <c r="S200">
        <v>591</v>
      </c>
      <c r="T200">
        <v>613</v>
      </c>
      <c r="U200" t="str">
        <f t="shared" si="6"/>
        <v>Safe</v>
      </c>
      <c r="V200" t="s">
        <v>882</v>
      </c>
      <c r="W200">
        <v>37</v>
      </c>
      <c r="X200" s="3">
        <f t="shared" si="7"/>
        <v>15096</v>
      </c>
      <c r="Y200">
        <v>31</v>
      </c>
      <c r="Z200" t="s">
        <v>30</v>
      </c>
      <c r="AA200" s="3">
        <f>X200-Grocery_Inventory_and_Sales_Dat!N200</f>
        <v>14688</v>
      </c>
    </row>
    <row r="201" spans="1:27" x14ac:dyDescent="0.3">
      <c r="A201" t="s">
        <v>883</v>
      </c>
      <c r="B201" t="s">
        <v>94</v>
      </c>
      <c r="C201" t="s">
        <v>95</v>
      </c>
      <c r="D201" t="s">
        <v>884</v>
      </c>
      <c r="E201" s="13" t="s">
        <v>803</v>
      </c>
      <c r="G201" s="2">
        <v>28</v>
      </c>
      <c r="H201">
        <v>94</v>
      </c>
      <c r="I201">
        <v>80</v>
      </c>
      <c r="J201" t="s">
        <v>27</v>
      </c>
      <c r="K201">
        <v>94</v>
      </c>
      <c r="L201" t="s">
        <v>28</v>
      </c>
      <c r="M201" s="12">
        <v>2.8</v>
      </c>
      <c r="N201" s="3">
        <f>G201*M201</f>
        <v>78.399999999999991</v>
      </c>
      <c r="O201" s="1">
        <v>45435</v>
      </c>
      <c r="P201" s="1">
        <v>45680</v>
      </c>
      <c r="Q201" s="1">
        <v>45462</v>
      </c>
      <c r="R201">
        <v>644</v>
      </c>
      <c r="S201">
        <v>399</v>
      </c>
      <c r="T201">
        <v>617</v>
      </c>
      <c r="U201" t="str">
        <f t="shared" si="6"/>
        <v>Safe</v>
      </c>
      <c r="V201" t="s">
        <v>885</v>
      </c>
      <c r="W201">
        <v>31</v>
      </c>
      <c r="X201" s="3">
        <f t="shared" si="7"/>
        <v>2430.3999999999996</v>
      </c>
      <c r="Y201">
        <v>1</v>
      </c>
      <c r="Z201" t="s">
        <v>43</v>
      </c>
      <c r="AA201" s="3">
        <f>X201-Grocery_Inventory_and_Sales_Dat!N201</f>
        <v>2351.9999999999995</v>
      </c>
    </row>
    <row r="202" spans="1:27" x14ac:dyDescent="0.3">
      <c r="A202" t="s">
        <v>886</v>
      </c>
      <c r="B202" t="s">
        <v>887</v>
      </c>
      <c r="C202" t="s">
        <v>52</v>
      </c>
      <c r="D202" t="s">
        <v>888</v>
      </c>
      <c r="E202" s="13" t="s">
        <v>40</v>
      </c>
      <c r="G202" s="2">
        <v>21</v>
      </c>
      <c r="H202">
        <v>30</v>
      </c>
      <c r="I202">
        <v>32</v>
      </c>
      <c r="J202" t="s">
        <v>27</v>
      </c>
      <c r="K202">
        <v>30</v>
      </c>
      <c r="L202" t="s">
        <v>41</v>
      </c>
      <c r="M202" s="12">
        <v>2</v>
      </c>
      <c r="N202" s="3">
        <f>G202*M202</f>
        <v>42</v>
      </c>
      <c r="O202" s="1">
        <v>45679</v>
      </c>
      <c r="P202" s="1">
        <v>45840</v>
      </c>
      <c r="Q202" s="1">
        <v>45361</v>
      </c>
      <c r="R202">
        <v>400</v>
      </c>
      <c r="S202">
        <v>239</v>
      </c>
      <c r="T202">
        <v>718</v>
      </c>
      <c r="U202" t="str">
        <f t="shared" si="6"/>
        <v>Safe</v>
      </c>
      <c r="V202" t="s">
        <v>889</v>
      </c>
      <c r="W202">
        <v>43</v>
      </c>
      <c r="X202" s="3">
        <f t="shared" si="7"/>
        <v>1806</v>
      </c>
      <c r="Y202">
        <v>54</v>
      </c>
      <c r="Z202" t="s">
        <v>43</v>
      </c>
      <c r="AA202" s="3">
        <f>X202-Grocery_Inventory_and_Sales_Dat!N202</f>
        <v>1764</v>
      </c>
    </row>
    <row r="203" spans="1:27" x14ac:dyDescent="0.3">
      <c r="A203" t="s">
        <v>890</v>
      </c>
      <c r="B203" t="s">
        <v>551</v>
      </c>
      <c r="C203" t="s">
        <v>52</v>
      </c>
      <c r="D203" t="s">
        <v>891</v>
      </c>
      <c r="E203" s="13" t="s">
        <v>458</v>
      </c>
      <c r="G203" s="2">
        <v>92</v>
      </c>
      <c r="H203">
        <v>96</v>
      </c>
      <c r="I203">
        <v>56</v>
      </c>
      <c r="J203" t="s">
        <v>27</v>
      </c>
      <c r="K203">
        <v>96</v>
      </c>
      <c r="L203" t="s">
        <v>28</v>
      </c>
      <c r="M203" s="12">
        <v>6</v>
      </c>
      <c r="N203" s="3">
        <f>G203*M203</f>
        <v>552</v>
      </c>
      <c r="O203" s="1">
        <v>45614</v>
      </c>
      <c r="P203" s="1">
        <v>45468</v>
      </c>
      <c r="Q203" s="1">
        <v>45493</v>
      </c>
      <c r="R203">
        <v>465</v>
      </c>
      <c r="S203">
        <v>611</v>
      </c>
      <c r="T203">
        <v>586</v>
      </c>
      <c r="U203" t="str">
        <f t="shared" si="6"/>
        <v>Safe</v>
      </c>
      <c r="V203" t="s">
        <v>892</v>
      </c>
      <c r="W203">
        <v>32</v>
      </c>
      <c r="X203" s="3">
        <f t="shared" si="7"/>
        <v>17664</v>
      </c>
      <c r="Y203">
        <v>22</v>
      </c>
      <c r="Z203" t="s">
        <v>30</v>
      </c>
      <c r="AA203" s="3">
        <f>X203-Grocery_Inventory_and_Sales_Dat!N203</f>
        <v>17112</v>
      </c>
    </row>
    <row r="204" spans="1:27" x14ac:dyDescent="0.3">
      <c r="A204" t="s">
        <v>893</v>
      </c>
      <c r="B204" t="s">
        <v>781</v>
      </c>
      <c r="C204" t="s">
        <v>33</v>
      </c>
      <c r="D204" t="s">
        <v>894</v>
      </c>
      <c r="E204" s="13" t="s">
        <v>895</v>
      </c>
      <c r="G204" s="2">
        <v>68</v>
      </c>
      <c r="H204">
        <v>12</v>
      </c>
      <c r="I204">
        <v>42</v>
      </c>
      <c r="J204" t="s">
        <v>55</v>
      </c>
      <c r="K204">
        <v>0</v>
      </c>
      <c r="L204" t="s">
        <v>41</v>
      </c>
      <c r="M204" s="12">
        <v>10</v>
      </c>
      <c r="N204" s="3">
        <f>G204*M204</f>
        <v>680</v>
      </c>
      <c r="O204" s="1">
        <v>45424</v>
      </c>
      <c r="P204" s="1">
        <v>45709</v>
      </c>
      <c r="Q204" s="1">
        <v>45648</v>
      </c>
      <c r="R204">
        <v>655</v>
      </c>
      <c r="S204">
        <v>370</v>
      </c>
      <c r="T204">
        <v>431</v>
      </c>
      <c r="U204" t="str">
        <f t="shared" si="6"/>
        <v>Expiring Soon</v>
      </c>
      <c r="V204" t="s">
        <v>896</v>
      </c>
      <c r="W204">
        <v>39</v>
      </c>
      <c r="X204" s="3">
        <f t="shared" si="7"/>
        <v>26520</v>
      </c>
      <c r="Y204">
        <v>6</v>
      </c>
      <c r="Z204" t="s">
        <v>43</v>
      </c>
      <c r="AA204" s="3">
        <f>X204-Grocery_Inventory_and_Sales_Dat!N204</f>
        <v>25840</v>
      </c>
    </row>
    <row r="205" spans="1:27" x14ac:dyDescent="0.3">
      <c r="A205" t="s">
        <v>897</v>
      </c>
      <c r="B205" t="s">
        <v>249</v>
      </c>
      <c r="C205" t="s">
        <v>95</v>
      </c>
      <c r="D205" t="s">
        <v>898</v>
      </c>
      <c r="E205" s="13" t="s">
        <v>899</v>
      </c>
      <c r="G205" s="2">
        <v>46</v>
      </c>
      <c r="H205">
        <v>43</v>
      </c>
      <c r="I205">
        <v>46</v>
      </c>
      <c r="J205" t="s">
        <v>55</v>
      </c>
      <c r="K205">
        <v>0</v>
      </c>
      <c r="L205" t="s">
        <v>41</v>
      </c>
      <c r="M205" s="12">
        <v>3.5</v>
      </c>
      <c r="N205" s="3">
        <f>G205*M205</f>
        <v>161</v>
      </c>
      <c r="O205" s="1">
        <v>45931</v>
      </c>
      <c r="P205" s="1">
        <v>45422</v>
      </c>
      <c r="Q205" s="1">
        <v>45552</v>
      </c>
      <c r="R205">
        <v>148</v>
      </c>
      <c r="S205">
        <v>657</v>
      </c>
      <c r="T205">
        <v>527</v>
      </c>
      <c r="U205" t="str">
        <f t="shared" si="6"/>
        <v>Expiring Soon</v>
      </c>
      <c r="V205" t="s">
        <v>900</v>
      </c>
      <c r="W205">
        <v>68</v>
      </c>
      <c r="X205" s="3">
        <f t="shared" si="7"/>
        <v>10948</v>
      </c>
      <c r="Y205">
        <v>59</v>
      </c>
      <c r="Z205" t="s">
        <v>43</v>
      </c>
      <c r="AA205" s="3">
        <f>X205-Grocery_Inventory_and_Sales_Dat!N205</f>
        <v>10787</v>
      </c>
    </row>
    <row r="206" spans="1:27" x14ac:dyDescent="0.3">
      <c r="A206" t="s">
        <v>901</v>
      </c>
      <c r="B206" t="s">
        <v>182</v>
      </c>
      <c r="C206" t="s">
        <v>52</v>
      </c>
      <c r="D206" t="s">
        <v>902</v>
      </c>
      <c r="E206" s="13" t="s">
        <v>903</v>
      </c>
      <c r="G206" s="2">
        <v>47</v>
      </c>
      <c r="H206">
        <v>20</v>
      </c>
      <c r="I206">
        <v>65</v>
      </c>
      <c r="J206" t="s">
        <v>55</v>
      </c>
      <c r="K206">
        <v>0</v>
      </c>
      <c r="L206" t="s">
        <v>41</v>
      </c>
      <c r="M206" s="12">
        <v>1.75</v>
      </c>
      <c r="N206" s="3">
        <f>G206*M206</f>
        <v>82.25</v>
      </c>
      <c r="O206" s="1">
        <v>45676</v>
      </c>
      <c r="P206" s="1">
        <v>45992</v>
      </c>
      <c r="Q206" s="1">
        <v>45382</v>
      </c>
      <c r="R206">
        <v>403</v>
      </c>
      <c r="S206">
        <v>87</v>
      </c>
      <c r="T206">
        <v>697</v>
      </c>
      <c r="U206" t="str">
        <f t="shared" si="6"/>
        <v>Safe</v>
      </c>
      <c r="V206" t="s">
        <v>904</v>
      </c>
      <c r="W206">
        <v>49</v>
      </c>
      <c r="X206" s="3">
        <f t="shared" si="7"/>
        <v>4030.25</v>
      </c>
      <c r="Y206">
        <v>19</v>
      </c>
      <c r="Z206" t="s">
        <v>43</v>
      </c>
      <c r="AA206" s="3">
        <f>X206-Grocery_Inventory_and_Sales_Dat!N206</f>
        <v>3948</v>
      </c>
    </row>
    <row r="207" spans="1:27" x14ac:dyDescent="0.3">
      <c r="A207" t="s">
        <v>905</v>
      </c>
      <c r="B207" t="s">
        <v>192</v>
      </c>
      <c r="C207" t="s">
        <v>64</v>
      </c>
      <c r="D207" t="s">
        <v>906</v>
      </c>
      <c r="E207" s="13" t="s">
        <v>237</v>
      </c>
      <c r="G207" s="2">
        <v>52</v>
      </c>
      <c r="H207">
        <v>88</v>
      </c>
      <c r="I207">
        <v>55</v>
      </c>
      <c r="J207" t="s">
        <v>27</v>
      </c>
      <c r="K207">
        <v>88</v>
      </c>
      <c r="L207" t="s">
        <v>28</v>
      </c>
      <c r="M207" s="12">
        <v>6</v>
      </c>
      <c r="N207" s="3">
        <f>G207*M207</f>
        <v>312</v>
      </c>
      <c r="O207" s="1">
        <v>45439</v>
      </c>
      <c r="P207" s="1">
        <v>45417</v>
      </c>
      <c r="Q207" s="1">
        <v>45609</v>
      </c>
      <c r="R207">
        <v>640</v>
      </c>
      <c r="S207">
        <v>662</v>
      </c>
      <c r="T207">
        <v>470</v>
      </c>
      <c r="U207" t="str">
        <f t="shared" si="6"/>
        <v>Expiring Soon</v>
      </c>
      <c r="V207" t="s">
        <v>907</v>
      </c>
      <c r="W207">
        <v>100</v>
      </c>
      <c r="X207" s="3">
        <f t="shared" si="7"/>
        <v>31200</v>
      </c>
      <c r="Y207">
        <v>46</v>
      </c>
      <c r="Z207" t="s">
        <v>30</v>
      </c>
      <c r="AA207" s="3">
        <f>X207-Grocery_Inventory_and_Sales_Dat!N207</f>
        <v>30888</v>
      </c>
    </row>
    <row r="208" spans="1:27" x14ac:dyDescent="0.3">
      <c r="A208" t="s">
        <v>908</v>
      </c>
      <c r="B208" t="s">
        <v>168</v>
      </c>
      <c r="C208" t="s">
        <v>52</v>
      </c>
      <c r="D208" t="s">
        <v>909</v>
      </c>
      <c r="E208" s="13" t="s">
        <v>111</v>
      </c>
      <c r="G208" s="2">
        <v>51</v>
      </c>
      <c r="H208">
        <v>62</v>
      </c>
      <c r="I208">
        <v>95</v>
      </c>
      <c r="J208" t="s">
        <v>27</v>
      </c>
      <c r="K208">
        <v>62</v>
      </c>
      <c r="L208" t="s">
        <v>28</v>
      </c>
      <c r="M208" s="12">
        <v>6</v>
      </c>
      <c r="N208" s="3">
        <f>G208*M208</f>
        <v>306</v>
      </c>
      <c r="O208" s="1">
        <v>45477</v>
      </c>
      <c r="P208" s="1">
        <v>45379</v>
      </c>
      <c r="Q208" s="1">
        <v>45672</v>
      </c>
      <c r="R208">
        <v>602</v>
      </c>
      <c r="S208">
        <v>700</v>
      </c>
      <c r="T208">
        <v>407</v>
      </c>
      <c r="U208" t="str">
        <f t="shared" si="6"/>
        <v>Expiring Soon</v>
      </c>
      <c r="V208" t="s">
        <v>910</v>
      </c>
      <c r="W208">
        <v>52</v>
      </c>
      <c r="X208" s="3">
        <f t="shared" si="7"/>
        <v>15912</v>
      </c>
      <c r="Y208">
        <v>21</v>
      </c>
      <c r="Z208" t="s">
        <v>49</v>
      </c>
      <c r="AA208" s="3">
        <f>X208-Grocery_Inventory_and_Sales_Dat!N208</f>
        <v>15606</v>
      </c>
    </row>
    <row r="209" spans="1:27" x14ac:dyDescent="0.3">
      <c r="A209" t="s">
        <v>911</v>
      </c>
      <c r="B209" t="s">
        <v>69</v>
      </c>
      <c r="C209" t="s">
        <v>70</v>
      </c>
      <c r="D209" t="s">
        <v>912</v>
      </c>
      <c r="E209" s="13" t="s">
        <v>913</v>
      </c>
      <c r="G209" s="2">
        <v>14</v>
      </c>
      <c r="H209">
        <v>63</v>
      </c>
      <c r="I209">
        <v>74</v>
      </c>
      <c r="J209" t="s">
        <v>27</v>
      </c>
      <c r="K209">
        <v>63</v>
      </c>
      <c r="L209" t="s">
        <v>28</v>
      </c>
      <c r="M209" s="12">
        <v>2.5</v>
      </c>
      <c r="N209" s="3">
        <f>G209*M209</f>
        <v>35</v>
      </c>
      <c r="O209" s="1">
        <v>45410</v>
      </c>
      <c r="P209" s="1">
        <v>45707</v>
      </c>
      <c r="Q209" s="1">
        <v>45624</v>
      </c>
      <c r="R209">
        <v>669</v>
      </c>
      <c r="S209">
        <v>372</v>
      </c>
      <c r="T209">
        <v>455</v>
      </c>
      <c r="U209" t="str">
        <f t="shared" si="6"/>
        <v>Expiring Soon</v>
      </c>
      <c r="V209" t="s">
        <v>914</v>
      </c>
      <c r="W209">
        <v>59</v>
      </c>
      <c r="X209" s="3">
        <f t="shared" si="7"/>
        <v>2065</v>
      </c>
      <c r="Y209">
        <v>63</v>
      </c>
      <c r="Z209" t="s">
        <v>43</v>
      </c>
      <c r="AA209" s="3">
        <f>X209-Grocery_Inventory_and_Sales_Dat!N209</f>
        <v>2030</v>
      </c>
    </row>
    <row r="210" spans="1:27" x14ac:dyDescent="0.3">
      <c r="A210" t="s">
        <v>915</v>
      </c>
      <c r="B210" t="s">
        <v>75</v>
      </c>
      <c r="C210" t="s">
        <v>52</v>
      </c>
      <c r="D210" t="s">
        <v>916</v>
      </c>
      <c r="E210" s="13" t="s">
        <v>695</v>
      </c>
      <c r="G210" s="2">
        <v>62</v>
      </c>
      <c r="H210">
        <v>44</v>
      </c>
      <c r="I210">
        <v>11</v>
      </c>
      <c r="J210" t="s">
        <v>55</v>
      </c>
      <c r="K210">
        <v>0</v>
      </c>
      <c r="L210" t="s">
        <v>41</v>
      </c>
      <c r="M210" s="12">
        <v>51.17</v>
      </c>
      <c r="N210" s="3">
        <f>G210*M210</f>
        <v>3172.54</v>
      </c>
      <c r="O210" s="1">
        <v>45870</v>
      </c>
      <c r="P210" s="1">
        <v>45398</v>
      </c>
      <c r="Q210" s="1">
        <v>45486</v>
      </c>
      <c r="R210">
        <v>209</v>
      </c>
      <c r="S210">
        <v>681</v>
      </c>
      <c r="T210">
        <v>593</v>
      </c>
      <c r="U210" t="str">
        <f t="shared" si="6"/>
        <v>Safe</v>
      </c>
      <c r="V210" t="s">
        <v>917</v>
      </c>
      <c r="W210">
        <v>92</v>
      </c>
      <c r="X210" s="3">
        <f t="shared" si="7"/>
        <v>291873.68</v>
      </c>
      <c r="Y210">
        <v>37</v>
      </c>
      <c r="Z210" t="s">
        <v>30</v>
      </c>
      <c r="AA210" s="3">
        <f>X210-Grocery_Inventory_and_Sales_Dat!N210</f>
        <v>288701.14</v>
      </c>
    </row>
    <row r="211" spans="1:27" x14ac:dyDescent="0.3">
      <c r="A211" t="s">
        <v>918</v>
      </c>
      <c r="B211" t="s">
        <v>560</v>
      </c>
      <c r="C211" t="s">
        <v>52</v>
      </c>
      <c r="D211" t="s">
        <v>919</v>
      </c>
      <c r="E211" s="13" t="s">
        <v>920</v>
      </c>
      <c r="G211" s="2">
        <v>40</v>
      </c>
      <c r="H211">
        <v>53</v>
      </c>
      <c r="I211">
        <v>7</v>
      </c>
      <c r="J211" t="s">
        <v>27</v>
      </c>
      <c r="K211">
        <v>53</v>
      </c>
      <c r="L211" t="s">
        <v>41</v>
      </c>
      <c r="M211" s="12">
        <v>4</v>
      </c>
      <c r="N211" s="3">
        <f>G211*M211</f>
        <v>160</v>
      </c>
      <c r="O211" s="1">
        <v>45709</v>
      </c>
      <c r="P211" s="1">
        <v>45446</v>
      </c>
      <c r="Q211" s="1">
        <v>45464</v>
      </c>
      <c r="R211">
        <v>370</v>
      </c>
      <c r="S211">
        <v>633</v>
      </c>
      <c r="T211">
        <v>615</v>
      </c>
      <c r="U211" t="str">
        <f t="shared" si="6"/>
        <v>Safe</v>
      </c>
      <c r="V211" t="s">
        <v>921</v>
      </c>
      <c r="W211">
        <v>70</v>
      </c>
      <c r="X211" s="3">
        <f t="shared" si="7"/>
        <v>11200</v>
      </c>
      <c r="Y211">
        <v>20</v>
      </c>
      <c r="Z211" t="s">
        <v>43</v>
      </c>
      <c r="AA211" s="3">
        <f>X211-Grocery_Inventory_and_Sales_Dat!N211</f>
        <v>11040</v>
      </c>
    </row>
    <row r="212" spans="1:27" x14ac:dyDescent="0.3">
      <c r="A212" t="s">
        <v>922</v>
      </c>
      <c r="B212" t="s">
        <v>342</v>
      </c>
      <c r="C212" t="s">
        <v>33</v>
      </c>
      <c r="D212" t="s">
        <v>923</v>
      </c>
      <c r="E212" s="13" t="s">
        <v>504</v>
      </c>
      <c r="G212" s="2">
        <v>50</v>
      </c>
      <c r="H212">
        <v>100</v>
      </c>
      <c r="I212">
        <v>91</v>
      </c>
      <c r="J212" t="s">
        <v>27</v>
      </c>
      <c r="K212">
        <v>100</v>
      </c>
      <c r="L212" t="s">
        <v>28</v>
      </c>
      <c r="M212" s="12">
        <v>25.5</v>
      </c>
      <c r="N212" s="3">
        <f>G212*M212</f>
        <v>1275</v>
      </c>
      <c r="O212" s="1">
        <v>45654</v>
      </c>
      <c r="P212" s="1">
        <v>45490</v>
      </c>
      <c r="Q212" s="1">
        <v>45631</v>
      </c>
      <c r="R212">
        <v>425</v>
      </c>
      <c r="S212">
        <v>589</v>
      </c>
      <c r="T212">
        <v>448</v>
      </c>
      <c r="U212" t="str">
        <f t="shared" si="6"/>
        <v>Expiring Soon</v>
      </c>
      <c r="V212" t="s">
        <v>924</v>
      </c>
      <c r="W212">
        <v>29</v>
      </c>
      <c r="X212" s="3">
        <f t="shared" si="7"/>
        <v>36975</v>
      </c>
      <c r="Y212">
        <v>31</v>
      </c>
      <c r="Z212" t="s">
        <v>49</v>
      </c>
      <c r="AA212" s="3">
        <f>X212-Grocery_Inventory_and_Sales_Dat!N212</f>
        <v>35700</v>
      </c>
    </row>
    <row r="213" spans="1:27" x14ac:dyDescent="0.3">
      <c r="A213" t="s">
        <v>925</v>
      </c>
      <c r="B213" t="s">
        <v>23</v>
      </c>
      <c r="C213" t="s">
        <v>24</v>
      </c>
      <c r="D213" t="s">
        <v>926</v>
      </c>
      <c r="E213" s="13" t="s">
        <v>277</v>
      </c>
      <c r="G213" s="2">
        <v>77</v>
      </c>
      <c r="H213">
        <v>20</v>
      </c>
      <c r="I213">
        <v>37</v>
      </c>
      <c r="J213" t="s">
        <v>55</v>
      </c>
      <c r="K213">
        <v>0</v>
      </c>
      <c r="L213" t="s">
        <v>41</v>
      </c>
      <c r="M213" s="12">
        <v>4.25</v>
      </c>
      <c r="N213" s="3">
        <f>G213*M213</f>
        <v>327.25</v>
      </c>
      <c r="O213" s="1">
        <v>45358</v>
      </c>
      <c r="P213" s="1">
        <v>45446</v>
      </c>
      <c r="Q213" s="1">
        <v>45601</v>
      </c>
      <c r="R213">
        <v>721</v>
      </c>
      <c r="S213">
        <v>633</v>
      </c>
      <c r="T213">
        <v>478</v>
      </c>
      <c r="U213" t="str">
        <f t="shared" si="6"/>
        <v>Expiring Soon</v>
      </c>
      <c r="V213" t="s">
        <v>927</v>
      </c>
      <c r="W213">
        <v>42</v>
      </c>
      <c r="X213" s="3">
        <f t="shared" si="7"/>
        <v>13744.5</v>
      </c>
      <c r="Y213">
        <v>19</v>
      </c>
      <c r="Z213" t="s">
        <v>43</v>
      </c>
      <c r="AA213" s="3">
        <f>X213-Grocery_Inventory_and_Sales_Dat!N213</f>
        <v>13417.25</v>
      </c>
    </row>
    <row r="214" spans="1:27" x14ac:dyDescent="0.3">
      <c r="A214" t="s">
        <v>928</v>
      </c>
      <c r="B214" t="s">
        <v>104</v>
      </c>
      <c r="C214" t="s">
        <v>52</v>
      </c>
      <c r="D214" t="s">
        <v>929</v>
      </c>
      <c r="E214" s="13" t="s">
        <v>930</v>
      </c>
      <c r="G214" s="2">
        <v>31</v>
      </c>
      <c r="H214">
        <v>89</v>
      </c>
      <c r="I214">
        <v>7</v>
      </c>
      <c r="J214" t="s">
        <v>27</v>
      </c>
      <c r="K214">
        <v>89</v>
      </c>
      <c r="L214" t="s">
        <v>28</v>
      </c>
      <c r="M214" s="12">
        <v>5.9</v>
      </c>
      <c r="N214" s="3">
        <f>G214*M214</f>
        <v>182.9</v>
      </c>
      <c r="O214" s="1">
        <v>45530</v>
      </c>
      <c r="P214" s="1">
        <v>45485</v>
      </c>
      <c r="Q214" s="1">
        <v>45433</v>
      </c>
      <c r="R214">
        <v>549</v>
      </c>
      <c r="S214">
        <v>594</v>
      </c>
      <c r="T214">
        <v>646</v>
      </c>
      <c r="U214" t="str">
        <f t="shared" si="6"/>
        <v>Safe</v>
      </c>
      <c r="V214" t="s">
        <v>931</v>
      </c>
      <c r="W214">
        <v>46</v>
      </c>
      <c r="X214" s="3">
        <f t="shared" si="7"/>
        <v>8413.4</v>
      </c>
      <c r="Y214">
        <v>54</v>
      </c>
      <c r="Z214" t="s">
        <v>30</v>
      </c>
      <c r="AA214" s="3">
        <f>X214-Grocery_Inventory_and_Sales_Dat!N214</f>
        <v>8230.5</v>
      </c>
    </row>
    <row r="215" spans="1:27" x14ac:dyDescent="0.3">
      <c r="A215" t="s">
        <v>932</v>
      </c>
      <c r="B215" t="s">
        <v>168</v>
      </c>
      <c r="C215" t="s">
        <v>52</v>
      </c>
      <c r="D215" t="s">
        <v>933</v>
      </c>
      <c r="E215" s="13" t="s">
        <v>934</v>
      </c>
      <c r="G215" s="2">
        <v>35</v>
      </c>
      <c r="H215">
        <v>19</v>
      </c>
      <c r="I215">
        <v>30</v>
      </c>
      <c r="J215" t="s">
        <v>55</v>
      </c>
      <c r="K215">
        <v>0</v>
      </c>
      <c r="L215" t="s">
        <v>41</v>
      </c>
      <c r="M215" s="12">
        <v>6.5</v>
      </c>
      <c r="N215" s="3">
        <f>G215*M215</f>
        <v>227.5</v>
      </c>
      <c r="O215" s="1">
        <v>45809</v>
      </c>
      <c r="P215" s="1">
        <v>45626</v>
      </c>
      <c r="Q215" s="1">
        <v>45605</v>
      </c>
      <c r="R215">
        <v>270</v>
      </c>
      <c r="S215">
        <v>453</v>
      </c>
      <c r="T215">
        <v>474</v>
      </c>
      <c r="U215" t="str">
        <f t="shared" si="6"/>
        <v>Expiring Soon</v>
      </c>
      <c r="V215" t="s">
        <v>935</v>
      </c>
      <c r="W215">
        <v>88</v>
      </c>
      <c r="X215" s="3">
        <f t="shared" si="7"/>
        <v>20020</v>
      </c>
      <c r="Y215">
        <v>6</v>
      </c>
      <c r="Z215" t="s">
        <v>43</v>
      </c>
      <c r="AA215" s="3">
        <f>X215-Grocery_Inventory_and_Sales_Dat!N215</f>
        <v>19792.5</v>
      </c>
    </row>
    <row r="216" spans="1:27" x14ac:dyDescent="0.3">
      <c r="A216" t="s">
        <v>936</v>
      </c>
      <c r="B216" t="s">
        <v>355</v>
      </c>
      <c r="C216" t="s">
        <v>52</v>
      </c>
      <c r="D216" t="s">
        <v>937</v>
      </c>
      <c r="E216" s="13" t="s">
        <v>938</v>
      </c>
      <c r="G216" s="2">
        <v>31</v>
      </c>
      <c r="H216">
        <v>54</v>
      </c>
      <c r="I216">
        <v>52</v>
      </c>
      <c r="J216" t="s">
        <v>27</v>
      </c>
      <c r="K216">
        <v>54</v>
      </c>
      <c r="L216" t="s">
        <v>41</v>
      </c>
      <c r="M216" s="12">
        <v>4</v>
      </c>
      <c r="N216" s="3">
        <f>G216*M216</f>
        <v>124</v>
      </c>
      <c r="O216" s="1">
        <v>45708</v>
      </c>
      <c r="P216" s="1">
        <v>45516</v>
      </c>
      <c r="Q216" s="1">
        <v>45639</v>
      </c>
      <c r="R216">
        <v>371</v>
      </c>
      <c r="S216">
        <v>563</v>
      </c>
      <c r="T216">
        <v>440</v>
      </c>
      <c r="U216" t="str">
        <f t="shared" si="6"/>
        <v>Expiring Soon</v>
      </c>
      <c r="V216" t="s">
        <v>939</v>
      </c>
      <c r="W216">
        <v>69</v>
      </c>
      <c r="X216" s="3">
        <f t="shared" si="7"/>
        <v>8556</v>
      </c>
      <c r="Y216">
        <v>77</v>
      </c>
      <c r="Z216" t="s">
        <v>49</v>
      </c>
      <c r="AA216" s="3">
        <f>X216-Grocery_Inventory_and_Sales_Dat!N216</f>
        <v>8432</v>
      </c>
    </row>
    <row r="217" spans="1:27" x14ac:dyDescent="0.3">
      <c r="A217" t="s">
        <v>940</v>
      </c>
      <c r="B217" t="s">
        <v>288</v>
      </c>
      <c r="C217" t="s">
        <v>95</v>
      </c>
      <c r="D217" t="s">
        <v>941</v>
      </c>
      <c r="E217" s="13" t="s">
        <v>405</v>
      </c>
      <c r="G217" s="2">
        <v>56</v>
      </c>
      <c r="H217">
        <v>62</v>
      </c>
      <c r="I217">
        <v>64</v>
      </c>
      <c r="J217" t="s">
        <v>27</v>
      </c>
      <c r="K217">
        <v>62</v>
      </c>
      <c r="L217" t="s">
        <v>28</v>
      </c>
      <c r="M217" s="12">
        <v>2.5</v>
      </c>
      <c r="N217" s="3">
        <f>G217*M217</f>
        <v>140</v>
      </c>
      <c r="O217" s="1">
        <v>45526</v>
      </c>
      <c r="P217" s="1">
        <v>45360</v>
      </c>
      <c r="Q217" s="1">
        <v>45677</v>
      </c>
      <c r="R217">
        <v>553</v>
      </c>
      <c r="S217">
        <v>719</v>
      </c>
      <c r="T217">
        <v>402</v>
      </c>
      <c r="U217" t="str">
        <f t="shared" si="6"/>
        <v>Expiring Soon</v>
      </c>
      <c r="V217" t="s">
        <v>942</v>
      </c>
      <c r="W217">
        <v>56</v>
      </c>
      <c r="X217" s="3">
        <f t="shared" si="7"/>
        <v>7840</v>
      </c>
      <c r="Y217">
        <v>73</v>
      </c>
      <c r="Z217" t="s">
        <v>43</v>
      </c>
      <c r="AA217" s="3">
        <f>X217-Grocery_Inventory_and_Sales_Dat!N217</f>
        <v>7700</v>
      </c>
    </row>
    <row r="218" spans="1:27" x14ac:dyDescent="0.3">
      <c r="A218" t="s">
        <v>943</v>
      </c>
      <c r="B218" t="s">
        <v>75</v>
      </c>
      <c r="C218" t="s">
        <v>70</v>
      </c>
      <c r="D218" t="s">
        <v>944</v>
      </c>
      <c r="E218" s="13" t="s">
        <v>945</v>
      </c>
      <c r="G218" s="2">
        <v>90</v>
      </c>
      <c r="H218">
        <v>62</v>
      </c>
      <c r="I218">
        <v>54</v>
      </c>
      <c r="J218" t="s">
        <v>55</v>
      </c>
      <c r="K218">
        <v>0</v>
      </c>
      <c r="L218" t="s">
        <v>41</v>
      </c>
      <c r="M218" s="12">
        <v>3</v>
      </c>
      <c r="N218" s="3">
        <f>G218*M218</f>
        <v>270</v>
      </c>
      <c r="O218" s="1">
        <v>45677</v>
      </c>
      <c r="P218" s="1">
        <v>45482</v>
      </c>
      <c r="Q218" s="1">
        <v>45641</v>
      </c>
      <c r="R218">
        <v>402</v>
      </c>
      <c r="S218">
        <v>597</v>
      </c>
      <c r="T218">
        <v>438</v>
      </c>
      <c r="U218" t="str">
        <f t="shared" si="6"/>
        <v>Expiring Soon</v>
      </c>
      <c r="V218" t="s">
        <v>946</v>
      </c>
      <c r="W218">
        <v>70</v>
      </c>
      <c r="X218" s="3">
        <f t="shared" si="7"/>
        <v>18900</v>
      </c>
      <c r="Y218">
        <v>83</v>
      </c>
      <c r="Z218" t="s">
        <v>30</v>
      </c>
      <c r="AA218" s="3">
        <f>X218-Grocery_Inventory_and_Sales_Dat!N218</f>
        <v>18630</v>
      </c>
    </row>
    <row r="219" spans="1:27" x14ac:dyDescent="0.3">
      <c r="A219" t="s">
        <v>947</v>
      </c>
      <c r="B219" t="s">
        <v>605</v>
      </c>
      <c r="C219" t="s">
        <v>64</v>
      </c>
      <c r="D219" t="s">
        <v>948</v>
      </c>
      <c r="E219" s="13" t="s">
        <v>949</v>
      </c>
      <c r="G219" s="2">
        <v>79</v>
      </c>
      <c r="H219">
        <v>31</v>
      </c>
      <c r="I219">
        <v>66</v>
      </c>
      <c r="J219" t="s">
        <v>55</v>
      </c>
      <c r="K219">
        <v>0</v>
      </c>
      <c r="L219" t="s">
        <v>41</v>
      </c>
      <c r="M219" s="12">
        <v>2.2999999999999998</v>
      </c>
      <c r="N219" s="3">
        <f>G219*M219</f>
        <v>181.7</v>
      </c>
      <c r="O219" s="1">
        <v>45569</v>
      </c>
      <c r="P219" s="1">
        <v>45578</v>
      </c>
      <c r="Q219" s="1">
        <v>45524</v>
      </c>
      <c r="R219">
        <v>510</v>
      </c>
      <c r="S219">
        <v>501</v>
      </c>
      <c r="T219">
        <v>555</v>
      </c>
      <c r="U219" t="str">
        <f t="shared" si="6"/>
        <v>Safe</v>
      </c>
      <c r="V219" t="s">
        <v>950</v>
      </c>
      <c r="W219">
        <v>92</v>
      </c>
      <c r="X219" s="3">
        <f t="shared" si="7"/>
        <v>16716.399999999998</v>
      </c>
      <c r="Y219">
        <v>13</v>
      </c>
      <c r="Z219" t="s">
        <v>30</v>
      </c>
      <c r="AA219" s="3">
        <f>X219-Grocery_Inventory_and_Sales_Dat!N219</f>
        <v>16534.699999999997</v>
      </c>
    </row>
    <row r="220" spans="1:27" x14ac:dyDescent="0.3">
      <c r="A220" t="s">
        <v>951</v>
      </c>
      <c r="B220" t="s">
        <v>887</v>
      </c>
      <c r="C220" t="s">
        <v>52</v>
      </c>
      <c r="D220" t="s">
        <v>952</v>
      </c>
      <c r="E220" s="13" t="s">
        <v>953</v>
      </c>
      <c r="G220" s="2">
        <v>29</v>
      </c>
      <c r="H220">
        <v>83</v>
      </c>
      <c r="I220">
        <v>91</v>
      </c>
      <c r="J220" t="s">
        <v>27</v>
      </c>
      <c r="K220">
        <v>83</v>
      </c>
      <c r="L220" t="s">
        <v>28</v>
      </c>
      <c r="M220" s="12">
        <v>2</v>
      </c>
      <c r="N220" s="3">
        <f>G220*M220</f>
        <v>58</v>
      </c>
      <c r="O220" s="1">
        <v>45625</v>
      </c>
      <c r="P220" s="1">
        <v>45840</v>
      </c>
      <c r="Q220" s="1">
        <v>45661</v>
      </c>
      <c r="R220">
        <v>454</v>
      </c>
      <c r="S220">
        <v>239</v>
      </c>
      <c r="T220">
        <v>418</v>
      </c>
      <c r="U220" t="str">
        <f t="shared" si="6"/>
        <v>Expiring Soon</v>
      </c>
      <c r="V220" t="s">
        <v>954</v>
      </c>
      <c r="W220">
        <v>81</v>
      </c>
      <c r="X220" s="3">
        <f t="shared" si="7"/>
        <v>4698</v>
      </c>
      <c r="Y220">
        <v>53</v>
      </c>
      <c r="Z220" t="s">
        <v>43</v>
      </c>
      <c r="AA220" s="3">
        <f>X220-Grocery_Inventory_and_Sales_Dat!N220</f>
        <v>4640</v>
      </c>
    </row>
    <row r="221" spans="1:27" x14ac:dyDescent="0.3">
      <c r="A221" t="s">
        <v>955</v>
      </c>
      <c r="B221" t="s">
        <v>605</v>
      </c>
      <c r="C221" t="s">
        <v>64</v>
      </c>
      <c r="D221" t="s">
        <v>956</v>
      </c>
      <c r="E221" s="13" t="s">
        <v>957</v>
      </c>
      <c r="G221" s="2">
        <v>46</v>
      </c>
      <c r="H221">
        <v>51</v>
      </c>
      <c r="I221">
        <v>92</v>
      </c>
      <c r="J221" t="s">
        <v>27</v>
      </c>
      <c r="K221">
        <v>51</v>
      </c>
      <c r="L221" t="s">
        <v>41</v>
      </c>
      <c r="M221" s="12">
        <v>2.2999999999999998</v>
      </c>
      <c r="N221" s="3">
        <f>G221*M221</f>
        <v>105.8</v>
      </c>
      <c r="O221" s="1">
        <v>45478</v>
      </c>
      <c r="P221" s="1">
        <v>45650</v>
      </c>
      <c r="Q221" s="1">
        <v>45452</v>
      </c>
      <c r="R221">
        <v>601</v>
      </c>
      <c r="S221">
        <v>429</v>
      </c>
      <c r="T221">
        <v>627</v>
      </c>
      <c r="U221" t="str">
        <f t="shared" si="6"/>
        <v>Safe</v>
      </c>
      <c r="V221" t="s">
        <v>958</v>
      </c>
      <c r="W221">
        <v>47</v>
      </c>
      <c r="X221" s="3">
        <f t="shared" si="7"/>
        <v>4972.5999999999995</v>
      </c>
      <c r="Y221">
        <v>25</v>
      </c>
      <c r="Z221" t="s">
        <v>30</v>
      </c>
      <c r="AA221" s="3">
        <f>X221-Grocery_Inventory_and_Sales_Dat!N221</f>
        <v>4866.7999999999993</v>
      </c>
    </row>
    <row r="222" spans="1:27" x14ac:dyDescent="0.3">
      <c r="A222" t="s">
        <v>959</v>
      </c>
      <c r="B222" t="s">
        <v>446</v>
      </c>
      <c r="C222" t="s">
        <v>52</v>
      </c>
      <c r="D222" t="s">
        <v>960</v>
      </c>
      <c r="E222" s="13" t="s">
        <v>961</v>
      </c>
      <c r="G222" s="2">
        <v>42</v>
      </c>
      <c r="H222">
        <v>4</v>
      </c>
      <c r="I222">
        <v>53</v>
      </c>
      <c r="J222" t="s">
        <v>55</v>
      </c>
      <c r="K222">
        <v>0</v>
      </c>
      <c r="L222" t="s">
        <v>41</v>
      </c>
      <c r="M222" s="12">
        <v>10</v>
      </c>
      <c r="N222" s="3">
        <f>G222*M222</f>
        <v>420</v>
      </c>
      <c r="O222" s="1">
        <v>45931</v>
      </c>
      <c r="P222" s="1">
        <v>45419</v>
      </c>
      <c r="Q222" s="1">
        <v>45394</v>
      </c>
      <c r="R222">
        <v>148</v>
      </c>
      <c r="S222">
        <v>660</v>
      </c>
      <c r="T222">
        <v>685</v>
      </c>
      <c r="U222" t="str">
        <f t="shared" si="6"/>
        <v>Safe</v>
      </c>
      <c r="V222" t="s">
        <v>962</v>
      </c>
      <c r="W222">
        <v>37</v>
      </c>
      <c r="X222" s="3">
        <f t="shared" si="7"/>
        <v>15540</v>
      </c>
      <c r="Y222">
        <v>53</v>
      </c>
      <c r="Z222" t="s">
        <v>49</v>
      </c>
      <c r="AA222" s="3">
        <f>X222-Grocery_Inventory_and_Sales_Dat!N222</f>
        <v>15120</v>
      </c>
    </row>
    <row r="223" spans="1:27" x14ac:dyDescent="0.3">
      <c r="A223" t="s">
        <v>963</v>
      </c>
      <c r="B223" t="s">
        <v>350</v>
      </c>
      <c r="C223" t="s">
        <v>70</v>
      </c>
      <c r="D223" t="s">
        <v>964</v>
      </c>
      <c r="E223" s="13" t="s">
        <v>759</v>
      </c>
      <c r="G223" s="2">
        <v>16</v>
      </c>
      <c r="H223">
        <v>56</v>
      </c>
      <c r="I223">
        <v>13</v>
      </c>
      <c r="J223" t="s">
        <v>27</v>
      </c>
      <c r="K223">
        <v>56</v>
      </c>
      <c r="L223" t="s">
        <v>41</v>
      </c>
      <c r="M223" s="12">
        <v>7.2</v>
      </c>
      <c r="N223" s="3">
        <f>G223*M223</f>
        <v>115.2</v>
      </c>
      <c r="O223" s="1">
        <v>45932</v>
      </c>
      <c r="P223" s="1">
        <v>45568</v>
      </c>
      <c r="Q223" s="1">
        <v>45567</v>
      </c>
      <c r="R223">
        <v>147</v>
      </c>
      <c r="S223">
        <v>511</v>
      </c>
      <c r="T223">
        <v>512</v>
      </c>
      <c r="U223" t="str">
        <f t="shared" si="6"/>
        <v>Expiring Soon</v>
      </c>
      <c r="V223" t="s">
        <v>965</v>
      </c>
      <c r="W223">
        <v>56</v>
      </c>
      <c r="X223" s="3">
        <f t="shared" si="7"/>
        <v>6451.2</v>
      </c>
      <c r="Y223">
        <v>28</v>
      </c>
      <c r="Z223" t="s">
        <v>30</v>
      </c>
      <c r="AA223" s="3">
        <f>X223-Grocery_Inventory_and_Sales_Dat!N223</f>
        <v>6336</v>
      </c>
    </row>
    <row r="224" spans="1:27" x14ac:dyDescent="0.3">
      <c r="A224" t="s">
        <v>966</v>
      </c>
      <c r="B224" t="s">
        <v>630</v>
      </c>
      <c r="C224" t="s">
        <v>138</v>
      </c>
      <c r="D224" t="s">
        <v>967</v>
      </c>
      <c r="E224" s="13" t="s">
        <v>968</v>
      </c>
      <c r="G224" s="2">
        <v>89</v>
      </c>
      <c r="H224">
        <v>95</v>
      </c>
      <c r="I224">
        <v>41</v>
      </c>
      <c r="J224" t="s">
        <v>27</v>
      </c>
      <c r="K224">
        <v>95</v>
      </c>
      <c r="L224" t="s">
        <v>28</v>
      </c>
      <c r="M224" s="12">
        <v>18</v>
      </c>
      <c r="N224" s="3">
        <f>G224*M224</f>
        <v>1602</v>
      </c>
      <c r="O224" s="1">
        <v>45559</v>
      </c>
      <c r="P224" s="1">
        <v>45450</v>
      </c>
      <c r="Q224" s="1">
        <v>45580</v>
      </c>
      <c r="R224">
        <v>520</v>
      </c>
      <c r="S224">
        <v>629</v>
      </c>
      <c r="T224">
        <v>499</v>
      </c>
      <c r="U224" t="str">
        <f t="shared" si="6"/>
        <v>Expiring Soon</v>
      </c>
      <c r="V224" t="s">
        <v>969</v>
      </c>
      <c r="W224">
        <v>76</v>
      </c>
      <c r="X224" s="3">
        <f t="shared" si="7"/>
        <v>121752</v>
      </c>
      <c r="Y224">
        <v>96</v>
      </c>
      <c r="Z224" t="s">
        <v>30</v>
      </c>
      <c r="AA224" s="3">
        <f>X224-Grocery_Inventory_and_Sales_Dat!N224</f>
        <v>120150</v>
      </c>
    </row>
    <row r="225" spans="1:27" x14ac:dyDescent="0.3">
      <c r="A225" t="s">
        <v>970</v>
      </c>
      <c r="B225" t="s">
        <v>342</v>
      </c>
      <c r="C225" t="s">
        <v>33</v>
      </c>
      <c r="D225" t="s">
        <v>971</v>
      </c>
      <c r="E225" s="13" t="s">
        <v>150</v>
      </c>
      <c r="G225" s="2">
        <v>20</v>
      </c>
      <c r="H225">
        <v>43</v>
      </c>
      <c r="I225">
        <v>43</v>
      </c>
      <c r="J225" t="s">
        <v>27</v>
      </c>
      <c r="K225">
        <v>43</v>
      </c>
      <c r="L225" t="s">
        <v>41</v>
      </c>
      <c r="M225" s="12">
        <v>25</v>
      </c>
      <c r="N225" s="3">
        <f>G225*M225</f>
        <v>500</v>
      </c>
      <c r="O225" s="1">
        <v>45839</v>
      </c>
      <c r="P225" s="1">
        <v>45349</v>
      </c>
      <c r="Q225" s="1">
        <v>45380</v>
      </c>
      <c r="R225">
        <v>240</v>
      </c>
      <c r="S225">
        <v>730</v>
      </c>
      <c r="T225">
        <v>699</v>
      </c>
      <c r="U225" t="str">
        <f t="shared" si="6"/>
        <v>Safe</v>
      </c>
      <c r="V225" t="s">
        <v>972</v>
      </c>
      <c r="W225">
        <v>73</v>
      </c>
      <c r="X225" s="3">
        <f t="shared" si="7"/>
        <v>36500</v>
      </c>
      <c r="Y225">
        <v>6</v>
      </c>
      <c r="Z225" t="s">
        <v>49</v>
      </c>
      <c r="AA225" s="3">
        <f>X225-Grocery_Inventory_and_Sales_Dat!N225</f>
        <v>36000</v>
      </c>
    </row>
    <row r="226" spans="1:27" x14ac:dyDescent="0.3">
      <c r="A226" t="s">
        <v>973</v>
      </c>
      <c r="B226" t="s">
        <v>240</v>
      </c>
      <c r="C226" t="s">
        <v>33</v>
      </c>
      <c r="D226" t="s">
        <v>974</v>
      </c>
      <c r="E226" s="13" t="s">
        <v>816</v>
      </c>
      <c r="G226" s="2">
        <v>37</v>
      </c>
      <c r="H226">
        <v>94</v>
      </c>
      <c r="I226">
        <v>76</v>
      </c>
      <c r="J226" t="s">
        <v>27</v>
      </c>
      <c r="K226">
        <v>94</v>
      </c>
      <c r="L226" t="s">
        <v>28</v>
      </c>
      <c r="M226" s="12">
        <v>15</v>
      </c>
      <c r="N226" s="3">
        <f>G226*M226</f>
        <v>555</v>
      </c>
      <c r="O226" s="1">
        <v>45460</v>
      </c>
      <c r="P226" s="1">
        <v>45676</v>
      </c>
      <c r="Q226" s="1">
        <v>45692</v>
      </c>
      <c r="R226">
        <v>619</v>
      </c>
      <c r="S226">
        <v>403</v>
      </c>
      <c r="T226">
        <v>387</v>
      </c>
      <c r="U226" t="str">
        <f t="shared" si="6"/>
        <v>Expiring Soon</v>
      </c>
      <c r="V226" t="s">
        <v>975</v>
      </c>
      <c r="W226">
        <v>94</v>
      </c>
      <c r="X226" s="3">
        <f t="shared" si="7"/>
        <v>52170</v>
      </c>
      <c r="Y226">
        <v>66</v>
      </c>
      <c r="Z226" t="s">
        <v>43</v>
      </c>
      <c r="AA226" s="3">
        <f>X226-Grocery_Inventory_and_Sales_Dat!N226</f>
        <v>51615</v>
      </c>
    </row>
    <row r="227" spans="1:27" x14ac:dyDescent="0.3">
      <c r="A227" t="s">
        <v>976</v>
      </c>
      <c r="B227" t="s">
        <v>114</v>
      </c>
      <c r="C227" t="s">
        <v>24</v>
      </c>
      <c r="D227" t="s">
        <v>977</v>
      </c>
      <c r="E227" s="13" t="s">
        <v>978</v>
      </c>
      <c r="G227" s="2">
        <v>97</v>
      </c>
      <c r="H227">
        <v>41</v>
      </c>
      <c r="I227">
        <v>68</v>
      </c>
      <c r="J227" t="s">
        <v>55</v>
      </c>
      <c r="K227">
        <v>0</v>
      </c>
      <c r="L227" t="s">
        <v>41</v>
      </c>
      <c r="M227" s="12">
        <v>1.5</v>
      </c>
      <c r="N227" s="3">
        <f>G227*M227</f>
        <v>145.5</v>
      </c>
      <c r="O227" s="1">
        <v>45671</v>
      </c>
      <c r="P227" s="1">
        <v>45392</v>
      </c>
      <c r="Q227" s="1">
        <v>45664</v>
      </c>
      <c r="R227">
        <v>408</v>
      </c>
      <c r="S227">
        <v>687</v>
      </c>
      <c r="T227">
        <v>415</v>
      </c>
      <c r="U227" t="str">
        <f t="shared" si="6"/>
        <v>Expiring Soon</v>
      </c>
      <c r="V227" t="s">
        <v>979</v>
      </c>
      <c r="W227">
        <v>35</v>
      </c>
      <c r="X227" s="3">
        <f t="shared" si="7"/>
        <v>5092.5</v>
      </c>
      <c r="Y227">
        <v>16</v>
      </c>
      <c r="Z227" t="s">
        <v>30</v>
      </c>
      <c r="AA227" s="3">
        <f>X227-Grocery_Inventory_and_Sales_Dat!N227</f>
        <v>4947</v>
      </c>
    </row>
    <row r="228" spans="1:27" x14ac:dyDescent="0.3">
      <c r="A228" t="s">
        <v>980</v>
      </c>
      <c r="B228" t="s">
        <v>109</v>
      </c>
      <c r="C228" t="s">
        <v>70</v>
      </c>
      <c r="D228" t="s">
        <v>981</v>
      </c>
      <c r="E228" s="13" t="s">
        <v>982</v>
      </c>
      <c r="G228" s="2">
        <v>98</v>
      </c>
      <c r="H228">
        <v>77</v>
      </c>
      <c r="I228">
        <v>7</v>
      </c>
      <c r="J228" t="s">
        <v>55</v>
      </c>
      <c r="K228">
        <v>0</v>
      </c>
      <c r="L228" t="s">
        <v>41</v>
      </c>
      <c r="M228" s="12">
        <v>7</v>
      </c>
      <c r="N228" s="3">
        <f>G228*M228</f>
        <v>686</v>
      </c>
      <c r="O228" s="1">
        <v>45332</v>
      </c>
      <c r="P228" s="1">
        <v>45615</v>
      </c>
      <c r="Q228" s="1">
        <v>45509</v>
      </c>
      <c r="R228">
        <v>747</v>
      </c>
      <c r="S228">
        <v>464</v>
      </c>
      <c r="T228">
        <v>570</v>
      </c>
      <c r="U228" t="str">
        <f t="shared" si="6"/>
        <v>Safe</v>
      </c>
      <c r="V228" t="s">
        <v>983</v>
      </c>
      <c r="W228">
        <v>92</v>
      </c>
      <c r="X228" s="3">
        <f t="shared" si="7"/>
        <v>63112</v>
      </c>
      <c r="Y228">
        <v>29</v>
      </c>
      <c r="Z228" t="s">
        <v>30</v>
      </c>
      <c r="AA228" s="3">
        <f>X228-Grocery_Inventory_and_Sales_Dat!N228</f>
        <v>62426</v>
      </c>
    </row>
    <row r="229" spans="1:27" x14ac:dyDescent="0.3">
      <c r="A229" t="s">
        <v>984</v>
      </c>
      <c r="B229" t="s">
        <v>262</v>
      </c>
      <c r="C229" t="s">
        <v>52</v>
      </c>
      <c r="D229" t="s">
        <v>985</v>
      </c>
      <c r="E229" s="13" t="s">
        <v>986</v>
      </c>
      <c r="G229" s="2">
        <v>37</v>
      </c>
      <c r="H229">
        <v>8</v>
      </c>
      <c r="I229">
        <v>50</v>
      </c>
      <c r="J229" t="s">
        <v>55</v>
      </c>
      <c r="K229">
        <v>0</v>
      </c>
      <c r="L229" t="s">
        <v>41</v>
      </c>
      <c r="M229" s="12">
        <v>6</v>
      </c>
      <c r="N229" s="3">
        <f>G229*M229</f>
        <v>222</v>
      </c>
      <c r="O229" s="1">
        <v>45450</v>
      </c>
      <c r="P229" s="1">
        <v>45429</v>
      </c>
      <c r="Q229" s="1">
        <v>45680</v>
      </c>
      <c r="R229">
        <v>629</v>
      </c>
      <c r="S229">
        <v>650</v>
      </c>
      <c r="T229">
        <v>399</v>
      </c>
      <c r="U229" t="str">
        <f t="shared" si="6"/>
        <v>Expiring Soon</v>
      </c>
      <c r="V229" t="s">
        <v>987</v>
      </c>
      <c r="W229">
        <v>47</v>
      </c>
      <c r="X229" s="3">
        <f t="shared" si="7"/>
        <v>10434</v>
      </c>
      <c r="Y229">
        <v>62</v>
      </c>
      <c r="Z229" t="s">
        <v>30</v>
      </c>
      <c r="AA229" s="3">
        <f>X229-Grocery_Inventory_and_Sales_Dat!N229</f>
        <v>10212</v>
      </c>
    </row>
    <row r="230" spans="1:27" x14ac:dyDescent="0.3">
      <c r="A230" t="s">
        <v>988</v>
      </c>
      <c r="B230" t="s">
        <v>989</v>
      </c>
      <c r="C230" t="s">
        <v>95</v>
      </c>
      <c r="D230" t="s">
        <v>990</v>
      </c>
      <c r="E230" s="13" t="s">
        <v>991</v>
      </c>
      <c r="G230" s="2">
        <v>97</v>
      </c>
      <c r="H230">
        <v>99</v>
      </c>
      <c r="I230">
        <v>96</v>
      </c>
      <c r="J230" t="s">
        <v>27</v>
      </c>
      <c r="K230">
        <v>99</v>
      </c>
      <c r="L230" t="s">
        <v>28</v>
      </c>
      <c r="M230" s="12">
        <v>4</v>
      </c>
      <c r="N230" s="3">
        <f>G230*M230</f>
        <v>388</v>
      </c>
      <c r="O230" s="1">
        <v>45407</v>
      </c>
      <c r="P230" s="1">
        <v>45679</v>
      </c>
      <c r="Q230" s="1">
        <v>45623</v>
      </c>
      <c r="R230">
        <v>672</v>
      </c>
      <c r="S230">
        <v>400</v>
      </c>
      <c r="T230">
        <v>456</v>
      </c>
      <c r="U230" t="str">
        <f t="shared" si="6"/>
        <v>Expiring Soon</v>
      </c>
      <c r="V230" t="s">
        <v>992</v>
      </c>
      <c r="W230">
        <v>57</v>
      </c>
      <c r="X230" s="3">
        <f t="shared" si="7"/>
        <v>22116</v>
      </c>
      <c r="Y230">
        <v>42</v>
      </c>
      <c r="Z230" t="s">
        <v>43</v>
      </c>
      <c r="AA230" s="3">
        <f>X230-Grocery_Inventory_and_Sales_Dat!N230</f>
        <v>21728</v>
      </c>
    </row>
    <row r="231" spans="1:27" x14ac:dyDescent="0.3">
      <c r="A231" t="s">
        <v>993</v>
      </c>
      <c r="B231" t="s">
        <v>32</v>
      </c>
      <c r="C231" t="s">
        <v>33</v>
      </c>
      <c r="D231" t="s">
        <v>994</v>
      </c>
      <c r="E231" s="13" t="s">
        <v>116</v>
      </c>
      <c r="G231" s="2">
        <v>97</v>
      </c>
      <c r="H231">
        <v>77</v>
      </c>
      <c r="I231">
        <v>99</v>
      </c>
      <c r="J231" t="s">
        <v>55</v>
      </c>
      <c r="K231">
        <v>0</v>
      </c>
      <c r="L231" t="s">
        <v>41</v>
      </c>
      <c r="M231" s="12">
        <v>20</v>
      </c>
      <c r="N231" s="3">
        <f>G231*M231</f>
        <v>1940</v>
      </c>
      <c r="O231" s="1">
        <v>45618</v>
      </c>
      <c r="P231" s="1">
        <v>45406</v>
      </c>
      <c r="Q231" s="1">
        <v>45369</v>
      </c>
      <c r="R231">
        <v>461</v>
      </c>
      <c r="S231">
        <v>673</v>
      </c>
      <c r="T231">
        <v>710</v>
      </c>
      <c r="U231" t="str">
        <f t="shared" si="6"/>
        <v>Safe</v>
      </c>
      <c r="V231" t="s">
        <v>995</v>
      </c>
      <c r="W231">
        <v>74</v>
      </c>
      <c r="X231" s="3">
        <f t="shared" si="7"/>
        <v>143560</v>
      </c>
      <c r="Y231">
        <v>98</v>
      </c>
      <c r="Z231" t="s">
        <v>43</v>
      </c>
      <c r="AA231" s="3">
        <f>X231-Grocery_Inventory_and_Sales_Dat!N231</f>
        <v>141620</v>
      </c>
    </row>
    <row r="232" spans="1:27" x14ac:dyDescent="0.3">
      <c r="A232" t="s">
        <v>996</v>
      </c>
      <c r="B232" t="s">
        <v>235</v>
      </c>
      <c r="C232" t="s">
        <v>52</v>
      </c>
      <c r="D232" t="s">
        <v>997</v>
      </c>
      <c r="E232" s="13" t="s">
        <v>273</v>
      </c>
      <c r="G232" s="2">
        <v>90</v>
      </c>
      <c r="H232">
        <v>92</v>
      </c>
      <c r="I232">
        <v>56</v>
      </c>
      <c r="J232" t="s">
        <v>27</v>
      </c>
      <c r="K232">
        <v>92</v>
      </c>
      <c r="L232" t="s">
        <v>28</v>
      </c>
      <c r="M232" s="12">
        <v>2.5</v>
      </c>
      <c r="N232" s="3">
        <f>G232*M232</f>
        <v>225</v>
      </c>
      <c r="O232" s="1">
        <v>45501</v>
      </c>
      <c r="P232" s="1">
        <v>45409</v>
      </c>
      <c r="Q232" s="1">
        <v>45365</v>
      </c>
      <c r="R232">
        <v>578</v>
      </c>
      <c r="S232">
        <v>670</v>
      </c>
      <c r="T232">
        <v>714</v>
      </c>
      <c r="U232" t="str">
        <f t="shared" si="6"/>
        <v>Safe</v>
      </c>
      <c r="V232" t="s">
        <v>998</v>
      </c>
      <c r="W232">
        <v>71</v>
      </c>
      <c r="X232" s="3">
        <f t="shared" si="7"/>
        <v>15975</v>
      </c>
      <c r="Y232">
        <v>13</v>
      </c>
      <c r="Z232" t="s">
        <v>49</v>
      </c>
      <c r="AA232" s="3">
        <f>X232-Grocery_Inventory_and_Sales_Dat!N232</f>
        <v>15750</v>
      </c>
    </row>
    <row r="233" spans="1:27" x14ac:dyDescent="0.3">
      <c r="A233" t="s">
        <v>999</v>
      </c>
      <c r="B233" t="s">
        <v>32</v>
      </c>
      <c r="C233" t="s">
        <v>33</v>
      </c>
      <c r="D233" t="s">
        <v>1000</v>
      </c>
      <c r="E233" s="13" t="s">
        <v>1001</v>
      </c>
      <c r="G233" s="2">
        <v>46</v>
      </c>
      <c r="H233">
        <v>31</v>
      </c>
      <c r="I233">
        <v>89</v>
      </c>
      <c r="J233" t="s">
        <v>55</v>
      </c>
      <c r="K233">
        <v>0</v>
      </c>
      <c r="L233" t="s">
        <v>41</v>
      </c>
      <c r="M233" s="12">
        <v>20</v>
      </c>
      <c r="N233" s="3">
        <f>G233*M233</f>
        <v>920</v>
      </c>
      <c r="O233" s="1">
        <v>45748</v>
      </c>
      <c r="P233" s="1">
        <v>45372</v>
      </c>
      <c r="Q233" s="1">
        <v>45357</v>
      </c>
      <c r="R233">
        <v>331</v>
      </c>
      <c r="S233">
        <v>707</v>
      </c>
      <c r="T233">
        <v>722</v>
      </c>
      <c r="U233" t="str">
        <f t="shared" si="6"/>
        <v>Safe</v>
      </c>
      <c r="V233" t="s">
        <v>1002</v>
      </c>
      <c r="W233">
        <v>59</v>
      </c>
      <c r="X233" s="3">
        <f t="shared" si="7"/>
        <v>54280</v>
      </c>
      <c r="Y233">
        <v>65</v>
      </c>
      <c r="Z233" t="s">
        <v>43</v>
      </c>
      <c r="AA233" s="3">
        <f>X233-Grocery_Inventory_and_Sales_Dat!N233</f>
        <v>53360</v>
      </c>
    </row>
    <row r="234" spans="1:27" x14ac:dyDescent="0.3">
      <c r="A234" t="s">
        <v>1003</v>
      </c>
      <c r="B234" t="s">
        <v>355</v>
      </c>
      <c r="C234" t="s">
        <v>52</v>
      </c>
      <c r="D234" t="s">
        <v>1004</v>
      </c>
      <c r="E234" s="13" t="s">
        <v>1005</v>
      </c>
      <c r="G234" s="2">
        <v>40</v>
      </c>
      <c r="H234">
        <v>8</v>
      </c>
      <c r="I234">
        <v>98</v>
      </c>
      <c r="J234" t="s">
        <v>55</v>
      </c>
      <c r="K234">
        <v>0</v>
      </c>
      <c r="L234" t="s">
        <v>41</v>
      </c>
      <c r="M234" s="12">
        <v>4</v>
      </c>
      <c r="N234" s="3">
        <f>G234*M234</f>
        <v>160</v>
      </c>
      <c r="O234" s="1">
        <v>45499</v>
      </c>
      <c r="P234" s="1">
        <v>45810</v>
      </c>
      <c r="Q234" s="1">
        <v>45452</v>
      </c>
      <c r="R234">
        <v>580</v>
      </c>
      <c r="S234">
        <v>269</v>
      </c>
      <c r="T234">
        <v>627</v>
      </c>
      <c r="U234" t="str">
        <f t="shared" si="6"/>
        <v>Safe</v>
      </c>
      <c r="V234" t="s">
        <v>1006</v>
      </c>
      <c r="W234">
        <v>86</v>
      </c>
      <c r="X234" s="3">
        <f t="shared" si="7"/>
        <v>13760</v>
      </c>
      <c r="Y234">
        <v>12</v>
      </c>
      <c r="Z234" t="s">
        <v>30</v>
      </c>
      <c r="AA234" s="3">
        <f>X234-Grocery_Inventory_and_Sales_Dat!N234</f>
        <v>13600</v>
      </c>
    </row>
    <row r="235" spans="1:27" x14ac:dyDescent="0.3">
      <c r="A235" t="s">
        <v>1007</v>
      </c>
      <c r="B235" t="s">
        <v>1008</v>
      </c>
      <c r="C235" t="s">
        <v>52</v>
      </c>
      <c r="D235" t="s">
        <v>1009</v>
      </c>
      <c r="E235" s="13" t="s">
        <v>1010</v>
      </c>
      <c r="G235" s="2">
        <v>77</v>
      </c>
      <c r="H235">
        <v>52</v>
      </c>
      <c r="I235">
        <v>28</v>
      </c>
      <c r="J235" t="s">
        <v>55</v>
      </c>
      <c r="K235">
        <v>0</v>
      </c>
      <c r="L235" t="s">
        <v>41</v>
      </c>
      <c r="M235" s="12">
        <v>4</v>
      </c>
      <c r="N235" s="3">
        <f>G235*M235</f>
        <v>308</v>
      </c>
      <c r="O235" s="1">
        <v>45645</v>
      </c>
      <c r="P235" s="1">
        <v>45615</v>
      </c>
      <c r="Q235" s="1">
        <v>45413</v>
      </c>
      <c r="R235">
        <v>434</v>
      </c>
      <c r="S235">
        <v>464</v>
      </c>
      <c r="T235">
        <v>666</v>
      </c>
      <c r="U235" t="str">
        <f t="shared" si="6"/>
        <v>Safe</v>
      </c>
      <c r="V235" t="s">
        <v>1011</v>
      </c>
      <c r="W235">
        <v>48</v>
      </c>
      <c r="X235" s="3">
        <f t="shared" si="7"/>
        <v>14784</v>
      </c>
      <c r="Y235">
        <v>43</v>
      </c>
      <c r="Z235" t="s">
        <v>49</v>
      </c>
      <c r="AA235" s="3">
        <f>X235-Grocery_Inventory_and_Sales_Dat!N235</f>
        <v>14476</v>
      </c>
    </row>
    <row r="236" spans="1:27" x14ac:dyDescent="0.3">
      <c r="A236" t="s">
        <v>1012</v>
      </c>
      <c r="B236" t="s">
        <v>114</v>
      </c>
      <c r="C236" t="s">
        <v>24</v>
      </c>
      <c r="D236" t="s">
        <v>1013</v>
      </c>
      <c r="E236" s="13" t="s">
        <v>945</v>
      </c>
      <c r="G236" s="2">
        <v>62</v>
      </c>
      <c r="H236">
        <v>79</v>
      </c>
      <c r="I236">
        <v>23</v>
      </c>
      <c r="J236" t="s">
        <v>27</v>
      </c>
      <c r="K236">
        <v>79</v>
      </c>
      <c r="L236" t="s">
        <v>28</v>
      </c>
      <c r="M236" s="12">
        <v>1.5</v>
      </c>
      <c r="N236" s="3">
        <f>G236*M236</f>
        <v>93</v>
      </c>
      <c r="O236" s="1">
        <v>45495</v>
      </c>
      <c r="P236" s="1">
        <v>45350</v>
      </c>
      <c r="Q236" s="1">
        <v>45583</v>
      </c>
      <c r="R236">
        <v>584</v>
      </c>
      <c r="S236">
        <v>729</v>
      </c>
      <c r="T236">
        <v>496</v>
      </c>
      <c r="U236" t="str">
        <f t="shared" si="6"/>
        <v>Expiring Soon</v>
      </c>
      <c r="V236" t="s">
        <v>1014</v>
      </c>
      <c r="W236">
        <v>32</v>
      </c>
      <c r="X236" s="3">
        <f t="shared" si="7"/>
        <v>2976</v>
      </c>
      <c r="Y236">
        <v>80</v>
      </c>
      <c r="Z236" t="s">
        <v>49</v>
      </c>
      <c r="AA236" s="3">
        <f>X236-Grocery_Inventory_and_Sales_Dat!N236</f>
        <v>2883</v>
      </c>
    </row>
    <row r="237" spans="1:27" x14ac:dyDescent="0.3">
      <c r="A237" t="s">
        <v>1015</v>
      </c>
      <c r="B237" t="s">
        <v>197</v>
      </c>
      <c r="C237" t="s">
        <v>33</v>
      </c>
      <c r="D237" t="s">
        <v>1016</v>
      </c>
      <c r="E237" s="13" t="s">
        <v>1017</v>
      </c>
      <c r="G237" s="2">
        <v>59</v>
      </c>
      <c r="H237">
        <v>17</v>
      </c>
      <c r="I237">
        <v>1</v>
      </c>
      <c r="J237" t="s">
        <v>55</v>
      </c>
      <c r="K237">
        <v>0</v>
      </c>
      <c r="L237" t="s">
        <v>41</v>
      </c>
      <c r="M237" s="12">
        <v>30</v>
      </c>
      <c r="N237" s="3">
        <f>G237*M237</f>
        <v>1770</v>
      </c>
      <c r="O237" s="1">
        <v>45494</v>
      </c>
      <c r="P237" s="1">
        <v>45530</v>
      </c>
      <c r="Q237" s="1">
        <v>45629</v>
      </c>
      <c r="R237">
        <v>585</v>
      </c>
      <c r="S237">
        <v>549</v>
      </c>
      <c r="T237">
        <v>450</v>
      </c>
      <c r="U237" t="str">
        <f t="shared" si="6"/>
        <v>Expiring Soon</v>
      </c>
      <c r="V237" t="s">
        <v>1018</v>
      </c>
      <c r="W237">
        <v>69</v>
      </c>
      <c r="X237" s="3">
        <f t="shared" si="7"/>
        <v>122130</v>
      </c>
      <c r="Y237">
        <v>82</v>
      </c>
      <c r="Z237" t="s">
        <v>49</v>
      </c>
      <c r="AA237" s="3">
        <f>X237-Grocery_Inventory_and_Sales_Dat!N237</f>
        <v>120360</v>
      </c>
    </row>
    <row r="238" spans="1:27" x14ac:dyDescent="0.3">
      <c r="A238" t="s">
        <v>1019</v>
      </c>
      <c r="B238" t="s">
        <v>446</v>
      </c>
      <c r="C238" t="s">
        <v>52</v>
      </c>
      <c r="D238" t="s">
        <v>1020</v>
      </c>
      <c r="E238" s="13" t="s">
        <v>213</v>
      </c>
      <c r="G238" s="2">
        <v>23</v>
      </c>
      <c r="H238">
        <v>38</v>
      </c>
      <c r="I238">
        <v>54</v>
      </c>
      <c r="J238" t="s">
        <v>27</v>
      </c>
      <c r="K238">
        <v>38</v>
      </c>
      <c r="L238" t="s">
        <v>41</v>
      </c>
      <c r="M238" s="12">
        <v>10</v>
      </c>
      <c r="N238" s="3">
        <f>G238*M238</f>
        <v>230</v>
      </c>
      <c r="O238" s="1">
        <v>45674</v>
      </c>
      <c r="P238" s="1">
        <v>45487</v>
      </c>
      <c r="Q238" s="1">
        <v>45397</v>
      </c>
      <c r="R238">
        <v>405</v>
      </c>
      <c r="S238">
        <v>592</v>
      </c>
      <c r="T238">
        <v>682</v>
      </c>
      <c r="U238" t="str">
        <f t="shared" si="6"/>
        <v>Safe</v>
      </c>
      <c r="V238" t="s">
        <v>1021</v>
      </c>
      <c r="W238">
        <v>40</v>
      </c>
      <c r="X238" s="3">
        <f t="shared" si="7"/>
        <v>9200</v>
      </c>
      <c r="Y238">
        <v>15</v>
      </c>
      <c r="Z238" t="s">
        <v>49</v>
      </c>
      <c r="AA238" s="3">
        <f>X238-Grocery_Inventory_and_Sales_Dat!N238</f>
        <v>8970</v>
      </c>
    </row>
    <row r="239" spans="1:27" x14ac:dyDescent="0.3">
      <c r="A239" t="s">
        <v>1022</v>
      </c>
      <c r="B239" t="s">
        <v>989</v>
      </c>
      <c r="C239" t="s">
        <v>95</v>
      </c>
      <c r="D239" t="s">
        <v>1023</v>
      </c>
      <c r="E239" s="13" t="s">
        <v>553</v>
      </c>
      <c r="G239" s="2">
        <v>39</v>
      </c>
      <c r="H239">
        <v>16</v>
      </c>
      <c r="I239">
        <v>57</v>
      </c>
      <c r="J239" t="s">
        <v>55</v>
      </c>
      <c r="K239">
        <v>0</v>
      </c>
      <c r="L239" t="s">
        <v>41</v>
      </c>
      <c r="M239" s="12">
        <v>4</v>
      </c>
      <c r="N239" s="3">
        <f>G239*M239</f>
        <v>156</v>
      </c>
      <c r="O239" s="1">
        <v>45647</v>
      </c>
      <c r="P239" s="1">
        <v>45539</v>
      </c>
      <c r="Q239" s="1">
        <v>45465</v>
      </c>
      <c r="R239">
        <v>432</v>
      </c>
      <c r="S239">
        <v>540</v>
      </c>
      <c r="T239">
        <v>614</v>
      </c>
      <c r="U239" t="str">
        <f t="shared" si="6"/>
        <v>Safe</v>
      </c>
      <c r="V239" t="s">
        <v>1024</v>
      </c>
      <c r="W239">
        <v>98</v>
      </c>
      <c r="X239" s="3">
        <f t="shared" si="7"/>
        <v>15288</v>
      </c>
      <c r="Y239">
        <v>12</v>
      </c>
      <c r="Z239" t="s">
        <v>49</v>
      </c>
      <c r="AA239" s="3">
        <f>X239-Grocery_Inventory_and_Sales_Dat!N239</f>
        <v>15132</v>
      </c>
    </row>
    <row r="240" spans="1:27" x14ac:dyDescent="0.3">
      <c r="A240" t="s">
        <v>1025</v>
      </c>
      <c r="B240" t="s">
        <v>618</v>
      </c>
      <c r="C240" t="s">
        <v>70</v>
      </c>
      <c r="D240" t="s">
        <v>1026</v>
      </c>
      <c r="E240" s="13" t="s">
        <v>194</v>
      </c>
      <c r="G240" s="2">
        <v>68</v>
      </c>
      <c r="H240">
        <v>29</v>
      </c>
      <c r="I240">
        <v>31</v>
      </c>
      <c r="J240" t="s">
        <v>55</v>
      </c>
      <c r="K240">
        <v>0</v>
      </c>
      <c r="L240" t="s">
        <v>41</v>
      </c>
      <c r="M240" s="12">
        <v>7</v>
      </c>
      <c r="N240" s="3">
        <f>G240*M240</f>
        <v>476</v>
      </c>
      <c r="O240" s="1">
        <v>45451</v>
      </c>
      <c r="P240" s="1">
        <v>45357</v>
      </c>
      <c r="Q240" s="1">
        <v>45544</v>
      </c>
      <c r="R240">
        <v>628</v>
      </c>
      <c r="S240">
        <v>722</v>
      </c>
      <c r="T240">
        <v>535</v>
      </c>
      <c r="U240" t="str">
        <f t="shared" si="6"/>
        <v>Expiring Soon</v>
      </c>
      <c r="V240" t="s">
        <v>1027</v>
      </c>
      <c r="W240">
        <v>53</v>
      </c>
      <c r="X240" s="3">
        <f t="shared" si="7"/>
        <v>25228</v>
      </c>
      <c r="Y240">
        <v>20</v>
      </c>
      <c r="Z240" t="s">
        <v>43</v>
      </c>
      <c r="AA240" s="3">
        <f>X240-Grocery_Inventory_and_Sales_Dat!N240</f>
        <v>24752</v>
      </c>
    </row>
    <row r="241" spans="1:27" x14ac:dyDescent="0.3">
      <c r="A241" t="s">
        <v>1028</v>
      </c>
      <c r="B241" t="s">
        <v>507</v>
      </c>
      <c r="C241" t="s">
        <v>24</v>
      </c>
      <c r="D241" t="s">
        <v>1029</v>
      </c>
      <c r="E241" s="13" t="s">
        <v>1030</v>
      </c>
      <c r="G241" s="2">
        <v>75</v>
      </c>
      <c r="H241">
        <v>46</v>
      </c>
      <c r="I241">
        <v>75</v>
      </c>
      <c r="J241" t="s">
        <v>55</v>
      </c>
      <c r="K241">
        <v>0</v>
      </c>
      <c r="L241" t="s">
        <v>41</v>
      </c>
      <c r="M241" s="12">
        <v>9.5</v>
      </c>
      <c r="N241" s="3">
        <f>G241*M241</f>
        <v>712.5</v>
      </c>
      <c r="O241" s="1">
        <v>45530</v>
      </c>
      <c r="P241" s="1">
        <v>45565</v>
      </c>
      <c r="Q241" s="1">
        <v>45591</v>
      </c>
      <c r="R241">
        <v>549</v>
      </c>
      <c r="S241">
        <v>514</v>
      </c>
      <c r="T241">
        <v>488</v>
      </c>
      <c r="U241" t="str">
        <f t="shared" si="6"/>
        <v>Expiring Soon</v>
      </c>
      <c r="V241" t="s">
        <v>1031</v>
      </c>
      <c r="W241">
        <v>43</v>
      </c>
      <c r="X241" s="3">
        <f t="shared" si="7"/>
        <v>30637.5</v>
      </c>
      <c r="Y241">
        <v>77</v>
      </c>
      <c r="Z241" t="s">
        <v>43</v>
      </c>
      <c r="AA241" s="3">
        <f>X241-Grocery_Inventory_and_Sales_Dat!N241</f>
        <v>29925</v>
      </c>
    </row>
    <row r="242" spans="1:27" x14ac:dyDescent="0.3">
      <c r="A242" t="s">
        <v>1032</v>
      </c>
      <c r="B242" t="s">
        <v>451</v>
      </c>
      <c r="C242" t="s">
        <v>95</v>
      </c>
      <c r="D242" t="s">
        <v>1033</v>
      </c>
      <c r="E242" s="13" t="s">
        <v>1034</v>
      </c>
      <c r="G242" s="2">
        <v>96</v>
      </c>
      <c r="H242">
        <v>16</v>
      </c>
      <c r="I242">
        <v>48</v>
      </c>
      <c r="J242" t="s">
        <v>55</v>
      </c>
      <c r="K242">
        <v>0</v>
      </c>
      <c r="L242" t="s">
        <v>41</v>
      </c>
      <c r="M242" s="12">
        <v>5</v>
      </c>
      <c r="N242" s="3">
        <f>G242*M242</f>
        <v>480</v>
      </c>
      <c r="O242" s="1">
        <v>45393</v>
      </c>
      <c r="P242" s="1">
        <v>45386</v>
      </c>
      <c r="Q242" s="1">
        <v>45683</v>
      </c>
      <c r="R242">
        <v>686</v>
      </c>
      <c r="S242">
        <v>693</v>
      </c>
      <c r="T242">
        <v>396</v>
      </c>
      <c r="U242" t="str">
        <f t="shared" si="6"/>
        <v>Expiring Soon</v>
      </c>
      <c r="V242" t="s">
        <v>1035</v>
      </c>
      <c r="W242">
        <v>45</v>
      </c>
      <c r="X242" s="3">
        <f t="shared" si="7"/>
        <v>21600</v>
      </c>
      <c r="Y242">
        <v>68</v>
      </c>
      <c r="Z242" t="s">
        <v>49</v>
      </c>
      <c r="AA242" s="3">
        <f>X242-Grocery_Inventory_and_Sales_Dat!N242</f>
        <v>21120</v>
      </c>
    </row>
    <row r="243" spans="1:27" x14ac:dyDescent="0.3">
      <c r="A243" t="s">
        <v>1036</v>
      </c>
      <c r="B243" t="s">
        <v>202</v>
      </c>
      <c r="C243" t="s">
        <v>138</v>
      </c>
      <c r="D243" t="s">
        <v>1037</v>
      </c>
      <c r="E243" s="13" t="s">
        <v>1038</v>
      </c>
      <c r="G243" s="2">
        <v>17</v>
      </c>
      <c r="H243">
        <v>38</v>
      </c>
      <c r="I243">
        <v>93</v>
      </c>
      <c r="J243" t="s">
        <v>27</v>
      </c>
      <c r="K243">
        <v>38</v>
      </c>
      <c r="L243" t="s">
        <v>41</v>
      </c>
      <c r="M243" s="12">
        <v>9</v>
      </c>
      <c r="N243" s="3">
        <f>G243*M243</f>
        <v>153</v>
      </c>
      <c r="O243" s="1">
        <v>45702</v>
      </c>
      <c r="P243" s="1">
        <v>45524</v>
      </c>
      <c r="Q243" s="1">
        <v>45501</v>
      </c>
      <c r="R243">
        <v>377</v>
      </c>
      <c r="S243">
        <v>555</v>
      </c>
      <c r="T243">
        <v>578</v>
      </c>
      <c r="U243" t="str">
        <f t="shared" si="6"/>
        <v>Safe</v>
      </c>
      <c r="V243" t="s">
        <v>1039</v>
      </c>
      <c r="W243">
        <v>100</v>
      </c>
      <c r="X243" s="3">
        <f t="shared" si="7"/>
        <v>15300</v>
      </c>
      <c r="Y243">
        <v>63</v>
      </c>
      <c r="Z243" t="s">
        <v>49</v>
      </c>
      <c r="AA243" s="3">
        <f>X243-Grocery_Inventory_and_Sales_Dat!N243</f>
        <v>15147</v>
      </c>
    </row>
    <row r="244" spans="1:27" x14ac:dyDescent="0.3">
      <c r="A244" t="s">
        <v>1040</v>
      </c>
      <c r="B244" t="s">
        <v>80</v>
      </c>
      <c r="C244" t="s">
        <v>70</v>
      </c>
      <c r="D244" t="s">
        <v>1041</v>
      </c>
      <c r="E244" s="13" t="s">
        <v>1042</v>
      </c>
      <c r="G244" s="2">
        <v>23</v>
      </c>
      <c r="H244">
        <v>38</v>
      </c>
      <c r="I244">
        <v>25</v>
      </c>
      <c r="J244" t="s">
        <v>27</v>
      </c>
      <c r="K244">
        <v>38</v>
      </c>
      <c r="L244" t="s">
        <v>41</v>
      </c>
      <c r="M244" s="12">
        <v>1</v>
      </c>
      <c r="N244" s="3">
        <f>G244*M244</f>
        <v>23</v>
      </c>
      <c r="O244" s="1">
        <v>45425</v>
      </c>
      <c r="P244" s="1">
        <v>45709</v>
      </c>
      <c r="Q244" s="1">
        <v>45672</v>
      </c>
      <c r="R244">
        <v>654</v>
      </c>
      <c r="S244">
        <v>370</v>
      </c>
      <c r="T244">
        <v>407</v>
      </c>
      <c r="U244" t="str">
        <f t="shared" si="6"/>
        <v>Expiring Soon</v>
      </c>
      <c r="V244" t="s">
        <v>1043</v>
      </c>
      <c r="W244">
        <v>84</v>
      </c>
      <c r="X244" s="3">
        <f t="shared" si="7"/>
        <v>1932</v>
      </c>
      <c r="Y244">
        <v>78</v>
      </c>
      <c r="Z244" t="s">
        <v>30</v>
      </c>
      <c r="AA244" s="3">
        <f>X244-Grocery_Inventory_and_Sales_Dat!N244</f>
        <v>1909</v>
      </c>
    </row>
    <row r="245" spans="1:27" x14ac:dyDescent="0.3">
      <c r="A245" t="s">
        <v>1044</v>
      </c>
      <c r="B245" t="s">
        <v>560</v>
      </c>
      <c r="C245" t="s">
        <v>52</v>
      </c>
      <c r="D245" t="s">
        <v>1045</v>
      </c>
      <c r="E245" s="13" t="s">
        <v>388</v>
      </c>
      <c r="G245" s="2">
        <v>15</v>
      </c>
      <c r="H245">
        <v>27</v>
      </c>
      <c r="I245">
        <v>21</v>
      </c>
      <c r="J245" t="s">
        <v>27</v>
      </c>
      <c r="K245">
        <v>27</v>
      </c>
      <c r="L245" t="s">
        <v>41</v>
      </c>
      <c r="M245" s="12">
        <v>4</v>
      </c>
      <c r="N245" s="3">
        <f>G245*M245</f>
        <v>60</v>
      </c>
      <c r="O245" s="1">
        <v>45602</v>
      </c>
      <c r="P245" s="1">
        <v>45709</v>
      </c>
      <c r="Q245" s="1">
        <v>45538</v>
      </c>
      <c r="R245">
        <v>477</v>
      </c>
      <c r="S245">
        <v>370</v>
      </c>
      <c r="T245">
        <v>541</v>
      </c>
      <c r="U245" t="str">
        <f t="shared" si="6"/>
        <v>Expiring Soon</v>
      </c>
      <c r="V245" t="s">
        <v>1046</v>
      </c>
      <c r="W245">
        <v>37</v>
      </c>
      <c r="X245" s="3">
        <f t="shared" si="7"/>
        <v>2220</v>
      </c>
      <c r="Y245">
        <v>67</v>
      </c>
      <c r="Z245" t="s">
        <v>43</v>
      </c>
      <c r="AA245" s="3">
        <f>X245-Grocery_Inventory_and_Sales_Dat!N245</f>
        <v>2160</v>
      </c>
    </row>
    <row r="246" spans="1:27" x14ac:dyDescent="0.3">
      <c r="A246" t="s">
        <v>1047</v>
      </c>
      <c r="B246" t="s">
        <v>1048</v>
      </c>
      <c r="C246" t="s">
        <v>138</v>
      </c>
      <c r="D246" t="s">
        <v>1049</v>
      </c>
      <c r="E246" s="13" t="s">
        <v>1050</v>
      </c>
      <c r="G246" s="2">
        <v>71</v>
      </c>
      <c r="H246">
        <v>7</v>
      </c>
      <c r="I246">
        <v>6</v>
      </c>
      <c r="J246" t="s">
        <v>55</v>
      </c>
      <c r="K246">
        <v>0</v>
      </c>
      <c r="L246" t="s">
        <v>41</v>
      </c>
      <c r="M246" s="12">
        <v>7.5</v>
      </c>
      <c r="N246" s="3">
        <f>G246*M246</f>
        <v>532.5</v>
      </c>
      <c r="O246" s="1">
        <v>45533</v>
      </c>
      <c r="P246" s="1">
        <v>45334</v>
      </c>
      <c r="Q246" s="1">
        <v>45539</v>
      </c>
      <c r="R246">
        <v>546</v>
      </c>
      <c r="S246">
        <v>745</v>
      </c>
      <c r="T246">
        <v>540</v>
      </c>
      <c r="U246" t="str">
        <f t="shared" si="6"/>
        <v>Expiring Soon</v>
      </c>
      <c r="V246" t="s">
        <v>1051</v>
      </c>
      <c r="W246">
        <v>52</v>
      </c>
      <c r="X246" s="3">
        <f t="shared" si="7"/>
        <v>27690</v>
      </c>
      <c r="Y246">
        <v>68</v>
      </c>
      <c r="Z246" t="s">
        <v>43</v>
      </c>
      <c r="AA246" s="3">
        <f>X246-Grocery_Inventory_and_Sales_Dat!N246</f>
        <v>27157.5</v>
      </c>
    </row>
    <row r="247" spans="1:27" x14ac:dyDescent="0.3">
      <c r="A247" t="s">
        <v>1052</v>
      </c>
      <c r="B247" t="s">
        <v>69</v>
      </c>
      <c r="C247" t="s">
        <v>70</v>
      </c>
      <c r="D247" t="s">
        <v>1053</v>
      </c>
      <c r="E247" s="13" t="s">
        <v>1054</v>
      </c>
      <c r="G247" s="2">
        <v>97</v>
      </c>
      <c r="H247">
        <v>26</v>
      </c>
      <c r="I247">
        <v>15</v>
      </c>
      <c r="J247" t="s">
        <v>55</v>
      </c>
      <c r="K247">
        <v>0</v>
      </c>
      <c r="L247" t="s">
        <v>41</v>
      </c>
      <c r="M247" s="12">
        <v>2.5</v>
      </c>
      <c r="N247" s="3">
        <f>G247*M247</f>
        <v>242.5</v>
      </c>
      <c r="O247" s="1">
        <v>45525</v>
      </c>
      <c r="P247" s="1">
        <v>45718</v>
      </c>
      <c r="Q247" s="1">
        <v>45606</v>
      </c>
      <c r="R247">
        <v>554</v>
      </c>
      <c r="S247">
        <v>361</v>
      </c>
      <c r="T247">
        <v>473</v>
      </c>
      <c r="U247" t="str">
        <f t="shared" si="6"/>
        <v>Expiring Soon</v>
      </c>
      <c r="V247" t="s">
        <v>1055</v>
      </c>
      <c r="W247">
        <v>33</v>
      </c>
      <c r="X247" s="3">
        <f t="shared" si="7"/>
        <v>8002.5</v>
      </c>
      <c r="Y247">
        <v>58</v>
      </c>
      <c r="Z247" t="s">
        <v>30</v>
      </c>
      <c r="AA247" s="3">
        <f>X247-Grocery_Inventory_and_Sales_Dat!N247</f>
        <v>7760</v>
      </c>
    </row>
    <row r="248" spans="1:27" x14ac:dyDescent="0.3">
      <c r="A248" t="s">
        <v>1056</v>
      </c>
      <c r="B248" t="s">
        <v>220</v>
      </c>
      <c r="C248" t="s">
        <v>52</v>
      </c>
      <c r="D248" t="s">
        <v>1057</v>
      </c>
      <c r="E248" s="13" t="s">
        <v>277</v>
      </c>
      <c r="G248" s="2">
        <v>29</v>
      </c>
      <c r="H248">
        <v>18</v>
      </c>
      <c r="I248">
        <v>86</v>
      </c>
      <c r="J248" t="s">
        <v>55</v>
      </c>
      <c r="K248">
        <v>0</v>
      </c>
      <c r="L248" t="s">
        <v>41</v>
      </c>
      <c r="M248" s="12">
        <v>2.5</v>
      </c>
      <c r="N248" s="3">
        <f>G248*M248</f>
        <v>72.5</v>
      </c>
      <c r="O248" s="1">
        <v>45589</v>
      </c>
      <c r="P248" s="1">
        <v>45612</v>
      </c>
      <c r="Q248" s="1">
        <v>45423</v>
      </c>
      <c r="R248">
        <v>490</v>
      </c>
      <c r="S248">
        <v>467</v>
      </c>
      <c r="T248">
        <v>656</v>
      </c>
      <c r="U248" t="str">
        <f t="shared" si="6"/>
        <v>Safe</v>
      </c>
      <c r="V248" t="s">
        <v>1058</v>
      </c>
      <c r="W248">
        <v>53</v>
      </c>
      <c r="X248" s="3">
        <f t="shared" si="7"/>
        <v>3842.5</v>
      </c>
      <c r="Y248">
        <v>69</v>
      </c>
      <c r="Z248" t="s">
        <v>49</v>
      </c>
      <c r="AA248" s="3">
        <f>X248-Grocery_Inventory_and_Sales_Dat!N248</f>
        <v>3770</v>
      </c>
    </row>
    <row r="249" spans="1:27" x14ac:dyDescent="0.3">
      <c r="A249" t="s">
        <v>1059</v>
      </c>
      <c r="B249" t="s">
        <v>374</v>
      </c>
      <c r="C249" t="s">
        <v>52</v>
      </c>
      <c r="D249" t="s">
        <v>1060</v>
      </c>
      <c r="E249" s="13" t="s">
        <v>1030</v>
      </c>
      <c r="G249" s="2">
        <v>46</v>
      </c>
      <c r="H249">
        <v>64</v>
      </c>
      <c r="I249">
        <v>17</v>
      </c>
      <c r="J249" t="s">
        <v>27</v>
      </c>
      <c r="K249">
        <v>64</v>
      </c>
      <c r="L249" t="s">
        <v>28</v>
      </c>
      <c r="M249" s="12">
        <v>4.5999999999999996</v>
      </c>
      <c r="N249" s="3">
        <f>G249*M249</f>
        <v>211.6</v>
      </c>
      <c r="O249" s="1">
        <v>45294</v>
      </c>
      <c r="P249" s="1">
        <v>45809</v>
      </c>
      <c r="Q249" s="1">
        <v>45688</v>
      </c>
      <c r="R249">
        <v>785</v>
      </c>
      <c r="S249">
        <v>270</v>
      </c>
      <c r="T249">
        <v>391</v>
      </c>
      <c r="U249" t="str">
        <f t="shared" si="6"/>
        <v>Expiring Soon</v>
      </c>
      <c r="V249" t="s">
        <v>1061</v>
      </c>
      <c r="W249">
        <v>96</v>
      </c>
      <c r="X249" s="3">
        <f t="shared" si="7"/>
        <v>20313.599999999999</v>
      </c>
      <c r="Y249">
        <v>55</v>
      </c>
      <c r="Z249" t="s">
        <v>30</v>
      </c>
      <c r="AA249" s="3">
        <f>X249-Grocery_Inventory_and_Sales_Dat!N249</f>
        <v>20102</v>
      </c>
    </row>
    <row r="250" spans="1:27" x14ac:dyDescent="0.3">
      <c r="A250" t="s">
        <v>1062</v>
      </c>
      <c r="B250" t="s">
        <v>456</v>
      </c>
      <c r="C250" t="s">
        <v>70</v>
      </c>
      <c r="D250" t="s">
        <v>1063</v>
      </c>
      <c r="E250" s="13" t="s">
        <v>808</v>
      </c>
      <c r="G250" s="2">
        <v>76</v>
      </c>
      <c r="H250">
        <v>15</v>
      </c>
      <c r="I250">
        <v>99</v>
      </c>
      <c r="J250" t="s">
        <v>55</v>
      </c>
      <c r="K250">
        <v>0</v>
      </c>
      <c r="L250" t="s">
        <v>41</v>
      </c>
      <c r="M250" s="12">
        <v>9.5</v>
      </c>
      <c r="N250" s="3">
        <f>G250*M250</f>
        <v>722</v>
      </c>
      <c r="O250" s="1">
        <v>45659</v>
      </c>
      <c r="P250" s="1">
        <v>45499</v>
      </c>
      <c r="Q250" s="1">
        <v>45418</v>
      </c>
      <c r="R250">
        <v>420</v>
      </c>
      <c r="S250">
        <v>580</v>
      </c>
      <c r="T250">
        <v>661</v>
      </c>
      <c r="U250" t="str">
        <f t="shared" si="6"/>
        <v>Safe</v>
      </c>
      <c r="V250" t="s">
        <v>1064</v>
      </c>
      <c r="W250">
        <v>60</v>
      </c>
      <c r="X250" s="3">
        <f t="shared" si="7"/>
        <v>43320</v>
      </c>
      <c r="Y250">
        <v>49</v>
      </c>
      <c r="Z250" t="s">
        <v>30</v>
      </c>
      <c r="AA250" s="3">
        <f>X250-Grocery_Inventory_and_Sales_Dat!N250</f>
        <v>42598</v>
      </c>
    </row>
    <row r="251" spans="1:27" x14ac:dyDescent="0.3">
      <c r="A251" t="s">
        <v>1065</v>
      </c>
      <c r="B251" t="s">
        <v>220</v>
      </c>
      <c r="C251" t="s">
        <v>52</v>
      </c>
      <c r="D251" t="s">
        <v>1066</v>
      </c>
      <c r="E251" s="13" t="s">
        <v>808</v>
      </c>
      <c r="G251" s="2">
        <v>59</v>
      </c>
      <c r="H251">
        <v>91</v>
      </c>
      <c r="I251">
        <v>24</v>
      </c>
      <c r="J251" t="s">
        <v>27</v>
      </c>
      <c r="K251">
        <v>91</v>
      </c>
      <c r="L251" t="s">
        <v>28</v>
      </c>
      <c r="M251" s="12">
        <v>2.5</v>
      </c>
      <c r="N251" s="3">
        <f>G251*M251</f>
        <v>147.5</v>
      </c>
      <c r="O251" s="1">
        <v>45592</v>
      </c>
      <c r="P251" s="1">
        <v>45472</v>
      </c>
      <c r="Q251" s="1">
        <v>45642</v>
      </c>
      <c r="R251">
        <v>487</v>
      </c>
      <c r="S251">
        <v>607</v>
      </c>
      <c r="T251">
        <v>437</v>
      </c>
      <c r="U251" t="str">
        <f t="shared" si="6"/>
        <v>Expiring Soon</v>
      </c>
      <c r="V251" t="s">
        <v>1067</v>
      </c>
      <c r="W251">
        <v>54</v>
      </c>
      <c r="X251" s="3">
        <f t="shared" si="7"/>
        <v>7965</v>
      </c>
      <c r="Y251">
        <v>87</v>
      </c>
      <c r="Z251" t="s">
        <v>49</v>
      </c>
      <c r="AA251" s="3">
        <f>X251-Grocery_Inventory_and_Sales_Dat!N251</f>
        <v>7817.5</v>
      </c>
    </row>
    <row r="252" spans="1:27" x14ac:dyDescent="0.3">
      <c r="A252" t="s">
        <v>1068</v>
      </c>
      <c r="B252" t="s">
        <v>280</v>
      </c>
      <c r="C252" t="s">
        <v>52</v>
      </c>
      <c r="D252" t="s">
        <v>1069</v>
      </c>
      <c r="E252" s="13" t="s">
        <v>1070</v>
      </c>
      <c r="G252" s="2">
        <v>92</v>
      </c>
      <c r="H252">
        <v>54</v>
      </c>
      <c r="I252">
        <v>73</v>
      </c>
      <c r="J252" t="s">
        <v>55</v>
      </c>
      <c r="K252">
        <v>0</v>
      </c>
      <c r="L252" t="s">
        <v>41</v>
      </c>
      <c r="M252" s="12">
        <v>3.1</v>
      </c>
      <c r="N252" s="3">
        <f>G252*M252</f>
        <v>285.2</v>
      </c>
      <c r="O252" s="1">
        <v>45840</v>
      </c>
      <c r="P252" s="1">
        <v>45674</v>
      </c>
      <c r="Q252" s="1">
        <v>45639</v>
      </c>
      <c r="R252">
        <v>239</v>
      </c>
      <c r="S252">
        <v>405</v>
      </c>
      <c r="T252">
        <v>440</v>
      </c>
      <c r="U252" t="str">
        <f t="shared" si="6"/>
        <v>Expiring Soon</v>
      </c>
      <c r="V252" t="s">
        <v>1071</v>
      </c>
      <c r="W252">
        <v>79</v>
      </c>
      <c r="X252" s="3">
        <f t="shared" si="7"/>
        <v>22530.799999999999</v>
      </c>
      <c r="Y252">
        <v>1</v>
      </c>
      <c r="Z252" t="s">
        <v>43</v>
      </c>
      <c r="AA252" s="3">
        <f>X252-Grocery_Inventory_and_Sales_Dat!N252</f>
        <v>22245.599999999999</v>
      </c>
    </row>
    <row r="253" spans="1:27" x14ac:dyDescent="0.3">
      <c r="A253" t="s">
        <v>1072</v>
      </c>
      <c r="B253" t="s">
        <v>262</v>
      </c>
      <c r="C253" t="s">
        <v>52</v>
      </c>
      <c r="D253" t="s">
        <v>1073</v>
      </c>
      <c r="E253" s="13" t="s">
        <v>953</v>
      </c>
      <c r="G253" s="2">
        <v>28</v>
      </c>
      <c r="H253">
        <v>27</v>
      </c>
      <c r="I253">
        <v>22</v>
      </c>
      <c r="J253" t="s">
        <v>55</v>
      </c>
      <c r="K253">
        <v>0</v>
      </c>
      <c r="L253" t="s">
        <v>41</v>
      </c>
      <c r="M253" s="12">
        <v>6</v>
      </c>
      <c r="N253" s="3">
        <f>G253*M253</f>
        <v>168</v>
      </c>
      <c r="O253" s="1">
        <v>45427</v>
      </c>
      <c r="P253" s="1">
        <v>45519</v>
      </c>
      <c r="Q253" s="1">
        <v>45423</v>
      </c>
      <c r="R253">
        <v>652</v>
      </c>
      <c r="S253">
        <v>560</v>
      </c>
      <c r="T253">
        <v>656</v>
      </c>
      <c r="U253" t="str">
        <f t="shared" si="6"/>
        <v>Safe</v>
      </c>
      <c r="V253" t="s">
        <v>1074</v>
      </c>
      <c r="W253">
        <v>70</v>
      </c>
      <c r="X253" s="3">
        <f t="shared" si="7"/>
        <v>11760</v>
      </c>
      <c r="Y253">
        <v>30</v>
      </c>
      <c r="Z253" t="s">
        <v>30</v>
      </c>
      <c r="AA253" s="3">
        <f>X253-Grocery_Inventory_and_Sales_Dat!N253</f>
        <v>11592</v>
      </c>
    </row>
    <row r="254" spans="1:27" x14ac:dyDescent="0.3">
      <c r="A254" t="s">
        <v>1075</v>
      </c>
      <c r="B254" t="s">
        <v>534</v>
      </c>
      <c r="C254" t="s">
        <v>52</v>
      </c>
      <c r="D254" t="s">
        <v>1076</v>
      </c>
      <c r="E254" s="13" t="s">
        <v>1077</v>
      </c>
      <c r="G254" s="2">
        <v>19</v>
      </c>
      <c r="H254">
        <v>47</v>
      </c>
      <c r="I254">
        <v>25</v>
      </c>
      <c r="J254" t="s">
        <v>27</v>
      </c>
      <c r="K254">
        <v>47</v>
      </c>
      <c r="L254" t="s">
        <v>41</v>
      </c>
      <c r="M254" s="12">
        <v>5</v>
      </c>
      <c r="N254" s="3">
        <f>G254*M254</f>
        <v>95</v>
      </c>
      <c r="O254" s="1">
        <v>45644</v>
      </c>
      <c r="P254" s="1">
        <v>45712</v>
      </c>
      <c r="Q254" s="1">
        <v>45685</v>
      </c>
      <c r="R254">
        <v>435</v>
      </c>
      <c r="S254">
        <v>367</v>
      </c>
      <c r="T254">
        <v>394</v>
      </c>
      <c r="U254" t="str">
        <f t="shared" si="6"/>
        <v>Expiring Soon</v>
      </c>
      <c r="V254" t="s">
        <v>1078</v>
      </c>
      <c r="W254">
        <v>96</v>
      </c>
      <c r="X254" s="3">
        <f t="shared" si="7"/>
        <v>9120</v>
      </c>
      <c r="Y254">
        <v>37</v>
      </c>
      <c r="Z254" t="s">
        <v>30</v>
      </c>
      <c r="AA254" s="3">
        <f>X254-Grocery_Inventory_and_Sales_Dat!N254</f>
        <v>9025</v>
      </c>
    </row>
    <row r="255" spans="1:27" x14ac:dyDescent="0.3">
      <c r="A255" t="s">
        <v>1079</v>
      </c>
      <c r="B255" t="s">
        <v>244</v>
      </c>
      <c r="C255" t="s">
        <v>70</v>
      </c>
      <c r="D255" t="s">
        <v>1080</v>
      </c>
      <c r="E255" s="13" t="s">
        <v>748</v>
      </c>
      <c r="G255" s="2">
        <v>85</v>
      </c>
      <c r="H255">
        <v>28</v>
      </c>
      <c r="I255">
        <v>21</v>
      </c>
      <c r="J255" t="s">
        <v>55</v>
      </c>
      <c r="K255">
        <v>0</v>
      </c>
      <c r="L255" t="s">
        <v>41</v>
      </c>
      <c r="M255" s="12">
        <v>3</v>
      </c>
      <c r="N255" s="3">
        <f>G255*M255</f>
        <v>255</v>
      </c>
      <c r="O255" s="1">
        <v>45524</v>
      </c>
      <c r="P255" s="1">
        <v>45473</v>
      </c>
      <c r="Q255" s="1">
        <v>45455</v>
      </c>
      <c r="R255">
        <v>555</v>
      </c>
      <c r="S255">
        <v>606</v>
      </c>
      <c r="T255">
        <v>624</v>
      </c>
      <c r="U255" t="str">
        <f t="shared" si="6"/>
        <v>Safe</v>
      </c>
      <c r="V255" t="s">
        <v>1081</v>
      </c>
      <c r="W255">
        <v>45</v>
      </c>
      <c r="X255" s="3">
        <f t="shared" si="7"/>
        <v>11475</v>
      </c>
      <c r="Y255">
        <v>89</v>
      </c>
      <c r="Z255" t="s">
        <v>49</v>
      </c>
      <c r="AA255" s="3">
        <f>X255-Grocery_Inventory_and_Sales_Dat!N255</f>
        <v>11220</v>
      </c>
    </row>
    <row r="256" spans="1:27" x14ac:dyDescent="0.3">
      <c r="A256" t="s">
        <v>1082</v>
      </c>
      <c r="B256" t="s">
        <v>114</v>
      </c>
      <c r="C256" t="s">
        <v>24</v>
      </c>
      <c r="D256" t="s">
        <v>1083</v>
      </c>
      <c r="E256" s="13" t="s">
        <v>1084</v>
      </c>
      <c r="G256" s="2">
        <v>57</v>
      </c>
      <c r="H256">
        <v>63</v>
      </c>
      <c r="I256">
        <v>41</v>
      </c>
      <c r="J256" t="s">
        <v>27</v>
      </c>
      <c r="K256">
        <v>63</v>
      </c>
      <c r="L256" t="s">
        <v>28</v>
      </c>
      <c r="M256" s="12">
        <v>1.5</v>
      </c>
      <c r="N256" s="3">
        <f>G256*M256</f>
        <v>85.5</v>
      </c>
      <c r="O256" s="1">
        <v>45529</v>
      </c>
      <c r="P256" s="1">
        <v>45705</v>
      </c>
      <c r="Q256" s="1">
        <v>45595</v>
      </c>
      <c r="R256">
        <v>550</v>
      </c>
      <c r="S256">
        <v>374</v>
      </c>
      <c r="T256">
        <v>484</v>
      </c>
      <c r="U256" t="str">
        <f t="shared" si="6"/>
        <v>Expiring Soon</v>
      </c>
      <c r="V256" t="s">
        <v>1085</v>
      </c>
      <c r="W256">
        <v>53</v>
      </c>
      <c r="X256" s="3">
        <f t="shared" si="7"/>
        <v>4531.5</v>
      </c>
      <c r="Y256">
        <v>94</v>
      </c>
      <c r="Z256" t="s">
        <v>30</v>
      </c>
      <c r="AA256" s="3">
        <f>X256-Grocery_Inventory_and_Sales_Dat!N256</f>
        <v>4446</v>
      </c>
    </row>
    <row r="257" spans="1:27" x14ac:dyDescent="0.3">
      <c r="A257" t="s">
        <v>1086</v>
      </c>
      <c r="B257" t="s">
        <v>355</v>
      </c>
      <c r="C257" t="s">
        <v>52</v>
      </c>
      <c r="D257" t="s">
        <v>1087</v>
      </c>
      <c r="E257" s="13" t="s">
        <v>1088</v>
      </c>
      <c r="G257" s="2">
        <v>95</v>
      </c>
      <c r="H257">
        <v>29</v>
      </c>
      <c r="I257">
        <v>28</v>
      </c>
      <c r="J257" t="s">
        <v>55</v>
      </c>
      <c r="K257">
        <v>0</v>
      </c>
      <c r="L257" t="s">
        <v>41</v>
      </c>
      <c r="M257" s="12">
        <v>4</v>
      </c>
      <c r="N257" s="3">
        <f>G257*M257</f>
        <v>380</v>
      </c>
      <c r="O257" s="1">
        <v>45493</v>
      </c>
      <c r="P257" s="1">
        <v>45673</v>
      </c>
      <c r="Q257" s="1">
        <v>45432</v>
      </c>
      <c r="R257">
        <v>586</v>
      </c>
      <c r="S257">
        <v>406</v>
      </c>
      <c r="T257">
        <v>647</v>
      </c>
      <c r="U257" t="str">
        <f t="shared" si="6"/>
        <v>Safe</v>
      </c>
      <c r="V257" t="s">
        <v>1089</v>
      </c>
      <c r="W257">
        <v>52</v>
      </c>
      <c r="X257" s="3">
        <f t="shared" si="7"/>
        <v>19760</v>
      </c>
      <c r="Y257">
        <v>46</v>
      </c>
      <c r="Z257" t="s">
        <v>30</v>
      </c>
      <c r="AA257" s="3">
        <f>X257-Grocery_Inventory_and_Sales_Dat!N257</f>
        <v>19380</v>
      </c>
    </row>
    <row r="258" spans="1:27" x14ac:dyDescent="0.3">
      <c r="A258" t="s">
        <v>1090</v>
      </c>
      <c r="B258" t="s">
        <v>23</v>
      </c>
      <c r="C258" t="s">
        <v>24</v>
      </c>
      <c r="D258" t="s">
        <v>1091</v>
      </c>
      <c r="E258" s="13" t="s">
        <v>1092</v>
      </c>
      <c r="G258" s="2">
        <v>84</v>
      </c>
      <c r="H258">
        <v>69</v>
      </c>
      <c r="I258">
        <v>77</v>
      </c>
      <c r="J258" t="s">
        <v>55</v>
      </c>
      <c r="K258">
        <v>0</v>
      </c>
      <c r="L258" t="s">
        <v>41</v>
      </c>
      <c r="M258" s="12">
        <v>4.5</v>
      </c>
      <c r="N258" s="3">
        <f>G258*M258</f>
        <v>378</v>
      </c>
      <c r="O258" s="1">
        <v>45679</v>
      </c>
      <c r="P258" s="1">
        <v>45654</v>
      </c>
      <c r="Q258" s="1">
        <v>45444</v>
      </c>
      <c r="R258">
        <v>400</v>
      </c>
      <c r="S258">
        <v>425</v>
      </c>
      <c r="T258">
        <v>635</v>
      </c>
      <c r="U258" t="str">
        <f t="shared" si="6"/>
        <v>Safe</v>
      </c>
      <c r="V258" t="s">
        <v>1093</v>
      </c>
      <c r="W258">
        <v>39</v>
      </c>
      <c r="X258" s="3">
        <f t="shared" si="7"/>
        <v>14742</v>
      </c>
      <c r="Y258">
        <v>69</v>
      </c>
      <c r="Z258" t="s">
        <v>43</v>
      </c>
      <c r="AA258" s="3">
        <f>X258-Grocery_Inventory_and_Sales_Dat!N258</f>
        <v>14364</v>
      </c>
    </row>
    <row r="259" spans="1:27" x14ac:dyDescent="0.3">
      <c r="A259" t="s">
        <v>1094</v>
      </c>
      <c r="B259" t="s">
        <v>478</v>
      </c>
      <c r="C259" t="s">
        <v>24</v>
      </c>
      <c r="D259" t="s">
        <v>1095</v>
      </c>
      <c r="E259" s="13" t="s">
        <v>466</v>
      </c>
      <c r="G259" s="2">
        <v>31</v>
      </c>
      <c r="H259">
        <v>32</v>
      </c>
      <c r="I259">
        <v>69</v>
      </c>
      <c r="J259" t="s">
        <v>27</v>
      </c>
      <c r="K259">
        <v>32</v>
      </c>
      <c r="L259" t="s">
        <v>41</v>
      </c>
      <c r="M259" s="12">
        <v>2</v>
      </c>
      <c r="N259" s="3">
        <f>G259*M259</f>
        <v>62</v>
      </c>
      <c r="O259" s="1">
        <v>45351</v>
      </c>
      <c r="P259" s="1">
        <v>45388</v>
      </c>
      <c r="Q259" s="1">
        <v>45617</v>
      </c>
      <c r="R259">
        <v>728</v>
      </c>
      <c r="S259">
        <v>691</v>
      </c>
      <c r="T259">
        <v>462</v>
      </c>
      <c r="U259" t="str">
        <f t="shared" ref="U259:U322" si="8">IF(T259&lt;0,"Expired",IF(T259&lt;=550,"Expiring Soon","Safe"))</f>
        <v>Expiring Soon</v>
      </c>
      <c r="V259" t="s">
        <v>1096</v>
      </c>
      <c r="W259">
        <v>38</v>
      </c>
      <c r="X259" s="3">
        <f t="shared" ref="X259:X322" si="9">W259*N259</f>
        <v>2356</v>
      </c>
      <c r="Y259">
        <v>23</v>
      </c>
      <c r="Z259" t="s">
        <v>49</v>
      </c>
      <c r="AA259" s="3">
        <f>X259-Grocery_Inventory_and_Sales_Dat!N259</f>
        <v>2294</v>
      </c>
    </row>
    <row r="260" spans="1:27" x14ac:dyDescent="0.3">
      <c r="A260" t="s">
        <v>1097</v>
      </c>
      <c r="B260" t="s">
        <v>177</v>
      </c>
      <c r="C260" t="s">
        <v>52</v>
      </c>
      <c r="D260" t="s">
        <v>1098</v>
      </c>
      <c r="E260" s="13" t="s">
        <v>1099</v>
      </c>
      <c r="G260" s="2">
        <v>41</v>
      </c>
      <c r="H260">
        <v>52</v>
      </c>
      <c r="I260">
        <v>75</v>
      </c>
      <c r="J260" t="s">
        <v>27</v>
      </c>
      <c r="K260">
        <v>52</v>
      </c>
      <c r="L260" t="s">
        <v>41</v>
      </c>
      <c r="M260" s="12">
        <v>4.5</v>
      </c>
      <c r="N260" s="3">
        <f>G260*M260</f>
        <v>184.5</v>
      </c>
      <c r="O260" s="1">
        <v>45447</v>
      </c>
      <c r="P260" s="1">
        <v>45406</v>
      </c>
      <c r="Q260" s="1">
        <v>45578</v>
      </c>
      <c r="R260">
        <v>632</v>
      </c>
      <c r="S260">
        <v>673</v>
      </c>
      <c r="T260">
        <v>501</v>
      </c>
      <c r="U260" t="str">
        <f t="shared" si="8"/>
        <v>Expiring Soon</v>
      </c>
      <c r="V260" t="s">
        <v>1100</v>
      </c>
      <c r="W260">
        <v>57</v>
      </c>
      <c r="X260" s="3">
        <f t="shared" si="9"/>
        <v>10516.5</v>
      </c>
      <c r="Y260">
        <v>62</v>
      </c>
      <c r="Z260" t="s">
        <v>43</v>
      </c>
      <c r="AA260" s="3">
        <f>X260-Grocery_Inventory_and_Sales_Dat!N260</f>
        <v>10332</v>
      </c>
    </row>
    <row r="261" spans="1:27" x14ac:dyDescent="0.3">
      <c r="A261" t="s">
        <v>1101</v>
      </c>
      <c r="B261" t="s">
        <v>109</v>
      </c>
      <c r="C261" t="s">
        <v>70</v>
      </c>
      <c r="D261" t="s">
        <v>1102</v>
      </c>
      <c r="E261" s="13" t="s">
        <v>319</v>
      </c>
      <c r="G261" s="2">
        <v>97</v>
      </c>
      <c r="H261">
        <v>57</v>
      </c>
      <c r="I261">
        <v>84</v>
      </c>
      <c r="J261" t="s">
        <v>55</v>
      </c>
      <c r="K261">
        <v>0</v>
      </c>
      <c r="L261" t="s">
        <v>41</v>
      </c>
      <c r="M261" s="12">
        <v>7</v>
      </c>
      <c r="N261" s="3">
        <f>G261*M261</f>
        <v>679</v>
      </c>
      <c r="O261" s="1">
        <v>45562</v>
      </c>
      <c r="P261" s="1">
        <v>45533</v>
      </c>
      <c r="Q261" s="1">
        <v>45694</v>
      </c>
      <c r="R261">
        <v>517</v>
      </c>
      <c r="S261">
        <v>546</v>
      </c>
      <c r="T261">
        <v>385</v>
      </c>
      <c r="U261" t="str">
        <f t="shared" si="8"/>
        <v>Expiring Soon</v>
      </c>
      <c r="V261" t="s">
        <v>1103</v>
      </c>
      <c r="W261">
        <v>95</v>
      </c>
      <c r="X261" s="3">
        <f t="shared" si="9"/>
        <v>64505</v>
      </c>
      <c r="Y261">
        <v>28</v>
      </c>
      <c r="Z261" t="s">
        <v>49</v>
      </c>
      <c r="AA261" s="3">
        <f>X261-Grocery_Inventory_and_Sales_Dat!N261</f>
        <v>63826</v>
      </c>
    </row>
    <row r="262" spans="1:27" x14ac:dyDescent="0.3">
      <c r="A262" t="s">
        <v>1104</v>
      </c>
      <c r="B262" t="s">
        <v>1105</v>
      </c>
      <c r="C262" t="s">
        <v>70</v>
      </c>
      <c r="D262" t="s">
        <v>1106</v>
      </c>
      <c r="E262" s="13" t="s">
        <v>1107</v>
      </c>
      <c r="G262" s="2">
        <v>43</v>
      </c>
      <c r="H262">
        <v>88</v>
      </c>
      <c r="I262">
        <v>33</v>
      </c>
      <c r="J262" t="s">
        <v>27</v>
      </c>
      <c r="K262">
        <v>88</v>
      </c>
      <c r="L262" t="s">
        <v>28</v>
      </c>
      <c r="M262" s="12">
        <v>1</v>
      </c>
      <c r="N262" s="3">
        <f>G262*M262</f>
        <v>43</v>
      </c>
      <c r="O262" s="1">
        <v>45492</v>
      </c>
      <c r="P262" s="1">
        <v>45718</v>
      </c>
      <c r="Q262" s="1">
        <v>45649</v>
      </c>
      <c r="R262">
        <v>587</v>
      </c>
      <c r="S262">
        <v>361</v>
      </c>
      <c r="T262">
        <v>430</v>
      </c>
      <c r="U262" t="str">
        <f t="shared" si="8"/>
        <v>Expiring Soon</v>
      </c>
      <c r="V262" t="s">
        <v>1108</v>
      </c>
      <c r="W262">
        <v>84</v>
      </c>
      <c r="X262" s="3">
        <f t="shared" si="9"/>
        <v>3612</v>
      </c>
      <c r="Y262">
        <v>75</v>
      </c>
      <c r="Z262" t="s">
        <v>30</v>
      </c>
      <c r="AA262" s="3">
        <f>X262-Grocery_Inventory_and_Sales_Dat!N262</f>
        <v>3569</v>
      </c>
    </row>
    <row r="263" spans="1:27" x14ac:dyDescent="0.3">
      <c r="A263" t="s">
        <v>1109</v>
      </c>
      <c r="B263" t="s">
        <v>461</v>
      </c>
      <c r="C263" t="s">
        <v>64</v>
      </c>
      <c r="D263" t="s">
        <v>1110</v>
      </c>
      <c r="E263" s="13" t="s">
        <v>86</v>
      </c>
      <c r="G263" s="2">
        <v>74</v>
      </c>
      <c r="H263">
        <v>4</v>
      </c>
      <c r="I263">
        <v>67</v>
      </c>
      <c r="J263" t="s">
        <v>55</v>
      </c>
      <c r="K263">
        <v>0</v>
      </c>
      <c r="L263" t="s">
        <v>41</v>
      </c>
      <c r="M263" s="12">
        <v>1.8</v>
      </c>
      <c r="N263" s="3">
        <f>G263*M263</f>
        <v>133.20000000000002</v>
      </c>
      <c r="O263" s="1">
        <v>45377</v>
      </c>
      <c r="P263" s="1">
        <v>45395</v>
      </c>
      <c r="Q263" s="1">
        <v>45436</v>
      </c>
      <c r="R263">
        <v>702</v>
      </c>
      <c r="S263">
        <v>684</v>
      </c>
      <c r="T263">
        <v>643</v>
      </c>
      <c r="U263" t="str">
        <f t="shared" si="8"/>
        <v>Safe</v>
      </c>
      <c r="V263" t="s">
        <v>1111</v>
      </c>
      <c r="W263">
        <v>31</v>
      </c>
      <c r="X263" s="3">
        <f t="shared" si="9"/>
        <v>4129.2000000000007</v>
      </c>
      <c r="Y263">
        <v>34</v>
      </c>
      <c r="Z263" t="s">
        <v>43</v>
      </c>
      <c r="AA263" s="3">
        <f>X263-Grocery_Inventory_and_Sales_Dat!N263</f>
        <v>3996.0000000000009</v>
      </c>
    </row>
    <row r="264" spans="1:27" x14ac:dyDescent="0.3">
      <c r="A264" t="s">
        <v>1112</v>
      </c>
      <c r="B264" t="s">
        <v>114</v>
      </c>
      <c r="C264" t="s">
        <v>24</v>
      </c>
      <c r="D264" t="s">
        <v>1113</v>
      </c>
      <c r="E264" s="13" t="s">
        <v>1114</v>
      </c>
      <c r="G264" s="2">
        <v>70</v>
      </c>
      <c r="H264">
        <v>96</v>
      </c>
      <c r="I264">
        <v>92</v>
      </c>
      <c r="J264" t="s">
        <v>27</v>
      </c>
      <c r="K264">
        <v>96</v>
      </c>
      <c r="L264" t="s">
        <v>28</v>
      </c>
      <c r="M264" s="12">
        <v>1.5</v>
      </c>
      <c r="N264" s="3">
        <f>G264*M264</f>
        <v>105</v>
      </c>
      <c r="O264" s="1">
        <v>45400</v>
      </c>
      <c r="P264" s="1">
        <v>45590</v>
      </c>
      <c r="Q264" s="1">
        <v>45440</v>
      </c>
      <c r="R264">
        <v>679</v>
      </c>
      <c r="S264">
        <v>489</v>
      </c>
      <c r="T264">
        <v>639</v>
      </c>
      <c r="U264" t="str">
        <f t="shared" si="8"/>
        <v>Safe</v>
      </c>
      <c r="V264" t="s">
        <v>1115</v>
      </c>
      <c r="W264">
        <v>27</v>
      </c>
      <c r="X264" s="3">
        <f t="shared" si="9"/>
        <v>2835</v>
      </c>
      <c r="Y264">
        <v>58</v>
      </c>
      <c r="Z264" t="s">
        <v>43</v>
      </c>
      <c r="AA264" s="3">
        <f>X264-Grocery_Inventory_and_Sales_Dat!N264</f>
        <v>2730</v>
      </c>
    </row>
    <row r="265" spans="1:27" x14ac:dyDescent="0.3">
      <c r="A265" t="s">
        <v>1116</v>
      </c>
      <c r="B265" t="s">
        <v>456</v>
      </c>
      <c r="C265" t="s">
        <v>70</v>
      </c>
      <c r="D265" t="s">
        <v>1117</v>
      </c>
      <c r="E265" s="13" t="s">
        <v>934</v>
      </c>
      <c r="G265" s="2">
        <v>69</v>
      </c>
      <c r="H265">
        <v>53</v>
      </c>
      <c r="I265">
        <v>32</v>
      </c>
      <c r="J265" t="s">
        <v>55</v>
      </c>
      <c r="K265">
        <v>0</v>
      </c>
      <c r="L265" t="s">
        <v>41</v>
      </c>
      <c r="M265" s="12">
        <v>9.1999999999999993</v>
      </c>
      <c r="N265" s="3">
        <f>G265*M265</f>
        <v>634.79999999999995</v>
      </c>
      <c r="O265" s="1">
        <v>45605</v>
      </c>
      <c r="P265" s="1">
        <v>45440</v>
      </c>
      <c r="Q265" s="1">
        <v>45456</v>
      </c>
      <c r="R265">
        <v>474</v>
      </c>
      <c r="S265">
        <v>639</v>
      </c>
      <c r="T265">
        <v>623</v>
      </c>
      <c r="U265" t="str">
        <f t="shared" si="8"/>
        <v>Safe</v>
      </c>
      <c r="V265" t="s">
        <v>1118</v>
      </c>
      <c r="W265">
        <v>28</v>
      </c>
      <c r="X265" s="3">
        <f t="shared" si="9"/>
        <v>17774.399999999998</v>
      </c>
      <c r="Y265">
        <v>56</v>
      </c>
      <c r="Z265" t="s">
        <v>49</v>
      </c>
      <c r="AA265" s="3">
        <f>X265-Grocery_Inventory_and_Sales_Dat!N265</f>
        <v>17139.599999999999</v>
      </c>
    </row>
    <row r="266" spans="1:27" x14ac:dyDescent="0.3">
      <c r="A266" t="s">
        <v>1119</v>
      </c>
      <c r="B266" t="s">
        <v>317</v>
      </c>
      <c r="C266" t="s">
        <v>52</v>
      </c>
      <c r="D266" t="s">
        <v>1120</v>
      </c>
      <c r="E266" s="13" t="s">
        <v>1121</v>
      </c>
      <c r="G266" s="2">
        <v>67</v>
      </c>
      <c r="H266">
        <v>68</v>
      </c>
      <c r="I266">
        <v>50</v>
      </c>
      <c r="J266" t="s">
        <v>27</v>
      </c>
      <c r="K266">
        <v>68</v>
      </c>
      <c r="L266" t="s">
        <v>28</v>
      </c>
      <c r="M266" s="12">
        <v>1.5</v>
      </c>
      <c r="N266" s="3">
        <f>G266*M266</f>
        <v>100.5</v>
      </c>
      <c r="O266" s="1">
        <v>45558</v>
      </c>
      <c r="P266" s="1">
        <v>45617</v>
      </c>
      <c r="Q266" s="1">
        <v>45391</v>
      </c>
      <c r="R266">
        <v>521</v>
      </c>
      <c r="S266">
        <v>462</v>
      </c>
      <c r="T266">
        <v>688</v>
      </c>
      <c r="U266" t="str">
        <f t="shared" si="8"/>
        <v>Safe</v>
      </c>
      <c r="V266" t="s">
        <v>1122</v>
      </c>
      <c r="W266">
        <v>67</v>
      </c>
      <c r="X266" s="3">
        <f t="shared" si="9"/>
        <v>6733.5</v>
      </c>
      <c r="Y266">
        <v>82</v>
      </c>
      <c r="Z266" t="s">
        <v>30</v>
      </c>
      <c r="AA266" s="3">
        <f>X266-Grocery_Inventory_and_Sales_Dat!N266</f>
        <v>6633</v>
      </c>
    </row>
    <row r="267" spans="1:27" x14ac:dyDescent="0.3">
      <c r="A267" t="s">
        <v>1123</v>
      </c>
      <c r="B267" t="s">
        <v>225</v>
      </c>
      <c r="C267" t="s">
        <v>24</v>
      </c>
      <c r="D267" t="s">
        <v>1124</v>
      </c>
      <c r="E267" s="13" t="s">
        <v>427</v>
      </c>
      <c r="G267" s="2">
        <v>18</v>
      </c>
      <c r="H267">
        <v>62</v>
      </c>
      <c r="I267">
        <v>2</v>
      </c>
      <c r="J267" t="s">
        <v>27</v>
      </c>
      <c r="K267">
        <v>62</v>
      </c>
      <c r="L267" t="s">
        <v>28</v>
      </c>
      <c r="M267" s="12">
        <v>3</v>
      </c>
      <c r="N267" s="3">
        <f>G267*M267</f>
        <v>54</v>
      </c>
      <c r="O267" s="1">
        <v>45377</v>
      </c>
      <c r="P267" s="1">
        <v>45410</v>
      </c>
      <c r="Q267" s="1">
        <v>45541</v>
      </c>
      <c r="R267">
        <v>702</v>
      </c>
      <c r="S267">
        <v>669</v>
      </c>
      <c r="T267">
        <v>538</v>
      </c>
      <c r="U267" t="str">
        <f t="shared" si="8"/>
        <v>Expiring Soon</v>
      </c>
      <c r="V267" t="s">
        <v>1125</v>
      </c>
      <c r="W267">
        <v>61</v>
      </c>
      <c r="X267" s="3">
        <f t="shared" si="9"/>
        <v>3294</v>
      </c>
      <c r="Y267">
        <v>78</v>
      </c>
      <c r="Z267" t="s">
        <v>30</v>
      </c>
      <c r="AA267" s="3">
        <f>X267-Grocery_Inventory_and_Sales_Dat!N267</f>
        <v>3240</v>
      </c>
    </row>
    <row r="268" spans="1:27" x14ac:dyDescent="0.3">
      <c r="A268" t="s">
        <v>1126</v>
      </c>
      <c r="B268" t="s">
        <v>32</v>
      </c>
      <c r="C268" t="s">
        <v>33</v>
      </c>
      <c r="D268" t="s">
        <v>1127</v>
      </c>
      <c r="E268" s="13" t="s">
        <v>1128</v>
      </c>
      <c r="G268" s="2">
        <v>22</v>
      </c>
      <c r="H268">
        <v>89</v>
      </c>
      <c r="I268">
        <v>25</v>
      </c>
      <c r="J268" t="s">
        <v>27</v>
      </c>
      <c r="K268">
        <v>89</v>
      </c>
      <c r="L268" t="s">
        <v>28</v>
      </c>
      <c r="M268" s="12">
        <v>21</v>
      </c>
      <c r="N268" s="3">
        <f>G268*M268</f>
        <v>462</v>
      </c>
      <c r="O268" s="1">
        <v>45347</v>
      </c>
      <c r="P268" s="1">
        <v>45623</v>
      </c>
      <c r="Q268" s="1">
        <v>45493</v>
      </c>
      <c r="R268">
        <v>732</v>
      </c>
      <c r="S268">
        <v>456</v>
      </c>
      <c r="T268">
        <v>586</v>
      </c>
      <c r="U268" t="str">
        <f t="shared" si="8"/>
        <v>Safe</v>
      </c>
      <c r="V268" t="s">
        <v>1129</v>
      </c>
      <c r="W268">
        <v>30</v>
      </c>
      <c r="X268" s="3">
        <f t="shared" si="9"/>
        <v>13860</v>
      </c>
      <c r="Y268">
        <v>62</v>
      </c>
      <c r="Z268" t="s">
        <v>30</v>
      </c>
      <c r="AA268" s="3">
        <f>X268-Grocery_Inventory_and_Sales_Dat!N268</f>
        <v>13398</v>
      </c>
    </row>
    <row r="269" spans="1:27" x14ac:dyDescent="0.3">
      <c r="A269" t="s">
        <v>1130</v>
      </c>
      <c r="B269" t="s">
        <v>1131</v>
      </c>
      <c r="C269" t="s">
        <v>52</v>
      </c>
      <c r="D269" t="s">
        <v>1132</v>
      </c>
      <c r="E269" s="13" t="s">
        <v>1133</v>
      </c>
      <c r="G269" s="2">
        <v>88</v>
      </c>
      <c r="H269">
        <v>99</v>
      </c>
      <c r="I269">
        <v>41</v>
      </c>
      <c r="J269" t="s">
        <v>27</v>
      </c>
      <c r="K269">
        <v>99</v>
      </c>
      <c r="L269" t="s">
        <v>28</v>
      </c>
      <c r="M269" s="12">
        <v>5.5</v>
      </c>
      <c r="N269" s="3">
        <f>G269*M269</f>
        <v>484</v>
      </c>
      <c r="O269" s="1">
        <v>45503</v>
      </c>
      <c r="P269" s="1">
        <v>45432</v>
      </c>
      <c r="Q269" s="1">
        <v>45494</v>
      </c>
      <c r="R269">
        <v>576</v>
      </c>
      <c r="S269">
        <v>647</v>
      </c>
      <c r="T269">
        <v>585</v>
      </c>
      <c r="U269" t="str">
        <f t="shared" si="8"/>
        <v>Safe</v>
      </c>
      <c r="V269" t="s">
        <v>1134</v>
      </c>
      <c r="W269">
        <v>93</v>
      </c>
      <c r="X269" s="3">
        <f t="shared" si="9"/>
        <v>45012</v>
      </c>
      <c r="Y269">
        <v>99</v>
      </c>
      <c r="Z269" t="s">
        <v>43</v>
      </c>
      <c r="AA269" s="3">
        <f>X269-Grocery_Inventory_and_Sales_Dat!N269</f>
        <v>44528</v>
      </c>
    </row>
    <row r="270" spans="1:27" x14ac:dyDescent="0.3">
      <c r="A270" t="s">
        <v>1135</v>
      </c>
      <c r="B270" t="s">
        <v>514</v>
      </c>
      <c r="C270" t="s">
        <v>138</v>
      </c>
      <c r="D270" t="s">
        <v>1136</v>
      </c>
      <c r="E270" s="13" t="s">
        <v>1137</v>
      </c>
      <c r="G270" s="2">
        <v>78</v>
      </c>
      <c r="H270">
        <v>75</v>
      </c>
      <c r="I270">
        <v>3</v>
      </c>
      <c r="J270" t="s">
        <v>55</v>
      </c>
      <c r="K270">
        <v>0</v>
      </c>
      <c r="L270" t="s">
        <v>41</v>
      </c>
      <c r="M270" s="12">
        <v>7</v>
      </c>
      <c r="N270" s="3">
        <f>G270*M270</f>
        <v>546</v>
      </c>
      <c r="O270" s="1">
        <v>45512</v>
      </c>
      <c r="P270" s="1">
        <v>45644</v>
      </c>
      <c r="Q270" s="1">
        <v>45478</v>
      </c>
      <c r="R270">
        <v>567</v>
      </c>
      <c r="S270">
        <v>435</v>
      </c>
      <c r="T270">
        <v>601</v>
      </c>
      <c r="U270" t="str">
        <f t="shared" si="8"/>
        <v>Safe</v>
      </c>
      <c r="V270" t="s">
        <v>1138</v>
      </c>
      <c r="W270">
        <v>63</v>
      </c>
      <c r="X270" s="3">
        <f t="shared" si="9"/>
        <v>34398</v>
      </c>
      <c r="Y270">
        <v>100</v>
      </c>
      <c r="Z270" t="s">
        <v>49</v>
      </c>
      <c r="AA270" s="3">
        <f>X270-Grocery_Inventory_and_Sales_Dat!N270</f>
        <v>33852</v>
      </c>
    </row>
    <row r="271" spans="1:27" x14ac:dyDescent="0.3">
      <c r="A271" t="s">
        <v>1139</v>
      </c>
      <c r="B271" t="s">
        <v>192</v>
      </c>
      <c r="C271" t="s">
        <v>64</v>
      </c>
      <c r="D271" t="s">
        <v>1140</v>
      </c>
      <c r="E271" s="13" t="s">
        <v>1141</v>
      </c>
      <c r="G271" s="2">
        <v>83</v>
      </c>
      <c r="H271">
        <v>52</v>
      </c>
      <c r="I271">
        <v>32</v>
      </c>
      <c r="J271" t="s">
        <v>55</v>
      </c>
      <c r="K271">
        <v>0</v>
      </c>
      <c r="L271" t="s">
        <v>41</v>
      </c>
      <c r="M271" s="12">
        <v>6</v>
      </c>
      <c r="N271" s="3">
        <f>G271*M271</f>
        <v>498</v>
      </c>
      <c r="O271" s="1">
        <v>45582</v>
      </c>
      <c r="P271" s="1">
        <v>45530</v>
      </c>
      <c r="Q271" s="1">
        <v>45372</v>
      </c>
      <c r="R271">
        <v>497</v>
      </c>
      <c r="S271">
        <v>549</v>
      </c>
      <c r="T271">
        <v>707</v>
      </c>
      <c r="U271" t="str">
        <f t="shared" si="8"/>
        <v>Safe</v>
      </c>
      <c r="V271" t="s">
        <v>1142</v>
      </c>
      <c r="W271">
        <v>47</v>
      </c>
      <c r="X271" s="3">
        <f t="shared" si="9"/>
        <v>23406</v>
      </c>
      <c r="Y271">
        <v>7</v>
      </c>
      <c r="Z271" t="s">
        <v>49</v>
      </c>
      <c r="AA271" s="3">
        <f>X271-Grocery_Inventory_and_Sales_Dat!N271</f>
        <v>22908</v>
      </c>
    </row>
    <row r="272" spans="1:27" x14ac:dyDescent="0.3">
      <c r="A272" t="s">
        <v>1143</v>
      </c>
      <c r="B272" t="s">
        <v>781</v>
      </c>
      <c r="C272" t="s">
        <v>33</v>
      </c>
      <c r="D272" t="s">
        <v>1144</v>
      </c>
      <c r="E272" s="13" t="s">
        <v>1145</v>
      </c>
      <c r="G272" s="2">
        <v>42</v>
      </c>
      <c r="H272">
        <v>88</v>
      </c>
      <c r="I272">
        <v>17</v>
      </c>
      <c r="J272" t="s">
        <v>27</v>
      </c>
      <c r="K272">
        <v>88</v>
      </c>
      <c r="L272" t="s">
        <v>28</v>
      </c>
      <c r="M272" s="12">
        <v>10.5</v>
      </c>
      <c r="N272" s="3">
        <f>G272*M272</f>
        <v>441</v>
      </c>
      <c r="O272" s="1">
        <v>45584</v>
      </c>
      <c r="P272" s="1">
        <v>45455</v>
      </c>
      <c r="Q272" s="1">
        <v>45467</v>
      </c>
      <c r="R272">
        <v>495</v>
      </c>
      <c r="S272">
        <v>624</v>
      </c>
      <c r="T272">
        <v>612</v>
      </c>
      <c r="U272" t="str">
        <f t="shared" si="8"/>
        <v>Safe</v>
      </c>
      <c r="V272" t="s">
        <v>1146</v>
      </c>
      <c r="W272">
        <v>34</v>
      </c>
      <c r="X272" s="3">
        <f t="shared" si="9"/>
        <v>14994</v>
      </c>
      <c r="Y272">
        <v>51</v>
      </c>
      <c r="Z272" t="s">
        <v>30</v>
      </c>
      <c r="AA272" s="3">
        <f>X272-Grocery_Inventory_and_Sales_Dat!N272</f>
        <v>14553</v>
      </c>
    </row>
    <row r="273" spans="1:27" x14ac:dyDescent="0.3">
      <c r="A273" t="s">
        <v>1147</v>
      </c>
      <c r="B273" t="s">
        <v>408</v>
      </c>
      <c r="C273" t="s">
        <v>52</v>
      </c>
      <c r="D273" t="s">
        <v>1148</v>
      </c>
      <c r="E273" s="13" t="s">
        <v>268</v>
      </c>
      <c r="G273" s="2">
        <v>49</v>
      </c>
      <c r="H273">
        <v>46</v>
      </c>
      <c r="I273">
        <v>8</v>
      </c>
      <c r="J273" t="s">
        <v>55</v>
      </c>
      <c r="K273">
        <v>0</v>
      </c>
      <c r="L273" t="s">
        <v>41</v>
      </c>
      <c r="M273" s="12">
        <v>3</v>
      </c>
      <c r="N273" s="3">
        <f>G273*M273</f>
        <v>147</v>
      </c>
      <c r="O273" s="1">
        <v>45587</v>
      </c>
      <c r="P273" s="1">
        <v>45382</v>
      </c>
      <c r="Q273" s="1">
        <v>45636</v>
      </c>
      <c r="R273">
        <v>492</v>
      </c>
      <c r="S273">
        <v>697</v>
      </c>
      <c r="T273">
        <v>443</v>
      </c>
      <c r="U273" t="str">
        <f t="shared" si="8"/>
        <v>Expiring Soon</v>
      </c>
      <c r="V273" t="s">
        <v>1149</v>
      </c>
      <c r="W273">
        <v>82</v>
      </c>
      <c r="X273" s="3">
        <f t="shared" si="9"/>
        <v>12054</v>
      </c>
      <c r="Y273">
        <v>21</v>
      </c>
      <c r="Z273" t="s">
        <v>30</v>
      </c>
      <c r="AA273" s="3">
        <f>X273-Grocery_Inventory_and_Sales_Dat!N273</f>
        <v>11907</v>
      </c>
    </row>
    <row r="274" spans="1:27" x14ac:dyDescent="0.3">
      <c r="A274" t="s">
        <v>1150</v>
      </c>
      <c r="B274" t="s">
        <v>1151</v>
      </c>
      <c r="C274" t="s">
        <v>24</v>
      </c>
      <c r="D274" t="s">
        <v>1152</v>
      </c>
      <c r="E274" s="13" t="s">
        <v>415</v>
      </c>
      <c r="G274" s="2">
        <v>17</v>
      </c>
      <c r="H274">
        <v>88</v>
      </c>
      <c r="I274">
        <v>41</v>
      </c>
      <c r="J274" t="s">
        <v>27</v>
      </c>
      <c r="K274">
        <v>88</v>
      </c>
      <c r="L274" t="s">
        <v>28</v>
      </c>
      <c r="M274" s="12">
        <v>2.5</v>
      </c>
      <c r="N274" s="3">
        <f>G274*M274</f>
        <v>42.5</v>
      </c>
      <c r="O274" s="1">
        <v>45586</v>
      </c>
      <c r="P274" s="1">
        <v>45707</v>
      </c>
      <c r="Q274" s="1">
        <v>45675</v>
      </c>
      <c r="R274">
        <v>493</v>
      </c>
      <c r="S274">
        <v>372</v>
      </c>
      <c r="T274">
        <v>404</v>
      </c>
      <c r="U274" t="str">
        <f t="shared" si="8"/>
        <v>Expiring Soon</v>
      </c>
      <c r="V274" t="s">
        <v>1153</v>
      </c>
      <c r="W274">
        <v>45</v>
      </c>
      <c r="X274" s="3">
        <f t="shared" si="9"/>
        <v>1912.5</v>
      </c>
      <c r="Y274">
        <v>29</v>
      </c>
      <c r="Z274" t="s">
        <v>43</v>
      </c>
      <c r="AA274" s="3">
        <f>X274-Grocery_Inventory_and_Sales_Dat!N274</f>
        <v>1870</v>
      </c>
    </row>
    <row r="275" spans="1:27" x14ac:dyDescent="0.3">
      <c r="A275" t="s">
        <v>1154</v>
      </c>
      <c r="B275" t="s">
        <v>635</v>
      </c>
      <c r="C275" t="s">
        <v>70</v>
      </c>
      <c r="D275" t="s">
        <v>1155</v>
      </c>
      <c r="E275" s="13" t="s">
        <v>1156</v>
      </c>
      <c r="G275" s="2">
        <v>52</v>
      </c>
      <c r="H275">
        <v>64</v>
      </c>
      <c r="I275">
        <v>54</v>
      </c>
      <c r="J275" t="s">
        <v>27</v>
      </c>
      <c r="K275">
        <v>64</v>
      </c>
      <c r="L275" t="s">
        <v>28</v>
      </c>
      <c r="M275" s="12">
        <v>2.4</v>
      </c>
      <c r="N275" s="3">
        <f>G275*M275</f>
        <v>124.8</v>
      </c>
      <c r="O275" s="1">
        <v>45618</v>
      </c>
      <c r="P275" s="1">
        <v>45544</v>
      </c>
      <c r="Q275" s="1">
        <v>45588</v>
      </c>
      <c r="R275">
        <v>461</v>
      </c>
      <c r="S275">
        <v>535</v>
      </c>
      <c r="T275">
        <v>491</v>
      </c>
      <c r="U275" t="str">
        <f t="shared" si="8"/>
        <v>Expiring Soon</v>
      </c>
      <c r="V275" t="s">
        <v>1157</v>
      </c>
      <c r="W275">
        <v>21</v>
      </c>
      <c r="X275" s="3">
        <f t="shared" si="9"/>
        <v>2620.7999999999997</v>
      </c>
      <c r="Y275">
        <v>55</v>
      </c>
      <c r="Z275" t="s">
        <v>43</v>
      </c>
      <c r="AA275" s="3">
        <f>X275-Grocery_Inventory_and_Sales_Dat!N275</f>
        <v>2495.9999999999995</v>
      </c>
    </row>
    <row r="276" spans="1:27" x14ac:dyDescent="0.3">
      <c r="A276" t="s">
        <v>1158</v>
      </c>
      <c r="B276" t="s">
        <v>168</v>
      </c>
      <c r="C276" t="s">
        <v>52</v>
      </c>
      <c r="D276" t="s">
        <v>1159</v>
      </c>
      <c r="E276" s="13" t="s">
        <v>1145</v>
      </c>
      <c r="G276" s="2">
        <v>79</v>
      </c>
      <c r="H276">
        <v>45</v>
      </c>
      <c r="I276">
        <v>39</v>
      </c>
      <c r="J276" t="s">
        <v>55</v>
      </c>
      <c r="K276">
        <v>0</v>
      </c>
      <c r="L276" t="s">
        <v>41</v>
      </c>
      <c r="M276" s="12">
        <v>6</v>
      </c>
      <c r="N276" s="3">
        <f>G276*M276</f>
        <v>474</v>
      </c>
      <c r="O276" s="1">
        <v>45594</v>
      </c>
      <c r="P276" s="1">
        <v>45484</v>
      </c>
      <c r="Q276" s="1">
        <v>45423</v>
      </c>
      <c r="R276">
        <v>485</v>
      </c>
      <c r="S276">
        <v>595</v>
      </c>
      <c r="T276">
        <v>656</v>
      </c>
      <c r="U276" t="str">
        <f t="shared" si="8"/>
        <v>Safe</v>
      </c>
      <c r="V276" t="s">
        <v>1160</v>
      </c>
      <c r="W276">
        <v>55</v>
      </c>
      <c r="X276" s="3">
        <f t="shared" si="9"/>
        <v>26070</v>
      </c>
      <c r="Y276">
        <v>20</v>
      </c>
      <c r="Z276" t="s">
        <v>43</v>
      </c>
      <c r="AA276" s="3">
        <f>X276-Grocery_Inventory_and_Sales_Dat!N276</f>
        <v>25596</v>
      </c>
    </row>
    <row r="277" spans="1:27" x14ac:dyDescent="0.3">
      <c r="A277" t="s">
        <v>1161</v>
      </c>
      <c r="B277" t="s">
        <v>461</v>
      </c>
      <c r="C277" t="s">
        <v>64</v>
      </c>
      <c r="D277" t="s">
        <v>1162</v>
      </c>
      <c r="E277" s="13" t="s">
        <v>675</v>
      </c>
      <c r="G277" s="2">
        <v>35</v>
      </c>
      <c r="H277">
        <v>41</v>
      </c>
      <c r="I277">
        <v>84</v>
      </c>
      <c r="J277" t="s">
        <v>27</v>
      </c>
      <c r="K277">
        <v>41</v>
      </c>
      <c r="L277" t="s">
        <v>41</v>
      </c>
      <c r="M277" s="12">
        <v>1.8</v>
      </c>
      <c r="N277" s="3">
        <f>G277*M277</f>
        <v>63</v>
      </c>
      <c r="O277" s="1">
        <v>45521</v>
      </c>
      <c r="P277" s="1">
        <v>45501</v>
      </c>
      <c r="Q277" s="1">
        <v>45619</v>
      </c>
      <c r="R277">
        <v>558</v>
      </c>
      <c r="S277">
        <v>578</v>
      </c>
      <c r="T277">
        <v>460</v>
      </c>
      <c r="U277" t="str">
        <f t="shared" si="8"/>
        <v>Expiring Soon</v>
      </c>
      <c r="V277" t="s">
        <v>1163</v>
      </c>
      <c r="W277">
        <v>62</v>
      </c>
      <c r="X277" s="3">
        <f t="shared" si="9"/>
        <v>3906</v>
      </c>
      <c r="Y277">
        <v>14</v>
      </c>
      <c r="Z277" t="s">
        <v>43</v>
      </c>
      <c r="AA277" s="3">
        <f>X277-Grocery_Inventory_and_Sales_Dat!N277</f>
        <v>3843</v>
      </c>
    </row>
    <row r="278" spans="1:27" x14ac:dyDescent="0.3">
      <c r="A278" t="s">
        <v>1164</v>
      </c>
      <c r="B278" t="s">
        <v>182</v>
      </c>
      <c r="C278" t="s">
        <v>52</v>
      </c>
      <c r="D278" t="s">
        <v>1165</v>
      </c>
      <c r="E278" s="13" t="s">
        <v>1166</v>
      </c>
      <c r="G278" s="2">
        <v>76</v>
      </c>
      <c r="H278">
        <v>11</v>
      </c>
      <c r="I278">
        <v>15</v>
      </c>
      <c r="J278" t="s">
        <v>55</v>
      </c>
      <c r="K278">
        <v>0</v>
      </c>
      <c r="L278" t="s">
        <v>41</v>
      </c>
      <c r="M278" s="12">
        <v>1.8</v>
      </c>
      <c r="N278" s="3">
        <f>G278*M278</f>
        <v>136.80000000000001</v>
      </c>
      <c r="O278" s="1">
        <v>45585</v>
      </c>
      <c r="P278" s="1">
        <v>45437</v>
      </c>
      <c r="Q278" s="1">
        <v>45552</v>
      </c>
      <c r="R278">
        <v>494</v>
      </c>
      <c r="S278">
        <v>642</v>
      </c>
      <c r="T278">
        <v>527</v>
      </c>
      <c r="U278" t="str">
        <f t="shared" si="8"/>
        <v>Expiring Soon</v>
      </c>
      <c r="V278" t="s">
        <v>1167</v>
      </c>
      <c r="W278">
        <v>22</v>
      </c>
      <c r="X278" s="3">
        <f t="shared" si="9"/>
        <v>3009.6000000000004</v>
      </c>
      <c r="Y278">
        <v>91</v>
      </c>
      <c r="Z278" t="s">
        <v>49</v>
      </c>
      <c r="AA278" s="3">
        <f>X278-Grocery_Inventory_and_Sales_Dat!N278</f>
        <v>2872.8</v>
      </c>
    </row>
    <row r="279" spans="1:27" x14ac:dyDescent="0.3">
      <c r="A279" t="s">
        <v>1168</v>
      </c>
      <c r="B279" t="s">
        <v>119</v>
      </c>
      <c r="C279" t="s">
        <v>70</v>
      </c>
      <c r="D279" t="s">
        <v>1169</v>
      </c>
      <c r="E279" s="13" t="s">
        <v>35</v>
      </c>
      <c r="G279" s="2">
        <v>93</v>
      </c>
      <c r="H279">
        <v>8</v>
      </c>
      <c r="I279">
        <v>51</v>
      </c>
      <c r="J279" t="s">
        <v>55</v>
      </c>
      <c r="K279">
        <v>0</v>
      </c>
      <c r="L279" t="s">
        <v>41</v>
      </c>
      <c r="M279" s="12">
        <v>8</v>
      </c>
      <c r="N279" s="3">
        <f>G279*M279</f>
        <v>744</v>
      </c>
      <c r="O279" s="1">
        <v>45350</v>
      </c>
      <c r="P279" s="1">
        <v>45427</v>
      </c>
      <c r="Q279" s="1">
        <v>45692</v>
      </c>
      <c r="R279">
        <v>729</v>
      </c>
      <c r="S279">
        <v>652</v>
      </c>
      <c r="T279">
        <v>387</v>
      </c>
      <c r="U279" t="str">
        <f t="shared" si="8"/>
        <v>Expiring Soon</v>
      </c>
      <c r="V279" t="s">
        <v>1170</v>
      </c>
      <c r="W279">
        <v>93</v>
      </c>
      <c r="X279" s="3">
        <f t="shared" si="9"/>
        <v>69192</v>
      </c>
      <c r="Y279">
        <v>85</v>
      </c>
      <c r="Z279" t="s">
        <v>43</v>
      </c>
      <c r="AA279" s="3">
        <f>X279-Grocery_Inventory_and_Sales_Dat!N279</f>
        <v>68448</v>
      </c>
    </row>
    <row r="280" spans="1:27" x14ac:dyDescent="0.3">
      <c r="A280" t="s">
        <v>1171</v>
      </c>
      <c r="B280" t="s">
        <v>1172</v>
      </c>
      <c r="C280" t="s">
        <v>138</v>
      </c>
      <c r="D280" t="s">
        <v>1173</v>
      </c>
      <c r="E280" s="13" t="s">
        <v>808</v>
      </c>
      <c r="G280" s="2">
        <v>40</v>
      </c>
      <c r="H280">
        <v>81</v>
      </c>
      <c r="I280">
        <v>78</v>
      </c>
      <c r="J280" t="s">
        <v>27</v>
      </c>
      <c r="K280">
        <v>81</v>
      </c>
      <c r="L280" t="s">
        <v>28</v>
      </c>
      <c r="M280" s="12">
        <v>20</v>
      </c>
      <c r="N280" s="3">
        <f>G280*M280</f>
        <v>800</v>
      </c>
      <c r="O280" s="1">
        <v>45705</v>
      </c>
      <c r="P280" s="1">
        <v>45489</v>
      </c>
      <c r="Q280" s="1">
        <v>45355</v>
      </c>
      <c r="R280">
        <v>374</v>
      </c>
      <c r="S280">
        <v>590</v>
      </c>
      <c r="T280">
        <v>724</v>
      </c>
      <c r="U280" t="str">
        <f t="shared" si="8"/>
        <v>Safe</v>
      </c>
      <c r="V280" t="s">
        <v>1174</v>
      </c>
      <c r="W280">
        <v>39</v>
      </c>
      <c r="X280" s="3">
        <f t="shared" si="9"/>
        <v>31200</v>
      </c>
      <c r="Y280">
        <v>65</v>
      </c>
      <c r="Z280" t="s">
        <v>43</v>
      </c>
      <c r="AA280" s="3">
        <f>X280-Grocery_Inventory_and_Sales_Dat!N280</f>
        <v>30400</v>
      </c>
    </row>
    <row r="281" spans="1:27" x14ac:dyDescent="0.3">
      <c r="A281" t="s">
        <v>1175</v>
      </c>
      <c r="B281" t="s">
        <v>137</v>
      </c>
      <c r="C281" t="s">
        <v>138</v>
      </c>
      <c r="D281" t="s">
        <v>1176</v>
      </c>
      <c r="E281" s="13" t="s">
        <v>217</v>
      </c>
      <c r="G281" s="2">
        <v>19</v>
      </c>
      <c r="H281">
        <v>94</v>
      </c>
      <c r="I281">
        <v>17</v>
      </c>
      <c r="J281" t="s">
        <v>27</v>
      </c>
      <c r="K281">
        <v>94</v>
      </c>
      <c r="L281" t="s">
        <v>28</v>
      </c>
      <c r="M281" s="12">
        <v>11.5</v>
      </c>
      <c r="N281" s="3">
        <f>G281*M281</f>
        <v>218.5</v>
      </c>
      <c r="O281" s="1">
        <v>45526</v>
      </c>
      <c r="P281" s="1">
        <v>45510</v>
      </c>
      <c r="Q281" s="1">
        <v>45457</v>
      </c>
      <c r="R281">
        <v>553</v>
      </c>
      <c r="S281">
        <v>569</v>
      </c>
      <c r="T281">
        <v>622</v>
      </c>
      <c r="U281" t="str">
        <f t="shared" si="8"/>
        <v>Safe</v>
      </c>
      <c r="V281" t="s">
        <v>1177</v>
      </c>
      <c r="W281">
        <v>96</v>
      </c>
      <c r="X281" s="3">
        <f t="shared" si="9"/>
        <v>20976</v>
      </c>
      <c r="Y281">
        <v>74</v>
      </c>
      <c r="Z281" t="s">
        <v>30</v>
      </c>
      <c r="AA281" s="3">
        <f>X281-Grocery_Inventory_and_Sales_Dat!N281</f>
        <v>20757.5</v>
      </c>
    </row>
    <row r="282" spans="1:27" x14ac:dyDescent="0.3">
      <c r="A282" t="s">
        <v>1178</v>
      </c>
      <c r="B282" t="s">
        <v>716</v>
      </c>
      <c r="C282" t="s">
        <v>64</v>
      </c>
      <c r="D282" t="s">
        <v>1179</v>
      </c>
      <c r="E282" s="13" t="s">
        <v>1180</v>
      </c>
      <c r="G282" s="2">
        <v>70</v>
      </c>
      <c r="H282">
        <v>96</v>
      </c>
      <c r="I282">
        <v>21</v>
      </c>
      <c r="J282" t="s">
        <v>27</v>
      </c>
      <c r="K282">
        <v>96</v>
      </c>
      <c r="L282" t="s">
        <v>28</v>
      </c>
      <c r="M282" s="12">
        <v>2</v>
      </c>
      <c r="N282" s="3">
        <f>G282*M282</f>
        <v>140</v>
      </c>
      <c r="O282" s="1">
        <v>45622</v>
      </c>
      <c r="P282" s="1">
        <v>45574</v>
      </c>
      <c r="Q282" s="1">
        <v>45507</v>
      </c>
      <c r="R282">
        <v>457</v>
      </c>
      <c r="S282">
        <v>505</v>
      </c>
      <c r="T282">
        <v>572</v>
      </c>
      <c r="U282" t="str">
        <f t="shared" si="8"/>
        <v>Safe</v>
      </c>
      <c r="V282" t="s">
        <v>1181</v>
      </c>
      <c r="W282">
        <v>100</v>
      </c>
      <c r="X282" s="3">
        <f t="shared" si="9"/>
        <v>14000</v>
      </c>
      <c r="Y282">
        <v>15</v>
      </c>
      <c r="Z282" t="s">
        <v>30</v>
      </c>
      <c r="AA282" s="3">
        <f>X282-Grocery_Inventory_and_Sales_Dat!N282</f>
        <v>13860</v>
      </c>
    </row>
    <row r="283" spans="1:27" x14ac:dyDescent="0.3">
      <c r="A283" t="s">
        <v>1182</v>
      </c>
      <c r="B283" t="s">
        <v>989</v>
      </c>
      <c r="C283" t="s">
        <v>95</v>
      </c>
      <c r="D283" t="s">
        <v>1183</v>
      </c>
      <c r="E283" s="13" t="s">
        <v>1184</v>
      </c>
      <c r="G283" s="2">
        <v>90</v>
      </c>
      <c r="H283">
        <v>52</v>
      </c>
      <c r="I283">
        <v>50</v>
      </c>
      <c r="J283" t="s">
        <v>55</v>
      </c>
      <c r="K283">
        <v>0</v>
      </c>
      <c r="L283" t="s">
        <v>41</v>
      </c>
      <c r="M283" s="12">
        <v>4</v>
      </c>
      <c r="N283" s="3">
        <f>G283*M283</f>
        <v>360</v>
      </c>
      <c r="O283" s="1">
        <v>45472</v>
      </c>
      <c r="P283" s="1">
        <v>45397</v>
      </c>
      <c r="Q283" s="1">
        <v>45419</v>
      </c>
      <c r="R283">
        <v>607</v>
      </c>
      <c r="S283">
        <v>682</v>
      </c>
      <c r="T283">
        <v>660</v>
      </c>
      <c r="U283" t="str">
        <f t="shared" si="8"/>
        <v>Safe</v>
      </c>
      <c r="V283" t="s">
        <v>1185</v>
      </c>
      <c r="W283">
        <v>63</v>
      </c>
      <c r="X283" s="3">
        <f t="shared" si="9"/>
        <v>22680</v>
      </c>
      <c r="Y283">
        <v>14</v>
      </c>
      <c r="Z283" t="s">
        <v>30</v>
      </c>
      <c r="AA283" s="3">
        <f>X283-Grocery_Inventory_and_Sales_Dat!N283</f>
        <v>22320</v>
      </c>
    </row>
    <row r="284" spans="1:27" x14ac:dyDescent="0.3">
      <c r="A284" t="s">
        <v>1186</v>
      </c>
      <c r="B284" t="s">
        <v>989</v>
      </c>
      <c r="C284" t="s">
        <v>95</v>
      </c>
      <c r="D284" t="s">
        <v>1187</v>
      </c>
      <c r="E284" s="13" t="s">
        <v>134</v>
      </c>
      <c r="G284" s="2">
        <v>77</v>
      </c>
      <c r="H284">
        <v>79</v>
      </c>
      <c r="I284">
        <v>65</v>
      </c>
      <c r="J284" t="s">
        <v>27</v>
      </c>
      <c r="K284">
        <v>79</v>
      </c>
      <c r="L284" t="s">
        <v>28</v>
      </c>
      <c r="M284" s="12">
        <v>4</v>
      </c>
      <c r="N284" s="3">
        <f>G284*M284</f>
        <v>308</v>
      </c>
      <c r="O284" s="1">
        <v>45300</v>
      </c>
      <c r="P284" s="1">
        <v>45368</v>
      </c>
      <c r="Q284" s="1">
        <v>45504</v>
      </c>
      <c r="R284">
        <v>779</v>
      </c>
      <c r="S284">
        <v>711</v>
      </c>
      <c r="T284">
        <v>575</v>
      </c>
      <c r="U284" t="str">
        <f t="shared" si="8"/>
        <v>Safe</v>
      </c>
      <c r="V284" t="s">
        <v>1188</v>
      </c>
      <c r="W284">
        <v>62</v>
      </c>
      <c r="X284" s="3">
        <f t="shared" si="9"/>
        <v>19096</v>
      </c>
      <c r="Y284">
        <v>75</v>
      </c>
      <c r="Z284" t="s">
        <v>43</v>
      </c>
      <c r="AA284" s="3">
        <f>X284-Grocery_Inventory_and_Sales_Dat!N284</f>
        <v>18788</v>
      </c>
    </row>
    <row r="285" spans="1:27" x14ac:dyDescent="0.3">
      <c r="A285" t="s">
        <v>1189</v>
      </c>
      <c r="B285" t="s">
        <v>1190</v>
      </c>
      <c r="C285" t="s">
        <v>52</v>
      </c>
      <c r="D285" t="s">
        <v>1191</v>
      </c>
      <c r="E285" s="13" t="s">
        <v>1121</v>
      </c>
      <c r="G285" s="2">
        <v>38</v>
      </c>
      <c r="H285">
        <v>22</v>
      </c>
      <c r="I285">
        <v>71</v>
      </c>
      <c r="J285" t="s">
        <v>55</v>
      </c>
      <c r="K285">
        <v>0</v>
      </c>
      <c r="L285" t="s">
        <v>41</v>
      </c>
      <c r="M285" s="12">
        <v>5</v>
      </c>
      <c r="N285" s="3">
        <f>G285*M285</f>
        <v>190</v>
      </c>
      <c r="O285" s="1">
        <v>45483</v>
      </c>
      <c r="P285" s="1">
        <v>45428</v>
      </c>
      <c r="Q285" s="1">
        <v>45420</v>
      </c>
      <c r="R285">
        <v>596</v>
      </c>
      <c r="S285">
        <v>651</v>
      </c>
      <c r="T285">
        <v>659</v>
      </c>
      <c r="U285" t="str">
        <f t="shared" si="8"/>
        <v>Safe</v>
      </c>
      <c r="V285" t="s">
        <v>1192</v>
      </c>
      <c r="W285">
        <v>33</v>
      </c>
      <c r="X285" s="3">
        <f t="shared" si="9"/>
        <v>6270</v>
      </c>
      <c r="Y285">
        <v>62</v>
      </c>
      <c r="Z285" t="s">
        <v>49</v>
      </c>
      <c r="AA285" s="3">
        <f>X285-Grocery_Inventory_and_Sales_Dat!N285</f>
        <v>6080</v>
      </c>
    </row>
    <row r="286" spans="1:27" x14ac:dyDescent="0.3">
      <c r="A286" t="s">
        <v>1193</v>
      </c>
      <c r="B286" t="s">
        <v>514</v>
      </c>
      <c r="C286" t="s">
        <v>138</v>
      </c>
      <c r="D286" t="s">
        <v>1194</v>
      </c>
      <c r="E286" s="13" t="s">
        <v>1195</v>
      </c>
      <c r="G286" s="2">
        <v>93</v>
      </c>
      <c r="H286">
        <v>25</v>
      </c>
      <c r="I286">
        <v>23</v>
      </c>
      <c r="J286" t="s">
        <v>55</v>
      </c>
      <c r="K286">
        <v>0</v>
      </c>
      <c r="L286" t="s">
        <v>41</v>
      </c>
      <c r="M286" s="12">
        <v>7</v>
      </c>
      <c r="N286" s="3">
        <f>G286*M286</f>
        <v>651</v>
      </c>
      <c r="O286" s="1">
        <v>45464</v>
      </c>
      <c r="P286" s="1">
        <v>45521</v>
      </c>
      <c r="Q286" s="1">
        <v>45411</v>
      </c>
      <c r="R286">
        <v>615</v>
      </c>
      <c r="S286">
        <v>558</v>
      </c>
      <c r="T286">
        <v>668</v>
      </c>
      <c r="U286" t="str">
        <f t="shared" si="8"/>
        <v>Safe</v>
      </c>
      <c r="V286" t="s">
        <v>1196</v>
      </c>
      <c r="W286">
        <v>72</v>
      </c>
      <c r="X286" s="3">
        <f t="shared" si="9"/>
        <v>46872</v>
      </c>
      <c r="Y286">
        <v>83</v>
      </c>
      <c r="Z286" t="s">
        <v>43</v>
      </c>
      <c r="AA286" s="3">
        <f>X286-Grocery_Inventory_and_Sales_Dat!N286</f>
        <v>46221</v>
      </c>
    </row>
    <row r="287" spans="1:27" x14ac:dyDescent="0.3">
      <c r="A287" t="s">
        <v>1197</v>
      </c>
      <c r="B287" t="s">
        <v>1198</v>
      </c>
      <c r="C287" t="s">
        <v>70</v>
      </c>
      <c r="D287" t="s">
        <v>1199</v>
      </c>
      <c r="E287" s="13" t="s">
        <v>1200</v>
      </c>
      <c r="G287" s="2">
        <v>23</v>
      </c>
      <c r="H287">
        <v>100</v>
      </c>
      <c r="I287">
        <v>77</v>
      </c>
      <c r="J287" t="s">
        <v>27</v>
      </c>
      <c r="K287">
        <v>100</v>
      </c>
      <c r="L287" t="s">
        <v>28</v>
      </c>
      <c r="M287" s="12">
        <v>2</v>
      </c>
      <c r="N287" s="3">
        <f>G287*M287</f>
        <v>46</v>
      </c>
      <c r="O287" s="1">
        <v>45570</v>
      </c>
      <c r="P287" s="1">
        <v>45573</v>
      </c>
      <c r="Q287" s="1">
        <v>45355</v>
      </c>
      <c r="R287">
        <v>509</v>
      </c>
      <c r="S287">
        <v>506</v>
      </c>
      <c r="T287">
        <v>724</v>
      </c>
      <c r="U287" t="str">
        <f t="shared" si="8"/>
        <v>Safe</v>
      </c>
      <c r="V287" t="s">
        <v>1201</v>
      </c>
      <c r="W287">
        <v>63</v>
      </c>
      <c r="X287" s="3">
        <f t="shared" si="9"/>
        <v>2898</v>
      </c>
      <c r="Y287">
        <v>26</v>
      </c>
      <c r="Z287" t="s">
        <v>30</v>
      </c>
      <c r="AA287" s="3">
        <f>X287-Grocery_Inventory_and_Sales_Dat!N287</f>
        <v>2852</v>
      </c>
    </row>
    <row r="288" spans="1:27" x14ac:dyDescent="0.3">
      <c r="A288" t="s">
        <v>1202</v>
      </c>
      <c r="B288" t="s">
        <v>678</v>
      </c>
      <c r="C288" t="s">
        <v>33</v>
      </c>
      <c r="D288" t="s">
        <v>1203</v>
      </c>
      <c r="E288" s="13" t="s">
        <v>1204</v>
      </c>
      <c r="G288" s="2">
        <v>51</v>
      </c>
      <c r="H288">
        <v>1</v>
      </c>
      <c r="I288">
        <v>61</v>
      </c>
      <c r="J288" t="s">
        <v>55</v>
      </c>
      <c r="K288">
        <v>0</v>
      </c>
      <c r="L288" t="s">
        <v>41</v>
      </c>
      <c r="M288" s="12">
        <v>7.6</v>
      </c>
      <c r="N288" s="3">
        <f>G288*M288</f>
        <v>387.59999999999997</v>
      </c>
      <c r="O288" s="1">
        <v>45380</v>
      </c>
      <c r="P288" s="1">
        <v>45461</v>
      </c>
      <c r="Q288" s="1">
        <v>45613</v>
      </c>
      <c r="R288">
        <v>699</v>
      </c>
      <c r="S288">
        <v>618</v>
      </c>
      <c r="T288">
        <v>466</v>
      </c>
      <c r="U288" t="str">
        <f t="shared" si="8"/>
        <v>Expiring Soon</v>
      </c>
      <c r="V288" t="s">
        <v>1205</v>
      </c>
      <c r="W288">
        <v>96</v>
      </c>
      <c r="X288" s="3">
        <f t="shared" si="9"/>
        <v>37209.599999999999</v>
      </c>
      <c r="Y288">
        <v>26</v>
      </c>
      <c r="Z288" t="s">
        <v>49</v>
      </c>
      <c r="AA288" s="3">
        <f>X288-Grocery_Inventory_and_Sales_Dat!N288</f>
        <v>36822</v>
      </c>
    </row>
    <row r="289" spans="1:27" x14ac:dyDescent="0.3">
      <c r="A289" t="s">
        <v>1206</v>
      </c>
      <c r="B289" t="s">
        <v>369</v>
      </c>
      <c r="C289" t="s">
        <v>70</v>
      </c>
      <c r="D289" t="s">
        <v>1207</v>
      </c>
      <c r="E289" s="13" t="s">
        <v>1208</v>
      </c>
      <c r="G289" s="2">
        <v>57</v>
      </c>
      <c r="H289">
        <v>62</v>
      </c>
      <c r="I289">
        <v>72</v>
      </c>
      <c r="J289" t="s">
        <v>27</v>
      </c>
      <c r="K289">
        <v>62</v>
      </c>
      <c r="L289" t="s">
        <v>28</v>
      </c>
      <c r="M289" s="12">
        <v>4</v>
      </c>
      <c r="N289" s="3">
        <f>G289*M289</f>
        <v>228</v>
      </c>
      <c r="O289" s="1">
        <v>45709</v>
      </c>
      <c r="P289" s="1">
        <v>45560</v>
      </c>
      <c r="Q289" s="1">
        <v>45514</v>
      </c>
      <c r="R289">
        <v>370</v>
      </c>
      <c r="S289">
        <v>519</v>
      </c>
      <c r="T289">
        <v>565</v>
      </c>
      <c r="U289" t="str">
        <f t="shared" si="8"/>
        <v>Safe</v>
      </c>
      <c r="V289" t="s">
        <v>1209</v>
      </c>
      <c r="W289">
        <v>23</v>
      </c>
      <c r="X289" s="3">
        <f t="shared" si="9"/>
        <v>5244</v>
      </c>
      <c r="Y289">
        <v>4</v>
      </c>
      <c r="Z289" t="s">
        <v>43</v>
      </c>
      <c r="AA289" s="3">
        <f>X289-Grocery_Inventory_and_Sales_Dat!N289</f>
        <v>5016</v>
      </c>
    </row>
    <row r="290" spans="1:27" x14ac:dyDescent="0.3">
      <c r="A290" t="s">
        <v>1210</v>
      </c>
      <c r="B290" t="s">
        <v>1211</v>
      </c>
      <c r="C290" t="s">
        <v>52</v>
      </c>
      <c r="D290" t="s">
        <v>1212</v>
      </c>
      <c r="E290" s="13" t="s">
        <v>1145</v>
      </c>
      <c r="G290" s="2">
        <v>59</v>
      </c>
      <c r="H290">
        <v>74</v>
      </c>
      <c r="I290">
        <v>100</v>
      </c>
      <c r="J290" t="s">
        <v>27</v>
      </c>
      <c r="K290">
        <v>74</v>
      </c>
      <c r="L290" t="s">
        <v>28</v>
      </c>
      <c r="M290" s="12">
        <v>4.5</v>
      </c>
      <c r="N290" s="3">
        <f>G290*M290</f>
        <v>265.5</v>
      </c>
      <c r="O290" s="1">
        <v>45377</v>
      </c>
      <c r="P290" s="1">
        <v>45550</v>
      </c>
      <c r="Q290" s="1">
        <v>45608</v>
      </c>
      <c r="R290">
        <v>702</v>
      </c>
      <c r="S290">
        <v>529</v>
      </c>
      <c r="T290">
        <v>471</v>
      </c>
      <c r="U290" t="str">
        <f t="shared" si="8"/>
        <v>Expiring Soon</v>
      </c>
      <c r="V290" t="s">
        <v>1213</v>
      </c>
      <c r="W290">
        <v>63</v>
      </c>
      <c r="X290" s="3">
        <f t="shared" si="9"/>
        <v>16726.5</v>
      </c>
      <c r="Y290">
        <v>69</v>
      </c>
      <c r="Z290" t="s">
        <v>49</v>
      </c>
      <c r="AA290" s="3">
        <f>X290-Grocery_Inventory_and_Sales_Dat!N290</f>
        <v>16461</v>
      </c>
    </row>
    <row r="291" spans="1:27" x14ac:dyDescent="0.3">
      <c r="A291" t="s">
        <v>1214</v>
      </c>
      <c r="B291" t="s">
        <v>446</v>
      </c>
      <c r="C291" t="s">
        <v>52</v>
      </c>
      <c r="D291" t="s">
        <v>1215</v>
      </c>
      <c r="E291" s="13" t="s">
        <v>246</v>
      </c>
      <c r="G291" s="2">
        <v>89</v>
      </c>
      <c r="H291">
        <v>15</v>
      </c>
      <c r="I291">
        <v>22</v>
      </c>
      <c r="J291" t="s">
        <v>55</v>
      </c>
      <c r="K291">
        <v>0</v>
      </c>
      <c r="L291" t="s">
        <v>41</v>
      </c>
      <c r="M291" s="12">
        <v>10</v>
      </c>
      <c r="N291" s="3">
        <f>G291*M291</f>
        <v>890</v>
      </c>
      <c r="O291" s="1">
        <v>45613</v>
      </c>
      <c r="P291" s="1">
        <v>45963</v>
      </c>
      <c r="Q291" s="1">
        <v>45415</v>
      </c>
      <c r="R291">
        <v>466</v>
      </c>
      <c r="S291">
        <v>116</v>
      </c>
      <c r="T291">
        <v>664</v>
      </c>
      <c r="U291" t="str">
        <f t="shared" si="8"/>
        <v>Safe</v>
      </c>
      <c r="V291" t="s">
        <v>1216</v>
      </c>
      <c r="W291">
        <v>79</v>
      </c>
      <c r="X291" s="3">
        <f t="shared" si="9"/>
        <v>70310</v>
      </c>
      <c r="Y291">
        <v>42</v>
      </c>
      <c r="Z291" t="s">
        <v>30</v>
      </c>
      <c r="AA291" s="3">
        <f>X291-Grocery_Inventory_and_Sales_Dat!N291</f>
        <v>69420</v>
      </c>
    </row>
    <row r="292" spans="1:27" x14ac:dyDescent="0.3">
      <c r="A292" t="s">
        <v>1217</v>
      </c>
      <c r="B292" t="s">
        <v>446</v>
      </c>
      <c r="C292" t="s">
        <v>52</v>
      </c>
      <c r="D292" t="s">
        <v>1218</v>
      </c>
      <c r="E292" s="13" t="s">
        <v>194</v>
      </c>
      <c r="G292" s="2">
        <v>53</v>
      </c>
      <c r="H292">
        <v>98</v>
      </c>
      <c r="I292">
        <v>25</v>
      </c>
      <c r="J292" t="s">
        <v>27</v>
      </c>
      <c r="K292">
        <v>98</v>
      </c>
      <c r="L292" t="s">
        <v>28</v>
      </c>
      <c r="M292" s="12">
        <v>10</v>
      </c>
      <c r="N292" s="3">
        <f>G292*M292</f>
        <v>530</v>
      </c>
      <c r="O292" s="1">
        <v>45558</v>
      </c>
      <c r="P292" s="1">
        <v>45391</v>
      </c>
      <c r="Q292" s="1">
        <v>45646</v>
      </c>
      <c r="R292">
        <v>521</v>
      </c>
      <c r="S292">
        <v>688</v>
      </c>
      <c r="T292">
        <v>433</v>
      </c>
      <c r="U292" t="str">
        <f t="shared" si="8"/>
        <v>Expiring Soon</v>
      </c>
      <c r="V292" t="s">
        <v>1219</v>
      </c>
      <c r="W292">
        <v>55</v>
      </c>
      <c r="X292" s="3">
        <f t="shared" si="9"/>
        <v>29150</v>
      </c>
      <c r="Y292">
        <v>51</v>
      </c>
      <c r="Z292" t="s">
        <v>49</v>
      </c>
      <c r="AA292" s="3">
        <f>X292-Grocery_Inventory_and_Sales_Dat!N292</f>
        <v>28620</v>
      </c>
    </row>
    <row r="293" spans="1:27" x14ac:dyDescent="0.3">
      <c r="A293" t="s">
        <v>1220</v>
      </c>
      <c r="B293" t="s">
        <v>51</v>
      </c>
      <c r="C293" t="s">
        <v>52</v>
      </c>
      <c r="D293" t="s">
        <v>1221</v>
      </c>
      <c r="E293" s="13" t="s">
        <v>611</v>
      </c>
      <c r="G293" s="2">
        <v>11</v>
      </c>
      <c r="H293">
        <v>56</v>
      </c>
      <c r="I293">
        <v>62</v>
      </c>
      <c r="J293" t="s">
        <v>27</v>
      </c>
      <c r="K293">
        <v>56</v>
      </c>
      <c r="L293" t="s">
        <v>41</v>
      </c>
      <c r="M293" s="12">
        <v>3.9</v>
      </c>
      <c r="N293" s="3">
        <f>G293*M293</f>
        <v>42.9</v>
      </c>
      <c r="O293" s="1">
        <v>45396</v>
      </c>
      <c r="P293" s="1">
        <v>45931</v>
      </c>
      <c r="Q293" s="1">
        <v>45575</v>
      </c>
      <c r="R293">
        <v>683</v>
      </c>
      <c r="S293">
        <v>148</v>
      </c>
      <c r="T293">
        <v>504</v>
      </c>
      <c r="U293" t="str">
        <f t="shared" si="8"/>
        <v>Expiring Soon</v>
      </c>
      <c r="V293" t="s">
        <v>1222</v>
      </c>
      <c r="W293">
        <v>40</v>
      </c>
      <c r="X293" s="3">
        <f t="shared" si="9"/>
        <v>1716</v>
      </c>
      <c r="Y293">
        <v>5</v>
      </c>
      <c r="Z293" t="s">
        <v>43</v>
      </c>
      <c r="AA293" s="3">
        <f>X293-Grocery_Inventory_and_Sales_Dat!N293</f>
        <v>1673.1</v>
      </c>
    </row>
    <row r="294" spans="1:27" x14ac:dyDescent="0.3">
      <c r="A294" t="s">
        <v>1223</v>
      </c>
      <c r="B294" t="s">
        <v>1224</v>
      </c>
      <c r="C294" t="s">
        <v>70</v>
      </c>
      <c r="D294" t="s">
        <v>1225</v>
      </c>
      <c r="E294" s="13" t="s">
        <v>1226</v>
      </c>
      <c r="G294" s="2">
        <v>59</v>
      </c>
      <c r="H294">
        <v>27</v>
      </c>
      <c r="I294">
        <v>63</v>
      </c>
      <c r="J294" t="s">
        <v>55</v>
      </c>
      <c r="K294">
        <v>0</v>
      </c>
      <c r="L294" t="s">
        <v>41</v>
      </c>
      <c r="M294" s="12">
        <v>1.75</v>
      </c>
      <c r="N294" s="3">
        <f>G294*M294</f>
        <v>103.25</v>
      </c>
      <c r="O294" s="1">
        <v>45458</v>
      </c>
      <c r="P294" s="1">
        <v>45470</v>
      </c>
      <c r="Q294" s="1">
        <v>45689</v>
      </c>
      <c r="R294">
        <v>621</v>
      </c>
      <c r="S294">
        <v>609</v>
      </c>
      <c r="T294">
        <v>390</v>
      </c>
      <c r="U294" t="str">
        <f t="shared" si="8"/>
        <v>Expiring Soon</v>
      </c>
      <c r="V294" t="s">
        <v>1227</v>
      </c>
      <c r="W294">
        <v>92</v>
      </c>
      <c r="X294" s="3">
        <f t="shared" si="9"/>
        <v>9499</v>
      </c>
      <c r="Y294">
        <v>82</v>
      </c>
      <c r="Z294" t="s">
        <v>30</v>
      </c>
      <c r="AA294" s="3">
        <f>X294-Grocery_Inventory_and_Sales_Dat!N294</f>
        <v>9395.75</v>
      </c>
    </row>
    <row r="295" spans="1:27" x14ac:dyDescent="0.3">
      <c r="A295" t="s">
        <v>1228</v>
      </c>
      <c r="B295" t="s">
        <v>207</v>
      </c>
      <c r="C295" t="s">
        <v>52</v>
      </c>
      <c r="D295" t="s">
        <v>1229</v>
      </c>
      <c r="E295" s="13" t="s">
        <v>1230</v>
      </c>
      <c r="G295" s="2">
        <v>34</v>
      </c>
      <c r="H295">
        <v>29</v>
      </c>
      <c r="I295">
        <v>65</v>
      </c>
      <c r="J295" t="s">
        <v>55</v>
      </c>
      <c r="K295">
        <v>0</v>
      </c>
      <c r="L295" t="s">
        <v>41</v>
      </c>
      <c r="M295" s="12">
        <v>2</v>
      </c>
      <c r="N295" s="3">
        <f>G295*M295</f>
        <v>68</v>
      </c>
      <c r="O295" s="1">
        <v>45356</v>
      </c>
      <c r="P295" s="1">
        <v>45392</v>
      </c>
      <c r="Q295" s="1">
        <v>45618</v>
      </c>
      <c r="R295">
        <v>723</v>
      </c>
      <c r="S295">
        <v>687</v>
      </c>
      <c r="T295">
        <v>461</v>
      </c>
      <c r="U295" t="str">
        <f t="shared" si="8"/>
        <v>Expiring Soon</v>
      </c>
      <c r="V295" t="s">
        <v>1231</v>
      </c>
      <c r="W295">
        <v>90</v>
      </c>
      <c r="X295" s="3">
        <f t="shared" si="9"/>
        <v>6120</v>
      </c>
      <c r="Y295">
        <v>23</v>
      </c>
      <c r="Z295" t="s">
        <v>30</v>
      </c>
      <c r="AA295" s="3">
        <f>X295-Grocery_Inventory_and_Sales_Dat!N295</f>
        <v>6052</v>
      </c>
    </row>
    <row r="296" spans="1:27" x14ac:dyDescent="0.3">
      <c r="A296" t="s">
        <v>1232</v>
      </c>
      <c r="B296" t="s">
        <v>630</v>
      </c>
      <c r="C296" t="s">
        <v>138</v>
      </c>
      <c r="D296" t="s">
        <v>1233</v>
      </c>
      <c r="E296" s="13" t="s">
        <v>77</v>
      </c>
      <c r="G296" s="2">
        <v>25</v>
      </c>
      <c r="H296">
        <v>75</v>
      </c>
      <c r="I296">
        <v>27</v>
      </c>
      <c r="J296" t="s">
        <v>27</v>
      </c>
      <c r="K296">
        <v>75</v>
      </c>
      <c r="L296" t="s">
        <v>28</v>
      </c>
      <c r="M296" s="12">
        <v>18</v>
      </c>
      <c r="N296" s="3">
        <f>G296*M296</f>
        <v>450</v>
      </c>
      <c r="O296" s="1">
        <v>45689</v>
      </c>
      <c r="P296" s="1">
        <v>45422</v>
      </c>
      <c r="Q296" s="1">
        <v>45416</v>
      </c>
      <c r="R296">
        <v>390</v>
      </c>
      <c r="S296">
        <v>657</v>
      </c>
      <c r="T296">
        <v>663</v>
      </c>
      <c r="U296" t="str">
        <f t="shared" si="8"/>
        <v>Safe</v>
      </c>
      <c r="V296" t="s">
        <v>1234</v>
      </c>
      <c r="W296">
        <v>31</v>
      </c>
      <c r="X296" s="3">
        <f t="shared" si="9"/>
        <v>13950</v>
      </c>
      <c r="Y296">
        <v>36</v>
      </c>
      <c r="Z296" t="s">
        <v>49</v>
      </c>
      <c r="AA296" s="3">
        <f>X296-Grocery_Inventory_and_Sales_Dat!N296</f>
        <v>13500</v>
      </c>
    </row>
    <row r="297" spans="1:27" x14ac:dyDescent="0.3">
      <c r="A297" t="s">
        <v>1235</v>
      </c>
      <c r="B297" t="s">
        <v>806</v>
      </c>
      <c r="C297" t="s">
        <v>138</v>
      </c>
      <c r="D297" t="s">
        <v>1236</v>
      </c>
      <c r="E297" s="13" t="s">
        <v>1237</v>
      </c>
      <c r="G297" s="2">
        <v>81</v>
      </c>
      <c r="H297">
        <v>22</v>
      </c>
      <c r="I297">
        <v>20</v>
      </c>
      <c r="J297" t="s">
        <v>55</v>
      </c>
      <c r="K297">
        <v>0</v>
      </c>
      <c r="L297" t="s">
        <v>41</v>
      </c>
      <c r="M297" s="12">
        <v>10</v>
      </c>
      <c r="N297" s="3">
        <f>G297*M297</f>
        <v>810</v>
      </c>
      <c r="O297" s="1">
        <v>45297</v>
      </c>
      <c r="P297" s="1">
        <v>45711</v>
      </c>
      <c r="Q297" s="1">
        <v>45526</v>
      </c>
      <c r="R297">
        <v>782</v>
      </c>
      <c r="S297">
        <v>368</v>
      </c>
      <c r="T297">
        <v>553</v>
      </c>
      <c r="U297" t="str">
        <f t="shared" si="8"/>
        <v>Safe</v>
      </c>
      <c r="V297" t="s">
        <v>1238</v>
      </c>
      <c r="W297">
        <v>95</v>
      </c>
      <c r="X297" s="3">
        <f t="shared" si="9"/>
        <v>76950</v>
      </c>
      <c r="Y297">
        <v>77</v>
      </c>
      <c r="Z297" t="s">
        <v>30</v>
      </c>
      <c r="AA297" s="3">
        <f>X297-Grocery_Inventory_and_Sales_Dat!N297</f>
        <v>76140</v>
      </c>
    </row>
    <row r="298" spans="1:27" x14ac:dyDescent="0.3">
      <c r="A298" t="s">
        <v>1239</v>
      </c>
      <c r="B298" t="s">
        <v>1240</v>
      </c>
      <c r="C298" t="s">
        <v>52</v>
      </c>
      <c r="D298" t="s">
        <v>1241</v>
      </c>
      <c r="E298" s="13" t="s">
        <v>1114</v>
      </c>
      <c r="G298" s="2">
        <v>81</v>
      </c>
      <c r="H298">
        <v>74</v>
      </c>
      <c r="I298">
        <v>45</v>
      </c>
      <c r="J298" t="s">
        <v>55</v>
      </c>
      <c r="K298">
        <v>0</v>
      </c>
      <c r="L298" t="s">
        <v>41</v>
      </c>
      <c r="M298" s="12">
        <v>3.5</v>
      </c>
      <c r="N298" s="3">
        <f>G298*M298</f>
        <v>283.5</v>
      </c>
      <c r="O298" s="1">
        <v>45677</v>
      </c>
      <c r="P298" s="1">
        <v>45684</v>
      </c>
      <c r="Q298" s="1">
        <v>45669</v>
      </c>
      <c r="R298">
        <v>402</v>
      </c>
      <c r="S298">
        <v>395</v>
      </c>
      <c r="T298">
        <v>410</v>
      </c>
      <c r="U298" t="str">
        <f t="shared" si="8"/>
        <v>Expiring Soon</v>
      </c>
      <c r="V298" t="s">
        <v>1242</v>
      </c>
      <c r="W298">
        <v>42</v>
      </c>
      <c r="X298" s="3">
        <f t="shared" si="9"/>
        <v>11907</v>
      </c>
      <c r="Y298">
        <v>23</v>
      </c>
      <c r="Z298" t="s">
        <v>30</v>
      </c>
      <c r="AA298" s="3">
        <f>X298-Grocery_Inventory_and_Sales_Dat!N298</f>
        <v>11623.5</v>
      </c>
    </row>
    <row r="299" spans="1:27" x14ac:dyDescent="0.3">
      <c r="A299" t="s">
        <v>1243</v>
      </c>
      <c r="B299" t="s">
        <v>786</v>
      </c>
      <c r="C299" t="s">
        <v>52</v>
      </c>
      <c r="D299" t="s">
        <v>1244</v>
      </c>
      <c r="E299" s="13" t="s">
        <v>466</v>
      </c>
      <c r="G299" s="2">
        <v>71</v>
      </c>
      <c r="H299">
        <v>4</v>
      </c>
      <c r="I299">
        <v>37</v>
      </c>
      <c r="J299" t="s">
        <v>55</v>
      </c>
      <c r="K299">
        <v>0</v>
      </c>
      <c r="L299" t="s">
        <v>41</v>
      </c>
      <c r="M299" s="12">
        <v>3</v>
      </c>
      <c r="N299" s="3">
        <f>G299*M299</f>
        <v>213</v>
      </c>
      <c r="O299" s="1">
        <v>45550</v>
      </c>
      <c r="P299" s="1">
        <v>45589</v>
      </c>
      <c r="Q299" s="1">
        <v>45653</v>
      </c>
      <c r="R299">
        <v>529</v>
      </c>
      <c r="S299">
        <v>490</v>
      </c>
      <c r="T299">
        <v>426</v>
      </c>
      <c r="U299" t="str">
        <f t="shared" si="8"/>
        <v>Expiring Soon</v>
      </c>
      <c r="V299" t="s">
        <v>1245</v>
      </c>
      <c r="W299">
        <v>81</v>
      </c>
      <c r="X299" s="3">
        <f t="shared" si="9"/>
        <v>17253</v>
      </c>
      <c r="Y299">
        <v>25</v>
      </c>
      <c r="Z299" t="s">
        <v>30</v>
      </c>
      <c r="AA299" s="3">
        <f>X299-Grocery_Inventory_and_Sales_Dat!N299</f>
        <v>17040</v>
      </c>
    </row>
    <row r="300" spans="1:27" x14ac:dyDescent="0.3">
      <c r="A300" t="s">
        <v>1246</v>
      </c>
      <c r="B300" t="s">
        <v>600</v>
      </c>
      <c r="C300" t="s">
        <v>52</v>
      </c>
      <c r="D300" t="s">
        <v>1247</v>
      </c>
      <c r="E300" s="13" t="s">
        <v>1248</v>
      </c>
      <c r="G300" s="2">
        <v>52</v>
      </c>
      <c r="H300">
        <v>22</v>
      </c>
      <c r="I300">
        <v>37</v>
      </c>
      <c r="J300" t="s">
        <v>55</v>
      </c>
      <c r="K300">
        <v>0</v>
      </c>
      <c r="L300" t="s">
        <v>41</v>
      </c>
      <c r="M300" s="12">
        <v>2.5</v>
      </c>
      <c r="N300" s="3">
        <f>G300*M300</f>
        <v>130</v>
      </c>
      <c r="O300" s="1">
        <v>45593</v>
      </c>
      <c r="P300" s="1">
        <v>45572</v>
      </c>
      <c r="Q300" s="1">
        <v>45375</v>
      </c>
      <c r="R300">
        <v>486</v>
      </c>
      <c r="S300">
        <v>507</v>
      </c>
      <c r="T300">
        <v>704</v>
      </c>
      <c r="U300" t="str">
        <f t="shared" si="8"/>
        <v>Safe</v>
      </c>
      <c r="V300" t="s">
        <v>1249</v>
      </c>
      <c r="W300">
        <v>56</v>
      </c>
      <c r="X300" s="3">
        <f t="shared" si="9"/>
        <v>7280</v>
      </c>
      <c r="Y300">
        <v>44</v>
      </c>
      <c r="Z300" t="s">
        <v>49</v>
      </c>
      <c r="AA300" s="3">
        <f>X300-Grocery_Inventory_and_Sales_Dat!N300</f>
        <v>7150</v>
      </c>
    </row>
    <row r="301" spans="1:27" x14ac:dyDescent="0.3">
      <c r="A301" t="s">
        <v>1250</v>
      </c>
      <c r="B301" t="s">
        <v>75</v>
      </c>
      <c r="C301" t="s">
        <v>70</v>
      </c>
      <c r="D301" t="s">
        <v>1251</v>
      </c>
      <c r="E301" s="13" t="s">
        <v>1252</v>
      </c>
      <c r="G301" s="2">
        <v>26</v>
      </c>
      <c r="H301">
        <v>54</v>
      </c>
      <c r="I301">
        <v>90</v>
      </c>
      <c r="J301" t="s">
        <v>27</v>
      </c>
      <c r="K301">
        <v>54</v>
      </c>
      <c r="L301" t="s">
        <v>41</v>
      </c>
      <c r="M301" s="12">
        <v>3</v>
      </c>
      <c r="N301" s="3">
        <f>G301*M301</f>
        <v>78</v>
      </c>
      <c r="O301" s="1">
        <v>45580</v>
      </c>
      <c r="P301" s="1">
        <v>45462</v>
      </c>
      <c r="Q301" s="1">
        <v>45678</v>
      </c>
      <c r="R301">
        <v>499</v>
      </c>
      <c r="S301">
        <v>617</v>
      </c>
      <c r="T301">
        <v>401</v>
      </c>
      <c r="U301" t="str">
        <f t="shared" si="8"/>
        <v>Expiring Soon</v>
      </c>
      <c r="V301" t="s">
        <v>1253</v>
      </c>
      <c r="W301">
        <v>25</v>
      </c>
      <c r="X301" s="3">
        <f t="shared" si="9"/>
        <v>1950</v>
      </c>
      <c r="Y301">
        <v>81</v>
      </c>
      <c r="Z301" t="s">
        <v>49</v>
      </c>
      <c r="AA301" s="3">
        <f>X301-Grocery_Inventory_and_Sales_Dat!N301</f>
        <v>1872</v>
      </c>
    </row>
    <row r="302" spans="1:27" x14ac:dyDescent="0.3">
      <c r="A302" t="s">
        <v>1254</v>
      </c>
      <c r="B302" t="s">
        <v>202</v>
      </c>
      <c r="C302" t="s">
        <v>138</v>
      </c>
      <c r="D302" t="s">
        <v>1255</v>
      </c>
      <c r="E302" s="13" t="s">
        <v>1256</v>
      </c>
      <c r="G302" s="2">
        <v>84</v>
      </c>
      <c r="H302">
        <v>8</v>
      </c>
      <c r="I302">
        <v>54</v>
      </c>
      <c r="J302" t="s">
        <v>55</v>
      </c>
      <c r="K302">
        <v>0</v>
      </c>
      <c r="L302" t="s">
        <v>41</v>
      </c>
      <c r="M302" s="12">
        <v>9</v>
      </c>
      <c r="N302" s="3">
        <f>G302*M302</f>
        <v>756</v>
      </c>
      <c r="O302" s="1">
        <v>45671</v>
      </c>
      <c r="P302" s="1">
        <v>45405</v>
      </c>
      <c r="Q302" s="1">
        <v>45360</v>
      </c>
      <c r="R302">
        <v>408</v>
      </c>
      <c r="S302">
        <v>674</v>
      </c>
      <c r="T302">
        <v>719</v>
      </c>
      <c r="U302" t="str">
        <f t="shared" si="8"/>
        <v>Safe</v>
      </c>
      <c r="V302" t="s">
        <v>1257</v>
      </c>
      <c r="W302">
        <v>60</v>
      </c>
      <c r="X302" s="3">
        <f t="shared" si="9"/>
        <v>45360</v>
      </c>
      <c r="Y302">
        <v>38</v>
      </c>
      <c r="Z302" t="s">
        <v>49</v>
      </c>
      <c r="AA302" s="3">
        <f>X302-Grocery_Inventory_and_Sales_Dat!N302</f>
        <v>44604</v>
      </c>
    </row>
    <row r="303" spans="1:27" x14ac:dyDescent="0.3">
      <c r="A303" t="s">
        <v>1258</v>
      </c>
      <c r="B303" t="s">
        <v>446</v>
      </c>
      <c r="C303" t="s">
        <v>52</v>
      </c>
      <c r="D303" t="s">
        <v>1259</v>
      </c>
      <c r="E303" s="13" t="s">
        <v>615</v>
      </c>
      <c r="G303" s="2">
        <v>28</v>
      </c>
      <c r="H303">
        <v>86</v>
      </c>
      <c r="I303">
        <v>44</v>
      </c>
      <c r="J303" t="s">
        <v>27</v>
      </c>
      <c r="K303">
        <v>86</v>
      </c>
      <c r="L303" t="s">
        <v>28</v>
      </c>
      <c r="M303" s="12">
        <v>10</v>
      </c>
      <c r="N303" s="3">
        <f>G303*M303</f>
        <v>280</v>
      </c>
      <c r="O303" s="1">
        <v>45435</v>
      </c>
      <c r="P303" s="1">
        <v>45614</v>
      </c>
      <c r="Q303" s="1">
        <v>45502</v>
      </c>
      <c r="R303">
        <v>644</v>
      </c>
      <c r="S303">
        <v>465</v>
      </c>
      <c r="T303">
        <v>577</v>
      </c>
      <c r="U303" t="str">
        <f t="shared" si="8"/>
        <v>Safe</v>
      </c>
      <c r="V303" t="s">
        <v>1260</v>
      </c>
      <c r="W303">
        <v>48</v>
      </c>
      <c r="X303" s="3">
        <f t="shared" si="9"/>
        <v>13440</v>
      </c>
      <c r="Y303">
        <v>12</v>
      </c>
      <c r="Z303" t="s">
        <v>43</v>
      </c>
      <c r="AA303" s="3">
        <f>X303-Grocery_Inventory_and_Sales_Dat!N303</f>
        <v>13160</v>
      </c>
    </row>
    <row r="304" spans="1:27" x14ac:dyDescent="0.3">
      <c r="A304" t="s">
        <v>1261</v>
      </c>
      <c r="B304" t="s">
        <v>104</v>
      </c>
      <c r="C304" t="s">
        <v>52</v>
      </c>
      <c r="D304" t="s">
        <v>1262</v>
      </c>
      <c r="E304" s="13" t="s">
        <v>1263</v>
      </c>
      <c r="G304" s="2">
        <v>94</v>
      </c>
      <c r="H304">
        <v>77</v>
      </c>
      <c r="I304">
        <v>89</v>
      </c>
      <c r="J304" t="s">
        <v>55</v>
      </c>
      <c r="K304">
        <v>0</v>
      </c>
      <c r="L304" t="s">
        <v>41</v>
      </c>
      <c r="M304" s="12">
        <v>6</v>
      </c>
      <c r="N304" s="3">
        <f>G304*M304</f>
        <v>564</v>
      </c>
      <c r="O304" s="1">
        <v>45565</v>
      </c>
      <c r="P304" s="1">
        <v>45463</v>
      </c>
      <c r="Q304" s="1">
        <v>45464</v>
      </c>
      <c r="R304">
        <v>514</v>
      </c>
      <c r="S304">
        <v>616</v>
      </c>
      <c r="T304">
        <v>615</v>
      </c>
      <c r="U304" t="str">
        <f t="shared" si="8"/>
        <v>Safe</v>
      </c>
      <c r="V304" t="s">
        <v>1264</v>
      </c>
      <c r="W304">
        <v>40</v>
      </c>
      <c r="X304" s="3">
        <f t="shared" si="9"/>
        <v>22560</v>
      </c>
      <c r="Y304">
        <v>84</v>
      </c>
      <c r="Z304" t="s">
        <v>30</v>
      </c>
      <c r="AA304" s="3">
        <f>X304-Grocery_Inventory_and_Sales_Dat!N304</f>
        <v>21996</v>
      </c>
    </row>
    <row r="305" spans="1:27" x14ac:dyDescent="0.3">
      <c r="A305" t="s">
        <v>1265</v>
      </c>
      <c r="B305" t="s">
        <v>262</v>
      </c>
      <c r="C305" t="s">
        <v>52</v>
      </c>
      <c r="D305" t="s">
        <v>1266</v>
      </c>
      <c r="E305" s="13" t="s">
        <v>1267</v>
      </c>
      <c r="G305" s="2">
        <v>47</v>
      </c>
      <c r="H305">
        <v>75</v>
      </c>
      <c r="I305">
        <v>53</v>
      </c>
      <c r="J305" t="s">
        <v>27</v>
      </c>
      <c r="K305">
        <v>75</v>
      </c>
      <c r="L305" t="s">
        <v>28</v>
      </c>
      <c r="M305" s="12">
        <v>6</v>
      </c>
      <c r="N305" s="3">
        <f>G305*M305</f>
        <v>282</v>
      </c>
      <c r="O305" s="1">
        <v>45810</v>
      </c>
      <c r="P305" s="1">
        <v>45361</v>
      </c>
      <c r="Q305" s="1">
        <v>45476</v>
      </c>
      <c r="R305">
        <v>269</v>
      </c>
      <c r="S305">
        <v>718</v>
      </c>
      <c r="T305">
        <v>603</v>
      </c>
      <c r="U305" t="str">
        <f t="shared" si="8"/>
        <v>Safe</v>
      </c>
      <c r="V305" t="s">
        <v>1268</v>
      </c>
      <c r="W305">
        <v>70</v>
      </c>
      <c r="X305" s="3">
        <f t="shared" si="9"/>
        <v>19740</v>
      </c>
      <c r="Y305">
        <v>20</v>
      </c>
      <c r="Z305" t="s">
        <v>30</v>
      </c>
      <c r="AA305" s="3">
        <f>X305-Grocery_Inventory_and_Sales_Dat!N305</f>
        <v>19458</v>
      </c>
    </row>
    <row r="306" spans="1:27" x14ac:dyDescent="0.3">
      <c r="A306" t="s">
        <v>1269</v>
      </c>
      <c r="B306" t="s">
        <v>1270</v>
      </c>
      <c r="C306" t="s">
        <v>24</v>
      </c>
      <c r="D306" t="s">
        <v>1271</v>
      </c>
      <c r="E306" s="13" t="s">
        <v>978</v>
      </c>
      <c r="G306" s="2">
        <v>20</v>
      </c>
      <c r="H306">
        <v>51</v>
      </c>
      <c r="I306">
        <v>21</v>
      </c>
      <c r="J306" t="s">
        <v>27</v>
      </c>
      <c r="K306">
        <v>51</v>
      </c>
      <c r="L306" t="s">
        <v>41</v>
      </c>
      <c r="M306" s="12">
        <v>5</v>
      </c>
      <c r="N306" s="3">
        <f>G306*M306</f>
        <v>100</v>
      </c>
      <c r="O306" s="1">
        <v>45370</v>
      </c>
      <c r="P306" s="1">
        <v>45501</v>
      </c>
      <c r="Q306" s="1">
        <v>45461</v>
      </c>
      <c r="R306">
        <v>709</v>
      </c>
      <c r="S306">
        <v>578</v>
      </c>
      <c r="T306">
        <v>618</v>
      </c>
      <c r="U306" t="str">
        <f t="shared" si="8"/>
        <v>Safe</v>
      </c>
      <c r="V306" t="s">
        <v>1272</v>
      </c>
      <c r="W306">
        <v>71</v>
      </c>
      <c r="X306" s="3">
        <f t="shared" si="9"/>
        <v>7100</v>
      </c>
      <c r="Y306">
        <v>26</v>
      </c>
      <c r="Z306" t="s">
        <v>43</v>
      </c>
      <c r="AA306" s="3">
        <f>X306-Grocery_Inventory_and_Sales_Dat!N306</f>
        <v>7000</v>
      </c>
    </row>
    <row r="307" spans="1:27" x14ac:dyDescent="0.3">
      <c r="A307" t="s">
        <v>1273</v>
      </c>
      <c r="B307" t="s">
        <v>1274</v>
      </c>
      <c r="C307" t="s">
        <v>52</v>
      </c>
      <c r="D307" t="s">
        <v>1275</v>
      </c>
      <c r="E307" s="13" t="s">
        <v>913</v>
      </c>
      <c r="G307" s="2">
        <v>84</v>
      </c>
      <c r="H307">
        <v>20</v>
      </c>
      <c r="I307">
        <v>58</v>
      </c>
      <c r="J307" t="s">
        <v>55</v>
      </c>
      <c r="K307">
        <v>0</v>
      </c>
      <c r="L307" t="s">
        <v>41</v>
      </c>
      <c r="M307" s="12">
        <v>2.5</v>
      </c>
      <c r="N307" s="3">
        <f>G307*M307</f>
        <v>210</v>
      </c>
      <c r="O307" s="1">
        <v>45508</v>
      </c>
      <c r="P307" s="1">
        <v>45931</v>
      </c>
      <c r="Q307" s="1">
        <v>45384</v>
      </c>
      <c r="R307">
        <v>571</v>
      </c>
      <c r="S307">
        <v>148</v>
      </c>
      <c r="T307">
        <v>695</v>
      </c>
      <c r="U307" t="str">
        <f t="shared" si="8"/>
        <v>Safe</v>
      </c>
      <c r="V307" t="s">
        <v>1276</v>
      </c>
      <c r="W307">
        <v>86</v>
      </c>
      <c r="X307" s="3">
        <f t="shared" si="9"/>
        <v>18060</v>
      </c>
      <c r="Y307">
        <v>64</v>
      </c>
      <c r="Z307" t="s">
        <v>43</v>
      </c>
      <c r="AA307" s="3">
        <f>X307-Grocery_Inventory_and_Sales_Dat!N307</f>
        <v>17850</v>
      </c>
    </row>
    <row r="308" spans="1:27" x14ac:dyDescent="0.3">
      <c r="A308" t="s">
        <v>1277</v>
      </c>
      <c r="B308" t="s">
        <v>456</v>
      </c>
      <c r="C308" t="s">
        <v>70</v>
      </c>
      <c r="D308" t="s">
        <v>1278</v>
      </c>
      <c r="E308" s="13" t="s">
        <v>129</v>
      </c>
      <c r="G308" s="2">
        <v>100</v>
      </c>
      <c r="H308">
        <v>31</v>
      </c>
      <c r="I308">
        <v>43</v>
      </c>
      <c r="J308" t="s">
        <v>55</v>
      </c>
      <c r="K308">
        <v>0</v>
      </c>
      <c r="L308" t="s">
        <v>41</v>
      </c>
      <c r="M308" s="12">
        <v>9</v>
      </c>
      <c r="N308" s="3">
        <f>G308*M308</f>
        <v>900</v>
      </c>
      <c r="O308" s="1">
        <v>45548</v>
      </c>
      <c r="P308" s="1">
        <v>45809</v>
      </c>
      <c r="Q308" s="1">
        <v>45652</v>
      </c>
      <c r="R308">
        <v>531</v>
      </c>
      <c r="S308">
        <v>270</v>
      </c>
      <c r="T308">
        <v>427</v>
      </c>
      <c r="U308" t="str">
        <f t="shared" si="8"/>
        <v>Expiring Soon</v>
      </c>
      <c r="V308" t="s">
        <v>1279</v>
      </c>
      <c r="W308">
        <v>88</v>
      </c>
      <c r="X308" s="3">
        <f t="shared" si="9"/>
        <v>79200</v>
      </c>
      <c r="Y308">
        <v>52</v>
      </c>
      <c r="Z308" t="s">
        <v>43</v>
      </c>
      <c r="AA308" s="3">
        <f>X308-Grocery_Inventory_and_Sales_Dat!N308</f>
        <v>78300</v>
      </c>
    </row>
    <row r="309" spans="1:27" x14ac:dyDescent="0.3">
      <c r="A309" t="s">
        <v>1280</v>
      </c>
      <c r="B309" t="s">
        <v>1105</v>
      </c>
      <c r="C309" t="s">
        <v>70</v>
      </c>
      <c r="D309" t="s">
        <v>1281</v>
      </c>
      <c r="E309" s="13" t="s">
        <v>991</v>
      </c>
      <c r="G309" s="2">
        <v>74</v>
      </c>
      <c r="H309">
        <v>90</v>
      </c>
      <c r="I309">
        <v>26</v>
      </c>
      <c r="J309" t="s">
        <v>27</v>
      </c>
      <c r="K309">
        <v>90</v>
      </c>
      <c r="L309" t="s">
        <v>28</v>
      </c>
      <c r="M309" s="12">
        <v>1</v>
      </c>
      <c r="N309" s="3">
        <f>G309*M309</f>
        <v>74</v>
      </c>
      <c r="O309" s="1">
        <v>45435</v>
      </c>
      <c r="P309" s="1">
        <v>45840</v>
      </c>
      <c r="Q309" s="1">
        <v>45490</v>
      </c>
      <c r="R309">
        <v>644</v>
      </c>
      <c r="S309">
        <v>239</v>
      </c>
      <c r="T309">
        <v>589</v>
      </c>
      <c r="U309" t="str">
        <f t="shared" si="8"/>
        <v>Safe</v>
      </c>
      <c r="V309" t="s">
        <v>1282</v>
      </c>
      <c r="W309">
        <v>24</v>
      </c>
      <c r="X309" s="3">
        <f t="shared" si="9"/>
        <v>1776</v>
      </c>
      <c r="Y309">
        <v>11</v>
      </c>
      <c r="Z309" t="s">
        <v>30</v>
      </c>
      <c r="AA309" s="3">
        <f>X309-Grocery_Inventory_and_Sales_Dat!N309</f>
        <v>1702</v>
      </c>
    </row>
    <row r="310" spans="1:27" x14ac:dyDescent="0.3">
      <c r="A310" t="s">
        <v>1283</v>
      </c>
      <c r="B310" t="s">
        <v>292</v>
      </c>
      <c r="C310" t="s">
        <v>33</v>
      </c>
      <c r="D310" t="s">
        <v>1284</v>
      </c>
      <c r="E310" s="13" t="s">
        <v>1285</v>
      </c>
      <c r="G310" s="2">
        <v>27</v>
      </c>
      <c r="H310">
        <v>12</v>
      </c>
      <c r="I310">
        <v>93</v>
      </c>
      <c r="J310" t="s">
        <v>55</v>
      </c>
      <c r="K310">
        <v>0</v>
      </c>
      <c r="L310" t="s">
        <v>41</v>
      </c>
      <c r="M310" s="12">
        <v>12</v>
      </c>
      <c r="N310" s="3">
        <f>G310*M310</f>
        <v>324</v>
      </c>
      <c r="O310" s="1">
        <v>45385</v>
      </c>
      <c r="P310" s="1">
        <v>45633</v>
      </c>
      <c r="Q310" s="1">
        <v>45378</v>
      </c>
      <c r="R310">
        <v>694</v>
      </c>
      <c r="S310">
        <v>446</v>
      </c>
      <c r="T310">
        <v>701</v>
      </c>
      <c r="U310" t="str">
        <f t="shared" si="8"/>
        <v>Safe</v>
      </c>
      <c r="V310" t="s">
        <v>1286</v>
      </c>
      <c r="W310">
        <v>88</v>
      </c>
      <c r="X310" s="3">
        <f t="shared" si="9"/>
        <v>28512</v>
      </c>
      <c r="Y310">
        <v>83</v>
      </c>
      <c r="Z310" t="s">
        <v>30</v>
      </c>
      <c r="AA310" s="3">
        <f>X310-Grocery_Inventory_and_Sales_Dat!N310</f>
        <v>28188</v>
      </c>
    </row>
    <row r="311" spans="1:27" x14ac:dyDescent="0.3">
      <c r="A311" t="s">
        <v>1287</v>
      </c>
      <c r="B311" t="s">
        <v>360</v>
      </c>
      <c r="C311" t="s">
        <v>52</v>
      </c>
      <c r="D311" t="s">
        <v>1288</v>
      </c>
      <c r="E311" s="13" t="s">
        <v>1289</v>
      </c>
      <c r="G311" s="2">
        <v>91</v>
      </c>
      <c r="H311">
        <v>55</v>
      </c>
      <c r="I311">
        <v>94</v>
      </c>
      <c r="J311" t="s">
        <v>55</v>
      </c>
      <c r="K311">
        <v>0</v>
      </c>
      <c r="L311" t="s">
        <v>41</v>
      </c>
      <c r="M311" s="12">
        <v>3</v>
      </c>
      <c r="N311" s="3">
        <f>G311*M311</f>
        <v>273</v>
      </c>
      <c r="O311" s="1">
        <v>45599</v>
      </c>
      <c r="P311" s="1">
        <v>45569</v>
      </c>
      <c r="Q311" s="1">
        <v>45408</v>
      </c>
      <c r="R311">
        <v>480</v>
      </c>
      <c r="S311">
        <v>510</v>
      </c>
      <c r="T311">
        <v>671</v>
      </c>
      <c r="U311" t="str">
        <f t="shared" si="8"/>
        <v>Safe</v>
      </c>
      <c r="V311" t="s">
        <v>1290</v>
      </c>
      <c r="W311">
        <v>42</v>
      </c>
      <c r="X311" s="3">
        <f t="shared" si="9"/>
        <v>11466</v>
      </c>
      <c r="Y311">
        <v>93</v>
      </c>
      <c r="Z311" t="s">
        <v>49</v>
      </c>
      <c r="AA311" s="3">
        <f>X311-Grocery_Inventory_and_Sales_Dat!N311</f>
        <v>11193</v>
      </c>
    </row>
    <row r="312" spans="1:27" x14ac:dyDescent="0.3">
      <c r="A312" t="s">
        <v>1291</v>
      </c>
      <c r="B312" t="s">
        <v>1131</v>
      </c>
      <c r="C312" t="s">
        <v>52</v>
      </c>
      <c r="D312" t="s">
        <v>1292</v>
      </c>
      <c r="E312" s="13" t="s">
        <v>1293</v>
      </c>
      <c r="G312" s="2">
        <v>82</v>
      </c>
      <c r="H312">
        <v>21</v>
      </c>
      <c r="I312">
        <v>85</v>
      </c>
      <c r="J312" t="s">
        <v>55</v>
      </c>
      <c r="K312">
        <v>0</v>
      </c>
      <c r="L312" t="s">
        <v>41</v>
      </c>
      <c r="M312" s="12">
        <v>5.5</v>
      </c>
      <c r="N312" s="3">
        <f>G312*M312</f>
        <v>451</v>
      </c>
      <c r="O312" s="1">
        <v>45396</v>
      </c>
      <c r="P312" s="1">
        <v>45370</v>
      </c>
      <c r="Q312" s="1">
        <v>45481</v>
      </c>
      <c r="R312">
        <v>683</v>
      </c>
      <c r="S312">
        <v>709</v>
      </c>
      <c r="T312">
        <v>598</v>
      </c>
      <c r="U312" t="str">
        <f t="shared" si="8"/>
        <v>Safe</v>
      </c>
      <c r="V312" t="s">
        <v>1294</v>
      </c>
      <c r="W312">
        <v>39</v>
      </c>
      <c r="X312" s="3">
        <f t="shared" si="9"/>
        <v>17589</v>
      </c>
      <c r="Y312">
        <v>18</v>
      </c>
      <c r="Z312" t="s">
        <v>43</v>
      </c>
      <c r="AA312" s="3">
        <f>X312-Grocery_Inventory_and_Sales_Dat!N312</f>
        <v>17138</v>
      </c>
    </row>
    <row r="313" spans="1:27" x14ac:dyDescent="0.3">
      <c r="A313" t="s">
        <v>1295</v>
      </c>
      <c r="B313" t="s">
        <v>114</v>
      </c>
      <c r="C313" t="s">
        <v>24</v>
      </c>
      <c r="D313" t="s">
        <v>1296</v>
      </c>
      <c r="E313" s="13" t="s">
        <v>357</v>
      </c>
      <c r="G313" s="2">
        <v>84</v>
      </c>
      <c r="H313">
        <v>91</v>
      </c>
      <c r="I313">
        <v>86</v>
      </c>
      <c r="J313" t="s">
        <v>27</v>
      </c>
      <c r="K313">
        <v>91</v>
      </c>
      <c r="L313" t="s">
        <v>28</v>
      </c>
      <c r="M313" s="12">
        <v>1.5</v>
      </c>
      <c r="N313" s="3">
        <f>G313*M313</f>
        <v>126</v>
      </c>
      <c r="O313" s="1">
        <v>45870</v>
      </c>
      <c r="P313" s="1">
        <v>45485</v>
      </c>
      <c r="Q313" s="1">
        <v>45618</v>
      </c>
      <c r="R313">
        <v>209</v>
      </c>
      <c r="S313">
        <v>594</v>
      </c>
      <c r="T313">
        <v>461</v>
      </c>
      <c r="U313" t="str">
        <f t="shared" si="8"/>
        <v>Expiring Soon</v>
      </c>
      <c r="V313" t="s">
        <v>1297</v>
      </c>
      <c r="W313">
        <v>83</v>
      </c>
      <c r="X313" s="3">
        <f t="shared" si="9"/>
        <v>10458</v>
      </c>
      <c r="Y313">
        <v>95</v>
      </c>
      <c r="Z313" t="s">
        <v>43</v>
      </c>
      <c r="AA313" s="3">
        <f>X313-Grocery_Inventory_and_Sales_Dat!N313</f>
        <v>10332</v>
      </c>
    </row>
    <row r="314" spans="1:27" x14ac:dyDescent="0.3">
      <c r="A314" t="s">
        <v>1298</v>
      </c>
      <c r="B314" t="s">
        <v>1172</v>
      </c>
      <c r="C314" t="s">
        <v>138</v>
      </c>
      <c r="D314" t="s">
        <v>1299</v>
      </c>
      <c r="E314" s="13" t="s">
        <v>1300</v>
      </c>
      <c r="G314" s="2">
        <v>18</v>
      </c>
      <c r="H314">
        <v>46</v>
      </c>
      <c r="I314">
        <v>26</v>
      </c>
      <c r="J314" t="s">
        <v>27</v>
      </c>
      <c r="K314">
        <v>46</v>
      </c>
      <c r="L314" t="s">
        <v>41</v>
      </c>
      <c r="M314" s="12">
        <v>20</v>
      </c>
      <c r="N314" s="3">
        <f>G314*M314</f>
        <v>360</v>
      </c>
      <c r="O314" s="1">
        <v>45569</v>
      </c>
      <c r="P314" s="1">
        <v>45575</v>
      </c>
      <c r="Q314" s="1">
        <v>45548</v>
      </c>
      <c r="R314">
        <v>510</v>
      </c>
      <c r="S314">
        <v>504</v>
      </c>
      <c r="T314">
        <v>531</v>
      </c>
      <c r="U314" t="str">
        <f t="shared" si="8"/>
        <v>Expiring Soon</v>
      </c>
      <c r="V314" t="s">
        <v>1301</v>
      </c>
      <c r="W314">
        <v>57</v>
      </c>
      <c r="X314" s="3">
        <f t="shared" si="9"/>
        <v>20520</v>
      </c>
      <c r="Y314">
        <v>95</v>
      </c>
      <c r="Z314" t="s">
        <v>43</v>
      </c>
      <c r="AA314" s="3">
        <f>X314-Grocery_Inventory_and_Sales_Dat!N314</f>
        <v>20160</v>
      </c>
    </row>
    <row r="315" spans="1:27" x14ac:dyDescent="0.3">
      <c r="A315" t="s">
        <v>1302</v>
      </c>
      <c r="B315" t="s">
        <v>271</v>
      </c>
      <c r="C315" t="s">
        <v>95</v>
      </c>
      <c r="D315" t="s">
        <v>1303</v>
      </c>
      <c r="E315" s="13" t="s">
        <v>1252</v>
      </c>
      <c r="G315" s="2">
        <v>12</v>
      </c>
      <c r="H315">
        <v>59</v>
      </c>
      <c r="I315">
        <v>62</v>
      </c>
      <c r="J315" t="s">
        <v>27</v>
      </c>
      <c r="K315">
        <v>59</v>
      </c>
      <c r="L315" t="s">
        <v>41</v>
      </c>
      <c r="M315" s="12">
        <v>4.5</v>
      </c>
      <c r="N315" s="3">
        <f>G315*M315</f>
        <v>54</v>
      </c>
      <c r="O315" s="1">
        <v>45357</v>
      </c>
      <c r="P315" s="1">
        <v>45673</v>
      </c>
      <c r="Q315" s="1">
        <v>45509</v>
      </c>
      <c r="R315">
        <v>722</v>
      </c>
      <c r="S315">
        <v>406</v>
      </c>
      <c r="T315">
        <v>570</v>
      </c>
      <c r="U315" t="str">
        <f t="shared" si="8"/>
        <v>Safe</v>
      </c>
      <c r="V315" t="s">
        <v>1304</v>
      </c>
      <c r="W315">
        <v>75</v>
      </c>
      <c r="X315" s="3">
        <f t="shared" si="9"/>
        <v>4050</v>
      </c>
      <c r="Y315">
        <v>92</v>
      </c>
      <c r="Z315" t="s">
        <v>43</v>
      </c>
      <c r="AA315" s="3">
        <f>X315-Grocery_Inventory_and_Sales_Dat!N315</f>
        <v>3996</v>
      </c>
    </row>
    <row r="316" spans="1:27" x14ac:dyDescent="0.3">
      <c r="A316" t="s">
        <v>1305</v>
      </c>
      <c r="B316" t="s">
        <v>38</v>
      </c>
      <c r="C316" t="s">
        <v>24</v>
      </c>
      <c r="D316" t="s">
        <v>1306</v>
      </c>
      <c r="E316" s="13" t="s">
        <v>101</v>
      </c>
      <c r="G316" s="2">
        <v>85</v>
      </c>
      <c r="H316">
        <v>4</v>
      </c>
      <c r="I316">
        <v>75</v>
      </c>
      <c r="J316" t="s">
        <v>55</v>
      </c>
      <c r="K316">
        <v>0</v>
      </c>
      <c r="L316" t="s">
        <v>41</v>
      </c>
      <c r="M316" s="12">
        <v>6.5</v>
      </c>
      <c r="N316" s="3">
        <f>G316*M316</f>
        <v>552.5</v>
      </c>
      <c r="O316" s="1">
        <v>45522</v>
      </c>
      <c r="P316" s="1">
        <v>45355</v>
      </c>
      <c r="Q316" s="1">
        <v>45599</v>
      </c>
      <c r="R316">
        <v>557</v>
      </c>
      <c r="S316">
        <v>724</v>
      </c>
      <c r="T316">
        <v>480</v>
      </c>
      <c r="U316" t="str">
        <f t="shared" si="8"/>
        <v>Expiring Soon</v>
      </c>
      <c r="V316" t="s">
        <v>1307</v>
      </c>
      <c r="W316">
        <v>95</v>
      </c>
      <c r="X316" s="3">
        <f t="shared" si="9"/>
        <v>52487.5</v>
      </c>
      <c r="Y316">
        <v>70</v>
      </c>
      <c r="Z316" t="s">
        <v>43</v>
      </c>
      <c r="AA316" s="3">
        <f>X316-Grocery_Inventory_and_Sales_Dat!N316</f>
        <v>51935</v>
      </c>
    </row>
    <row r="317" spans="1:27" x14ac:dyDescent="0.3">
      <c r="A317" t="s">
        <v>1308</v>
      </c>
      <c r="B317" t="s">
        <v>403</v>
      </c>
      <c r="C317" t="s">
        <v>95</v>
      </c>
      <c r="D317" t="s">
        <v>1309</v>
      </c>
      <c r="E317" s="13" t="s">
        <v>1310</v>
      </c>
      <c r="G317" s="2">
        <v>33</v>
      </c>
      <c r="H317">
        <v>60</v>
      </c>
      <c r="I317">
        <v>67</v>
      </c>
      <c r="J317" t="s">
        <v>27</v>
      </c>
      <c r="K317">
        <v>60</v>
      </c>
      <c r="L317" t="s">
        <v>41</v>
      </c>
      <c r="M317" s="12">
        <v>6</v>
      </c>
      <c r="N317" s="3">
        <f>G317*M317</f>
        <v>198</v>
      </c>
      <c r="O317" s="1">
        <v>45459</v>
      </c>
      <c r="P317" s="1">
        <v>45436</v>
      </c>
      <c r="Q317" s="1">
        <v>45654</v>
      </c>
      <c r="R317">
        <v>620</v>
      </c>
      <c r="S317">
        <v>643</v>
      </c>
      <c r="T317">
        <v>425</v>
      </c>
      <c r="U317" t="str">
        <f t="shared" si="8"/>
        <v>Expiring Soon</v>
      </c>
      <c r="V317" t="s">
        <v>1311</v>
      </c>
      <c r="W317">
        <v>20</v>
      </c>
      <c r="X317" s="3">
        <f t="shared" si="9"/>
        <v>3960</v>
      </c>
      <c r="Y317">
        <v>7</v>
      </c>
      <c r="Z317" t="s">
        <v>30</v>
      </c>
      <c r="AA317" s="3">
        <f>X317-Grocery_Inventory_and_Sales_Dat!N317</f>
        <v>3762</v>
      </c>
    </row>
    <row r="318" spans="1:27" x14ac:dyDescent="0.3">
      <c r="A318" t="s">
        <v>1312</v>
      </c>
      <c r="B318" t="s">
        <v>514</v>
      </c>
      <c r="C318" t="s">
        <v>138</v>
      </c>
      <c r="D318" t="s">
        <v>1313</v>
      </c>
      <c r="E318" s="13" t="s">
        <v>644</v>
      </c>
      <c r="G318" s="2">
        <v>59</v>
      </c>
      <c r="H318">
        <v>59</v>
      </c>
      <c r="I318">
        <v>10</v>
      </c>
      <c r="J318" t="s">
        <v>27</v>
      </c>
      <c r="K318">
        <v>59</v>
      </c>
      <c r="L318" t="s">
        <v>41</v>
      </c>
      <c r="M318" s="12">
        <v>7</v>
      </c>
      <c r="N318" s="3">
        <f>G318*M318</f>
        <v>413</v>
      </c>
      <c r="O318" s="1">
        <v>45522</v>
      </c>
      <c r="P318" s="1">
        <v>45576</v>
      </c>
      <c r="Q318" s="1">
        <v>45366</v>
      </c>
      <c r="R318">
        <v>557</v>
      </c>
      <c r="S318">
        <v>503</v>
      </c>
      <c r="T318">
        <v>713</v>
      </c>
      <c r="U318" t="str">
        <f t="shared" si="8"/>
        <v>Safe</v>
      </c>
      <c r="V318" t="s">
        <v>1314</v>
      </c>
      <c r="W318">
        <v>57</v>
      </c>
      <c r="X318" s="3">
        <f t="shared" si="9"/>
        <v>23541</v>
      </c>
      <c r="Y318">
        <v>50</v>
      </c>
      <c r="Z318" t="s">
        <v>49</v>
      </c>
      <c r="AA318" s="3">
        <f>X318-Grocery_Inventory_and_Sales_Dat!N318</f>
        <v>23128</v>
      </c>
    </row>
    <row r="319" spans="1:27" x14ac:dyDescent="0.3">
      <c r="A319" t="s">
        <v>1315</v>
      </c>
      <c r="B319" t="s">
        <v>1131</v>
      </c>
      <c r="C319" t="s">
        <v>52</v>
      </c>
      <c r="D319" t="s">
        <v>1316</v>
      </c>
      <c r="E319" s="13" t="s">
        <v>1317</v>
      </c>
      <c r="G319" s="2">
        <v>22</v>
      </c>
      <c r="H319">
        <v>69</v>
      </c>
      <c r="I319">
        <v>87</v>
      </c>
      <c r="J319" t="s">
        <v>27</v>
      </c>
      <c r="K319">
        <v>69</v>
      </c>
      <c r="L319" t="s">
        <v>28</v>
      </c>
      <c r="M319" s="12">
        <v>5.5</v>
      </c>
      <c r="N319" s="3">
        <f>G319*M319</f>
        <v>121</v>
      </c>
      <c r="O319" s="1">
        <v>45902</v>
      </c>
      <c r="P319" s="1">
        <v>45458</v>
      </c>
      <c r="Q319" s="1">
        <v>45708</v>
      </c>
      <c r="R319">
        <v>177</v>
      </c>
      <c r="S319">
        <v>621</v>
      </c>
      <c r="T319">
        <v>371</v>
      </c>
      <c r="U319" t="str">
        <f t="shared" si="8"/>
        <v>Expiring Soon</v>
      </c>
      <c r="V319" t="s">
        <v>1318</v>
      </c>
      <c r="W319">
        <v>34</v>
      </c>
      <c r="X319" s="3">
        <f t="shared" si="9"/>
        <v>4114</v>
      </c>
      <c r="Y319">
        <v>26</v>
      </c>
      <c r="Z319" t="s">
        <v>43</v>
      </c>
      <c r="AA319" s="3">
        <f>X319-Grocery_Inventory_and_Sales_Dat!N319</f>
        <v>3993</v>
      </c>
    </row>
    <row r="320" spans="1:27" x14ac:dyDescent="0.3">
      <c r="A320" t="s">
        <v>1319</v>
      </c>
      <c r="B320" t="s">
        <v>618</v>
      </c>
      <c r="C320" t="s">
        <v>70</v>
      </c>
      <c r="D320" t="s">
        <v>1320</v>
      </c>
      <c r="E320" s="13" t="s">
        <v>1321</v>
      </c>
      <c r="G320" s="2">
        <v>67</v>
      </c>
      <c r="H320">
        <v>79</v>
      </c>
      <c r="I320">
        <v>98</v>
      </c>
      <c r="J320" t="s">
        <v>27</v>
      </c>
      <c r="K320">
        <v>79</v>
      </c>
      <c r="L320" t="s">
        <v>28</v>
      </c>
      <c r="M320" s="12">
        <v>7</v>
      </c>
      <c r="N320" s="3">
        <f>G320*M320</f>
        <v>469</v>
      </c>
      <c r="O320" s="1">
        <v>45701</v>
      </c>
      <c r="P320" s="1">
        <v>45604</v>
      </c>
      <c r="Q320" s="1">
        <v>45388</v>
      </c>
      <c r="R320">
        <v>378</v>
      </c>
      <c r="S320">
        <v>475</v>
      </c>
      <c r="T320">
        <v>691</v>
      </c>
      <c r="U320" t="str">
        <f t="shared" si="8"/>
        <v>Safe</v>
      </c>
      <c r="V320" t="s">
        <v>1322</v>
      </c>
      <c r="W320">
        <v>73</v>
      </c>
      <c r="X320" s="3">
        <f t="shared" si="9"/>
        <v>34237</v>
      </c>
      <c r="Y320">
        <v>36</v>
      </c>
      <c r="Z320" t="s">
        <v>49</v>
      </c>
      <c r="AA320" s="3">
        <f>X320-Grocery_Inventory_and_Sales_Dat!N320</f>
        <v>33768</v>
      </c>
    </row>
    <row r="321" spans="1:27" x14ac:dyDescent="0.3">
      <c r="A321" t="s">
        <v>1323</v>
      </c>
      <c r="B321" t="s">
        <v>456</v>
      </c>
      <c r="C321" t="s">
        <v>70</v>
      </c>
      <c r="D321" t="s">
        <v>1324</v>
      </c>
      <c r="E321" s="13" t="s">
        <v>1325</v>
      </c>
      <c r="G321" s="2">
        <v>78</v>
      </c>
      <c r="H321">
        <v>24</v>
      </c>
      <c r="I321">
        <v>31</v>
      </c>
      <c r="J321" t="s">
        <v>55</v>
      </c>
      <c r="K321">
        <v>0</v>
      </c>
      <c r="L321" t="s">
        <v>41</v>
      </c>
      <c r="M321" s="12">
        <v>9</v>
      </c>
      <c r="N321" s="3">
        <f>G321*M321</f>
        <v>702</v>
      </c>
      <c r="O321" s="1">
        <v>45297</v>
      </c>
      <c r="P321" s="1">
        <v>45357</v>
      </c>
      <c r="Q321" s="1">
        <v>45358</v>
      </c>
      <c r="R321">
        <v>782</v>
      </c>
      <c r="S321">
        <v>722</v>
      </c>
      <c r="T321">
        <v>721</v>
      </c>
      <c r="U321" t="str">
        <f t="shared" si="8"/>
        <v>Safe</v>
      </c>
      <c r="V321" t="s">
        <v>1326</v>
      </c>
      <c r="W321">
        <v>60</v>
      </c>
      <c r="X321" s="3">
        <f t="shared" si="9"/>
        <v>42120</v>
      </c>
      <c r="Y321">
        <v>41</v>
      </c>
      <c r="Z321" t="s">
        <v>49</v>
      </c>
      <c r="AA321" s="3">
        <f>X321-Grocery_Inventory_and_Sales_Dat!N321</f>
        <v>41418</v>
      </c>
    </row>
    <row r="322" spans="1:27" x14ac:dyDescent="0.3">
      <c r="A322" t="s">
        <v>1327</v>
      </c>
      <c r="B322" t="s">
        <v>235</v>
      </c>
      <c r="C322" t="s">
        <v>52</v>
      </c>
      <c r="D322" t="s">
        <v>1328</v>
      </c>
      <c r="E322" s="13" t="s">
        <v>1180</v>
      </c>
      <c r="G322" s="2">
        <v>72</v>
      </c>
      <c r="H322">
        <v>32</v>
      </c>
      <c r="I322">
        <v>80</v>
      </c>
      <c r="J322" t="s">
        <v>55</v>
      </c>
      <c r="K322">
        <v>0</v>
      </c>
      <c r="L322" t="s">
        <v>41</v>
      </c>
      <c r="M322" s="12">
        <v>2.4500000000000002</v>
      </c>
      <c r="N322" s="3">
        <f>G322*M322</f>
        <v>176.4</v>
      </c>
      <c r="O322" s="1">
        <v>45450</v>
      </c>
      <c r="P322" s="1">
        <v>45613</v>
      </c>
      <c r="Q322" s="1">
        <v>45392</v>
      </c>
      <c r="R322">
        <v>629</v>
      </c>
      <c r="S322">
        <v>466</v>
      </c>
      <c r="T322">
        <v>687</v>
      </c>
      <c r="U322" t="str">
        <f t="shared" si="8"/>
        <v>Safe</v>
      </c>
      <c r="V322" t="s">
        <v>1329</v>
      </c>
      <c r="W322">
        <v>25</v>
      </c>
      <c r="X322" s="3">
        <f t="shared" si="9"/>
        <v>4410</v>
      </c>
      <c r="Y322">
        <v>9</v>
      </c>
      <c r="Z322" t="s">
        <v>43</v>
      </c>
      <c r="AA322" s="3">
        <f>X322-Grocery_Inventory_and_Sales_Dat!N322</f>
        <v>4233.6000000000004</v>
      </c>
    </row>
    <row r="323" spans="1:27" x14ac:dyDescent="0.3">
      <c r="A323" t="s">
        <v>1330</v>
      </c>
      <c r="B323" t="s">
        <v>369</v>
      </c>
      <c r="C323" t="s">
        <v>70</v>
      </c>
      <c r="D323" t="s">
        <v>1331</v>
      </c>
      <c r="E323" s="13" t="s">
        <v>680</v>
      </c>
      <c r="G323" s="2">
        <v>63</v>
      </c>
      <c r="H323">
        <v>48</v>
      </c>
      <c r="I323">
        <v>22</v>
      </c>
      <c r="J323" t="s">
        <v>55</v>
      </c>
      <c r="K323">
        <v>0</v>
      </c>
      <c r="L323" t="s">
        <v>41</v>
      </c>
      <c r="M323" s="12">
        <v>4</v>
      </c>
      <c r="N323" s="3">
        <f>G323*M323</f>
        <v>252</v>
      </c>
      <c r="O323" s="1">
        <v>45442</v>
      </c>
      <c r="P323" s="1">
        <v>45706</v>
      </c>
      <c r="Q323" s="1">
        <v>45491</v>
      </c>
      <c r="R323">
        <v>637</v>
      </c>
      <c r="S323">
        <v>373</v>
      </c>
      <c r="T323">
        <v>588</v>
      </c>
      <c r="U323" t="str">
        <f t="shared" ref="U323:U386" si="10">IF(T323&lt;0,"Expired",IF(T323&lt;=550,"Expiring Soon","Safe"))</f>
        <v>Safe</v>
      </c>
      <c r="V323" t="s">
        <v>1332</v>
      </c>
      <c r="W323">
        <v>21</v>
      </c>
      <c r="X323" s="3">
        <f t="shared" ref="X323:X386" si="11">W323*N323</f>
        <v>5292</v>
      </c>
      <c r="Y323">
        <v>90</v>
      </c>
      <c r="Z323" t="s">
        <v>30</v>
      </c>
      <c r="AA323" s="3">
        <f>X323-Grocery_Inventory_and_Sales_Dat!N323</f>
        <v>5040</v>
      </c>
    </row>
    <row r="324" spans="1:27" x14ac:dyDescent="0.3">
      <c r="A324" t="s">
        <v>1333</v>
      </c>
      <c r="B324" t="s">
        <v>288</v>
      </c>
      <c r="C324" t="s">
        <v>95</v>
      </c>
      <c r="D324" t="s">
        <v>1334</v>
      </c>
      <c r="E324" s="13" t="s">
        <v>66</v>
      </c>
      <c r="G324" s="2">
        <v>30</v>
      </c>
      <c r="H324">
        <v>91</v>
      </c>
      <c r="I324">
        <v>34</v>
      </c>
      <c r="J324" t="s">
        <v>27</v>
      </c>
      <c r="K324">
        <v>91</v>
      </c>
      <c r="L324" t="s">
        <v>28</v>
      </c>
      <c r="M324" s="12">
        <v>2.5</v>
      </c>
      <c r="N324" s="3">
        <f>G324*M324</f>
        <v>75</v>
      </c>
      <c r="O324" s="1">
        <v>45603</v>
      </c>
      <c r="P324" s="1">
        <v>45614</v>
      </c>
      <c r="Q324" s="1">
        <v>45418</v>
      </c>
      <c r="R324">
        <v>476</v>
      </c>
      <c r="S324">
        <v>465</v>
      </c>
      <c r="T324">
        <v>661</v>
      </c>
      <c r="U324" t="str">
        <f t="shared" si="10"/>
        <v>Safe</v>
      </c>
      <c r="V324" t="s">
        <v>1335</v>
      </c>
      <c r="W324">
        <v>97</v>
      </c>
      <c r="X324" s="3">
        <f t="shared" si="11"/>
        <v>7275</v>
      </c>
      <c r="Y324">
        <v>88</v>
      </c>
      <c r="Z324" t="s">
        <v>49</v>
      </c>
      <c r="AA324" s="3">
        <f>X324-Grocery_Inventory_and_Sales_Dat!N324</f>
        <v>7200</v>
      </c>
    </row>
    <row r="325" spans="1:27" x14ac:dyDescent="0.3">
      <c r="A325" t="s">
        <v>1336</v>
      </c>
      <c r="B325" t="s">
        <v>32</v>
      </c>
      <c r="C325" t="s">
        <v>33</v>
      </c>
      <c r="D325" t="s">
        <v>1337</v>
      </c>
      <c r="E325" s="13" t="s">
        <v>812</v>
      </c>
      <c r="G325" s="2">
        <v>36</v>
      </c>
      <c r="H325">
        <v>64</v>
      </c>
      <c r="I325">
        <v>63</v>
      </c>
      <c r="J325" t="s">
        <v>27</v>
      </c>
      <c r="K325">
        <v>64</v>
      </c>
      <c r="L325" t="s">
        <v>28</v>
      </c>
      <c r="M325" s="12">
        <v>20</v>
      </c>
      <c r="N325" s="3">
        <f>G325*M325</f>
        <v>720</v>
      </c>
      <c r="O325" s="1">
        <v>45366</v>
      </c>
      <c r="P325" s="1">
        <v>45706</v>
      </c>
      <c r="Q325" s="1">
        <v>45381</v>
      </c>
      <c r="R325">
        <v>713</v>
      </c>
      <c r="S325">
        <v>373</v>
      </c>
      <c r="T325">
        <v>698</v>
      </c>
      <c r="U325" t="str">
        <f t="shared" si="10"/>
        <v>Safe</v>
      </c>
      <c r="V325" t="s">
        <v>1338</v>
      </c>
      <c r="W325">
        <v>91</v>
      </c>
      <c r="X325" s="3">
        <f t="shared" si="11"/>
        <v>65520</v>
      </c>
      <c r="Y325">
        <v>35</v>
      </c>
      <c r="Z325" t="s">
        <v>43</v>
      </c>
      <c r="AA325" s="3">
        <f>X325-Grocery_Inventory_and_Sales_Dat!N325</f>
        <v>64800</v>
      </c>
    </row>
    <row r="326" spans="1:27" x14ac:dyDescent="0.3">
      <c r="A326" t="s">
        <v>1339</v>
      </c>
      <c r="B326" t="s">
        <v>1131</v>
      </c>
      <c r="C326" t="s">
        <v>52</v>
      </c>
      <c r="D326" t="s">
        <v>1340</v>
      </c>
      <c r="E326" s="13" t="s">
        <v>1341</v>
      </c>
      <c r="G326" s="2">
        <v>88</v>
      </c>
      <c r="H326">
        <v>27</v>
      </c>
      <c r="I326">
        <v>92</v>
      </c>
      <c r="J326" t="s">
        <v>55</v>
      </c>
      <c r="K326">
        <v>0</v>
      </c>
      <c r="L326" t="s">
        <v>41</v>
      </c>
      <c r="M326" s="12">
        <v>5.5</v>
      </c>
      <c r="N326" s="3">
        <f>G326*M326</f>
        <v>484</v>
      </c>
      <c r="O326" s="1">
        <v>45623</v>
      </c>
      <c r="P326" s="1">
        <v>45412</v>
      </c>
      <c r="Q326" s="1">
        <v>45465</v>
      </c>
      <c r="R326">
        <v>456</v>
      </c>
      <c r="S326">
        <v>667</v>
      </c>
      <c r="T326">
        <v>614</v>
      </c>
      <c r="U326" t="str">
        <f t="shared" si="10"/>
        <v>Safe</v>
      </c>
      <c r="V326" t="s">
        <v>1342</v>
      </c>
      <c r="W326">
        <v>57</v>
      </c>
      <c r="X326" s="3">
        <f t="shared" si="11"/>
        <v>27588</v>
      </c>
      <c r="Y326">
        <v>37</v>
      </c>
      <c r="Z326" t="s">
        <v>30</v>
      </c>
      <c r="AA326" s="3">
        <f>X326-Grocery_Inventory_and_Sales_Dat!N326</f>
        <v>27104</v>
      </c>
    </row>
    <row r="327" spans="1:27" x14ac:dyDescent="0.3">
      <c r="A327" t="s">
        <v>1343</v>
      </c>
      <c r="B327" t="s">
        <v>543</v>
      </c>
      <c r="C327" t="s">
        <v>52</v>
      </c>
      <c r="D327" t="s">
        <v>1344</v>
      </c>
      <c r="E327" s="13" t="s">
        <v>111</v>
      </c>
      <c r="G327" s="2">
        <v>95</v>
      </c>
      <c r="H327">
        <v>25</v>
      </c>
      <c r="I327">
        <v>91</v>
      </c>
      <c r="J327" t="s">
        <v>55</v>
      </c>
      <c r="K327">
        <v>0</v>
      </c>
      <c r="L327" t="s">
        <v>41</v>
      </c>
      <c r="M327" s="12">
        <v>53.82</v>
      </c>
      <c r="N327" s="3">
        <f>G327*M327</f>
        <v>5112.8999999999996</v>
      </c>
      <c r="O327" s="1">
        <v>45391</v>
      </c>
      <c r="P327" s="1">
        <v>45406</v>
      </c>
      <c r="Q327" s="1">
        <v>45583</v>
      </c>
      <c r="R327">
        <v>688</v>
      </c>
      <c r="S327">
        <v>673</v>
      </c>
      <c r="T327">
        <v>496</v>
      </c>
      <c r="U327" t="str">
        <f t="shared" si="10"/>
        <v>Expiring Soon</v>
      </c>
      <c r="V327" t="s">
        <v>1345</v>
      </c>
      <c r="W327">
        <v>87</v>
      </c>
      <c r="X327" s="3">
        <f t="shared" si="11"/>
        <v>444822.3</v>
      </c>
      <c r="Y327">
        <v>5</v>
      </c>
      <c r="Z327" t="s">
        <v>30</v>
      </c>
      <c r="AA327" s="3">
        <f>X327-Grocery_Inventory_and_Sales_Dat!N327</f>
        <v>439709.39999999997</v>
      </c>
    </row>
    <row r="328" spans="1:27" x14ac:dyDescent="0.3">
      <c r="A328" t="s">
        <v>1346</v>
      </c>
      <c r="B328" t="s">
        <v>355</v>
      </c>
      <c r="C328" t="s">
        <v>52</v>
      </c>
      <c r="D328" t="s">
        <v>1347</v>
      </c>
      <c r="E328" s="13" t="s">
        <v>1348</v>
      </c>
      <c r="G328" s="2">
        <v>30</v>
      </c>
      <c r="H328">
        <v>59</v>
      </c>
      <c r="I328">
        <v>76</v>
      </c>
      <c r="J328" t="s">
        <v>27</v>
      </c>
      <c r="K328">
        <v>59</v>
      </c>
      <c r="L328" t="s">
        <v>41</v>
      </c>
      <c r="M328" s="12">
        <v>4</v>
      </c>
      <c r="N328" s="3">
        <f>G328*M328</f>
        <v>120</v>
      </c>
      <c r="O328" s="1">
        <v>45371</v>
      </c>
      <c r="P328" s="1">
        <v>45671</v>
      </c>
      <c r="Q328" s="1">
        <v>45393</v>
      </c>
      <c r="R328">
        <v>708</v>
      </c>
      <c r="S328">
        <v>408</v>
      </c>
      <c r="T328">
        <v>686</v>
      </c>
      <c r="U328" t="str">
        <f t="shared" si="10"/>
        <v>Safe</v>
      </c>
      <c r="V328" t="s">
        <v>1349</v>
      </c>
      <c r="W328">
        <v>61</v>
      </c>
      <c r="X328" s="3">
        <f t="shared" si="11"/>
        <v>7320</v>
      </c>
      <c r="Y328">
        <v>3</v>
      </c>
      <c r="Z328" t="s">
        <v>30</v>
      </c>
      <c r="AA328" s="3">
        <f>X328-Grocery_Inventory_and_Sales_Dat!N328</f>
        <v>7200</v>
      </c>
    </row>
    <row r="329" spans="1:27" x14ac:dyDescent="0.3">
      <c r="A329" t="s">
        <v>1350</v>
      </c>
      <c r="B329" t="s">
        <v>143</v>
      </c>
      <c r="C329" t="s">
        <v>52</v>
      </c>
      <c r="D329" t="s">
        <v>1351</v>
      </c>
      <c r="E329" s="13" t="s">
        <v>957</v>
      </c>
      <c r="G329" s="2">
        <v>31</v>
      </c>
      <c r="H329">
        <v>55</v>
      </c>
      <c r="I329">
        <v>5</v>
      </c>
      <c r="J329" t="s">
        <v>27</v>
      </c>
      <c r="K329">
        <v>55</v>
      </c>
      <c r="L329" t="s">
        <v>41</v>
      </c>
      <c r="M329" s="12">
        <v>2</v>
      </c>
      <c r="N329" s="3">
        <f>G329*M329</f>
        <v>62</v>
      </c>
      <c r="O329" s="1">
        <v>45574</v>
      </c>
      <c r="P329" s="1">
        <v>45706</v>
      </c>
      <c r="Q329" s="1">
        <v>45594</v>
      </c>
      <c r="R329">
        <v>505</v>
      </c>
      <c r="S329">
        <v>373</v>
      </c>
      <c r="T329">
        <v>485</v>
      </c>
      <c r="U329" t="str">
        <f t="shared" si="10"/>
        <v>Expiring Soon</v>
      </c>
      <c r="V329" t="s">
        <v>1352</v>
      </c>
      <c r="W329">
        <v>71</v>
      </c>
      <c r="X329" s="3">
        <f t="shared" si="11"/>
        <v>4402</v>
      </c>
      <c r="Y329">
        <v>46</v>
      </c>
      <c r="Z329" t="s">
        <v>49</v>
      </c>
      <c r="AA329" s="3">
        <f>X329-Grocery_Inventory_and_Sales_Dat!N329</f>
        <v>4340</v>
      </c>
    </row>
    <row r="330" spans="1:27" x14ac:dyDescent="0.3">
      <c r="A330" t="s">
        <v>1353</v>
      </c>
      <c r="B330" t="s">
        <v>538</v>
      </c>
      <c r="C330" t="s">
        <v>138</v>
      </c>
      <c r="D330" t="s">
        <v>1354</v>
      </c>
      <c r="E330" s="13" t="s">
        <v>1088</v>
      </c>
      <c r="G330" s="2">
        <v>16</v>
      </c>
      <c r="H330">
        <v>20</v>
      </c>
      <c r="I330">
        <v>45</v>
      </c>
      <c r="J330" t="s">
        <v>27</v>
      </c>
      <c r="K330">
        <v>20</v>
      </c>
      <c r="L330" t="s">
        <v>41</v>
      </c>
      <c r="M330" s="12">
        <v>8</v>
      </c>
      <c r="N330" s="3">
        <f>G330*M330</f>
        <v>128</v>
      </c>
      <c r="O330" s="1">
        <v>45412</v>
      </c>
      <c r="P330" s="1">
        <v>45583</v>
      </c>
      <c r="Q330" s="1">
        <v>45450</v>
      </c>
      <c r="R330">
        <v>667</v>
      </c>
      <c r="S330">
        <v>496</v>
      </c>
      <c r="T330">
        <v>629</v>
      </c>
      <c r="U330" t="str">
        <f t="shared" si="10"/>
        <v>Safe</v>
      </c>
      <c r="V330" t="s">
        <v>1355</v>
      </c>
      <c r="W330">
        <v>81</v>
      </c>
      <c r="X330" s="3">
        <f t="shared" si="11"/>
        <v>10368</v>
      </c>
      <c r="Y330">
        <v>62</v>
      </c>
      <c r="Z330" t="s">
        <v>49</v>
      </c>
      <c r="AA330" s="3">
        <f>X330-Grocery_Inventory_and_Sales_Dat!N330</f>
        <v>10240</v>
      </c>
    </row>
    <row r="331" spans="1:27" x14ac:dyDescent="0.3">
      <c r="A331" t="s">
        <v>1356</v>
      </c>
      <c r="B331" t="s">
        <v>89</v>
      </c>
      <c r="C331" t="s">
        <v>24</v>
      </c>
      <c r="D331" t="s">
        <v>1357</v>
      </c>
      <c r="E331" s="13" t="s">
        <v>1358</v>
      </c>
      <c r="G331" s="2">
        <v>14</v>
      </c>
      <c r="H331">
        <v>16</v>
      </c>
      <c r="I331">
        <v>93</v>
      </c>
      <c r="J331" t="s">
        <v>27</v>
      </c>
      <c r="K331">
        <v>16</v>
      </c>
      <c r="L331" t="s">
        <v>41</v>
      </c>
      <c r="M331" s="12">
        <v>2</v>
      </c>
      <c r="N331" s="3">
        <f>G331*M331</f>
        <v>28</v>
      </c>
      <c r="O331" s="1">
        <v>45496</v>
      </c>
      <c r="P331" s="1">
        <v>45354</v>
      </c>
      <c r="Q331" s="1">
        <v>45464</v>
      </c>
      <c r="R331">
        <v>583</v>
      </c>
      <c r="S331">
        <v>725</v>
      </c>
      <c r="T331">
        <v>615</v>
      </c>
      <c r="U331" t="str">
        <f t="shared" si="10"/>
        <v>Safe</v>
      </c>
      <c r="V331" t="s">
        <v>1359</v>
      </c>
      <c r="W331">
        <v>39</v>
      </c>
      <c r="X331" s="3">
        <f t="shared" si="11"/>
        <v>1092</v>
      </c>
      <c r="Y331">
        <v>30</v>
      </c>
      <c r="Z331" t="s">
        <v>49</v>
      </c>
      <c r="AA331" s="3">
        <f>X331-Grocery_Inventory_and_Sales_Dat!N331</f>
        <v>1064</v>
      </c>
    </row>
    <row r="332" spans="1:27" x14ac:dyDescent="0.3">
      <c r="A332" t="s">
        <v>1360</v>
      </c>
      <c r="B332" t="s">
        <v>1274</v>
      </c>
      <c r="C332" t="s">
        <v>52</v>
      </c>
      <c r="D332" t="s">
        <v>1361</v>
      </c>
      <c r="E332" s="13" t="s">
        <v>458</v>
      </c>
      <c r="G332" s="2">
        <v>44</v>
      </c>
      <c r="H332">
        <v>67</v>
      </c>
      <c r="I332">
        <v>15</v>
      </c>
      <c r="J332" t="s">
        <v>27</v>
      </c>
      <c r="K332">
        <v>67</v>
      </c>
      <c r="L332" t="s">
        <v>28</v>
      </c>
      <c r="M332" s="12">
        <v>2.5</v>
      </c>
      <c r="N332" s="3">
        <f>G332*M332</f>
        <v>110</v>
      </c>
      <c r="O332" s="1">
        <v>45364</v>
      </c>
      <c r="P332" s="1">
        <v>45568</v>
      </c>
      <c r="Q332" s="1">
        <v>45374</v>
      </c>
      <c r="R332">
        <v>715</v>
      </c>
      <c r="S332">
        <v>511</v>
      </c>
      <c r="T332">
        <v>705</v>
      </c>
      <c r="U332" t="str">
        <f t="shared" si="10"/>
        <v>Safe</v>
      </c>
      <c r="V332" t="s">
        <v>1362</v>
      </c>
      <c r="W332">
        <v>82</v>
      </c>
      <c r="X332" s="3">
        <f t="shared" si="11"/>
        <v>9020</v>
      </c>
      <c r="Y332">
        <v>51</v>
      </c>
      <c r="Z332" t="s">
        <v>49</v>
      </c>
      <c r="AA332" s="3">
        <f>X332-Grocery_Inventory_and_Sales_Dat!N332</f>
        <v>8910</v>
      </c>
    </row>
    <row r="333" spans="1:27" x14ac:dyDescent="0.3">
      <c r="A333" t="s">
        <v>1363</v>
      </c>
      <c r="B333" t="s">
        <v>45</v>
      </c>
      <c r="C333" t="s">
        <v>24</v>
      </c>
      <c r="D333" t="s">
        <v>1364</v>
      </c>
      <c r="E333" s="13" t="s">
        <v>1010</v>
      </c>
      <c r="G333" s="2">
        <v>69</v>
      </c>
      <c r="H333">
        <v>82</v>
      </c>
      <c r="I333">
        <v>58</v>
      </c>
      <c r="J333" t="s">
        <v>27</v>
      </c>
      <c r="K333">
        <v>82</v>
      </c>
      <c r="L333" t="s">
        <v>28</v>
      </c>
      <c r="M333" s="12">
        <v>1.5</v>
      </c>
      <c r="N333" s="3">
        <f>G333*M333</f>
        <v>103.5</v>
      </c>
      <c r="O333" s="1">
        <v>45480</v>
      </c>
      <c r="P333" s="1">
        <v>45411</v>
      </c>
      <c r="Q333" s="1">
        <v>45412</v>
      </c>
      <c r="R333">
        <v>599</v>
      </c>
      <c r="S333">
        <v>668</v>
      </c>
      <c r="T333">
        <v>667</v>
      </c>
      <c r="U333" t="str">
        <f t="shared" si="10"/>
        <v>Safe</v>
      </c>
      <c r="V333" t="s">
        <v>1365</v>
      </c>
      <c r="W333">
        <v>34</v>
      </c>
      <c r="X333" s="3">
        <f t="shared" si="11"/>
        <v>3519</v>
      </c>
      <c r="Y333">
        <v>22</v>
      </c>
      <c r="Z333" t="s">
        <v>30</v>
      </c>
      <c r="AA333" s="3">
        <f>X333-Grocery_Inventory_and_Sales_Dat!N333</f>
        <v>3415.5</v>
      </c>
    </row>
    <row r="334" spans="1:27" x14ac:dyDescent="0.3">
      <c r="A334" t="s">
        <v>1366</v>
      </c>
      <c r="B334" t="s">
        <v>45</v>
      </c>
      <c r="C334" t="s">
        <v>24</v>
      </c>
      <c r="D334" t="s">
        <v>1367</v>
      </c>
      <c r="E334" s="13" t="s">
        <v>1099</v>
      </c>
      <c r="G334" s="2">
        <v>71</v>
      </c>
      <c r="H334">
        <v>10</v>
      </c>
      <c r="I334">
        <v>49</v>
      </c>
      <c r="J334" t="s">
        <v>55</v>
      </c>
      <c r="K334">
        <v>0</v>
      </c>
      <c r="L334" t="s">
        <v>41</v>
      </c>
      <c r="M334" s="12">
        <v>1.5</v>
      </c>
      <c r="N334" s="3">
        <f>G334*M334</f>
        <v>106.5</v>
      </c>
      <c r="O334" s="1">
        <v>45604</v>
      </c>
      <c r="P334" s="1">
        <v>45367</v>
      </c>
      <c r="Q334" s="1">
        <v>45438</v>
      </c>
      <c r="R334">
        <v>475</v>
      </c>
      <c r="S334">
        <v>712</v>
      </c>
      <c r="T334">
        <v>641</v>
      </c>
      <c r="U334" t="str">
        <f t="shared" si="10"/>
        <v>Safe</v>
      </c>
      <c r="V334" t="s">
        <v>1368</v>
      </c>
      <c r="W334">
        <v>66</v>
      </c>
      <c r="X334" s="3">
        <f t="shared" si="11"/>
        <v>7029</v>
      </c>
      <c r="Y334">
        <v>43</v>
      </c>
      <c r="Z334" t="s">
        <v>49</v>
      </c>
      <c r="AA334" s="3">
        <f>X334-Grocery_Inventory_and_Sales_Dat!N334</f>
        <v>6922.5</v>
      </c>
    </row>
    <row r="335" spans="1:27" x14ac:dyDescent="0.3">
      <c r="A335" t="s">
        <v>1369</v>
      </c>
      <c r="B335" t="s">
        <v>317</v>
      </c>
      <c r="C335" t="s">
        <v>52</v>
      </c>
      <c r="D335" t="s">
        <v>1370</v>
      </c>
      <c r="E335" s="13" t="s">
        <v>495</v>
      </c>
      <c r="G335" s="2">
        <v>92</v>
      </c>
      <c r="H335">
        <v>39</v>
      </c>
      <c r="I335">
        <v>50</v>
      </c>
      <c r="J335" t="s">
        <v>55</v>
      </c>
      <c r="K335">
        <v>0</v>
      </c>
      <c r="L335" t="s">
        <v>41</v>
      </c>
      <c r="M335" s="12">
        <v>1.6</v>
      </c>
      <c r="N335" s="3">
        <f>G335*M335</f>
        <v>147.20000000000002</v>
      </c>
      <c r="O335" s="1">
        <v>45653</v>
      </c>
      <c r="P335" s="1">
        <v>45485</v>
      </c>
      <c r="Q335" s="1">
        <v>45605</v>
      </c>
      <c r="R335">
        <v>426</v>
      </c>
      <c r="S335">
        <v>594</v>
      </c>
      <c r="T335">
        <v>474</v>
      </c>
      <c r="U335" t="str">
        <f t="shared" si="10"/>
        <v>Expiring Soon</v>
      </c>
      <c r="V335" t="s">
        <v>1371</v>
      </c>
      <c r="W335">
        <v>30</v>
      </c>
      <c r="X335" s="3">
        <f t="shared" si="11"/>
        <v>4416.0000000000009</v>
      </c>
      <c r="Y335">
        <v>41</v>
      </c>
      <c r="Z335" t="s">
        <v>43</v>
      </c>
      <c r="AA335" s="3">
        <f>X335-Grocery_Inventory_and_Sales_Dat!N335</f>
        <v>4268.8000000000011</v>
      </c>
    </row>
    <row r="336" spans="1:27" x14ac:dyDescent="0.3">
      <c r="A336" t="s">
        <v>1372</v>
      </c>
      <c r="B336" t="s">
        <v>441</v>
      </c>
      <c r="C336" t="s">
        <v>64</v>
      </c>
      <c r="D336" t="s">
        <v>1373</v>
      </c>
      <c r="E336" s="13" t="s">
        <v>106</v>
      </c>
      <c r="G336" s="2">
        <v>49</v>
      </c>
      <c r="H336">
        <v>17</v>
      </c>
      <c r="I336">
        <v>54</v>
      </c>
      <c r="J336" t="s">
        <v>55</v>
      </c>
      <c r="K336">
        <v>0</v>
      </c>
      <c r="L336" t="s">
        <v>41</v>
      </c>
      <c r="M336" s="12">
        <v>4</v>
      </c>
      <c r="N336" s="3">
        <f>G336*M336</f>
        <v>196</v>
      </c>
      <c r="O336" s="1">
        <v>45558</v>
      </c>
      <c r="P336" s="1">
        <v>45626</v>
      </c>
      <c r="Q336" s="1">
        <v>45623</v>
      </c>
      <c r="R336">
        <v>521</v>
      </c>
      <c r="S336">
        <v>453</v>
      </c>
      <c r="T336">
        <v>456</v>
      </c>
      <c r="U336" t="str">
        <f t="shared" si="10"/>
        <v>Expiring Soon</v>
      </c>
      <c r="V336" t="s">
        <v>1374</v>
      </c>
      <c r="W336">
        <v>45</v>
      </c>
      <c r="X336" s="3">
        <f t="shared" si="11"/>
        <v>8820</v>
      </c>
      <c r="Y336">
        <v>96</v>
      </c>
      <c r="Z336" t="s">
        <v>30</v>
      </c>
      <c r="AA336" s="3">
        <f>X336-Grocery_Inventory_and_Sales_Dat!N336</f>
        <v>8624</v>
      </c>
    </row>
    <row r="337" spans="1:27" x14ac:dyDescent="0.3">
      <c r="A337" t="s">
        <v>1375</v>
      </c>
      <c r="B337" t="s">
        <v>551</v>
      </c>
      <c r="C337" t="s">
        <v>52</v>
      </c>
      <c r="D337" t="s">
        <v>1376</v>
      </c>
      <c r="E337" s="13" t="s">
        <v>903</v>
      </c>
      <c r="G337" s="2">
        <v>52</v>
      </c>
      <c r="H337">
        <v>8</v>
      </c>
      <c r="I337">
        <v>37</v>
      </c>
      <c r="J337" t="s">
        <v>55</v>
      </c>
      <c r="K337">
        <v>0</v>
      </c>
      <c r="L337" t="s">
        <v>41</v>
      </c>
      <c r="M337" s="12">
        <v>6</v>
      </c>
      <c r="N337" s="3">
        <f>G337*M337</f>
        <v>312</v>
      </c>
      <c r="O337" s="1">
        <v>45535</v>
      </c>
      <c r="P337" s="1">
        <v>45519</v>
      </c>
      <c r="Q337" s="1">
        <v>45520</v>
      </c>
      <c r="R337">
        <v>544</v>
      </c>
      <c r="S337">
        <v>560</v>
      </c>
      <c r="T337">
        <v>559</v>
      </c>
      <c r="U337" t="str">
        <f t="shared" si="10"/>
        <v>Safe</v>
      </c>
      <c r="V337" t="s">
        <v>1377</v>
      </c>
      <c r="W337">
        <v>38</v>
      </c>
      <c r="X337" s="3">
        <f t="shared" si="11"/>
        <v>11856</v>
      </c>
      <c r="Y337">
        <v>81</v>
      </c>
      <c r="Z337" t="s">
        <v>49</v>
      </c>
      <c r="AA337" s="3">
        <f>X337-Grocery_Inventory_and_Sales_Dat!N337</f>
        <v>11544</v>
      </c>
    </row>
    <row r="338" spans="1:27" x14ac:dyDescent="0.3">
      <c r="A338" t="s">
        <v>1378</v>
      </c>
      <c r="B338" t="s">
        <v>734</v>
      </c>
      <c r="C338" t="s">
        <v>70</v>
      </c>
      <c r="D338" t="s">
        <v>1379</v>
      </c>
      <c r="E338" s="13" t="s">
        <v>1380</v>
      </c>
      <c r="G338" s="2">
        <v>56</v>
      </c>
      <c r="H338">
        <v>97</v>
      </c>
      <c r="I338">
        <v>29</v>
      </c>
      <c r="J338" t="s">
        <v>27</v>
      </c>
      <c r="K338">
        <v>97</v>
      </c>
      <c r="L338" t="s">
        <v>28</v>
      </c>
      <c r="M338" s="12">
        <v>2.5</v>
      </c>
      <c r="N338" s="3">
        <f>G338*M338</f>
        <v>140</v>
      </c>
      <c r="O338" s="1">
        <v>45350</v>
      </c>
      <c r="P338" s="1">
        <v>45490</v>
      </c>
      <c r="Q338" s="1">
        <v>45625</v>
      </c>
      <c r="R338">
        <v>729</v>
      </c>
      <c r="S338">
        <v>589</v>
      </c>
      <c r="T338">
        <v>454</v>
      </c>
      <c r="U338" t="str">
        <f t="shared" si="10"/>
        <v>Expiring Soon</v>
      </c>
      <c r="V338" t="s">
        <v>1381</v>
      </c>
      <c r="W338">
        <v>82</v>
      </c>
      <c r="X338" s="3">
        <f t="shared" si="11"/>
        <v>11480</v>
      </c>
      <c r="Y338">
        <v>100</v>
      </c>
      <c r="Z338" t="s">
        <v>43</v>
      </c>
      <c r="AA338" s="3">
        <f>X338-Grocery_Inventory_and_Sales_Dat!N338</f>
        <v>11340</v>
      </c>
    </row>
    <row r="339" spans="1:27" x14ac:dyDescent="0.3">
      <c r="A339" t="s">
        <v>1382</v>
      </c>
      <c r="B339" t="s">
        <v>104</v>
      </c>
      <c r="C339" t="s">
        <v>52</v>
      </c>
      <c r="D339" t="s">
        <v>1383</v>
      </c>
      <c r="E339" s="13" t="s">
        <v>690</v>
      </c>
      <c r="G339" s="2">
        <v>16</v>
      </c>
      <c r="H339">
        <v>23</v>
      </c>
      <c r="I339">
        <v>76</v>
      </c>
      <c r="J339" t="s">
        <v>27</v>
      </c>
      <c r="K339">
        <v>23</v>
      </c>
      <c r="L339" t="s">
        <v>41</v>
      </c>
      <c r="M339" s="12">
        <v>6.1</v>
      </c>
      <c r="N339" s="3">
        <f>G339*M339</f>
        <v>97.6</v>
      </c>
      <c r="O339" s="1">
        <v>45494</v>
      </c>
      <c r="P339" s="1">
        <v>45902</v>
      </c>
      <c r="Q339" s="1">
        <v>45696</v>
      </c>
      <c r="R339">
        <v>585</v>
      </c>
      <c r="S339">
        <v>177</v>
      </c>
      <c r="T339">
        <v>383</v>
      </c>
      <c r="U339" t="str">
        <f t="shared" si="10"/>
        <v>Expiring Soon</v>
      </c>
      <c r="V339" t="s">
        <v>1384</v>
      </c>
      <c r="W339">
        <v>50</v>
      </c>
      <c r="X339" s="3">
        <f t="shared" si="11"/>
        <v>4880</v>
      </c>
      <c r="Y339">
        <v>27</v>
      </c>
      <c r="Z339" t="s">
        <v>43</v>
      </c>
      <c r="AA339" s="3">
        <f>X339-Grocery_Inventory_and_Sales_Dat!N339</f>
        <v>4782.3999999999996</v>
      </c>
    </row>
    <row r="340" spans="1:27" x14ac:dyDescent="0.3">
      <c r="A340" t="s">
        <v>1385</v>
      </c>
      <c r="B340" t="s">
        <v>220</v>
      </c>
      <c r="C340" t="s">
        <v>52</v>
      </c>
      <c r="D340" t="s">
        <v>1386</v>
      </c>
      <c r="E340" s="13" t="s">
        <v>718</v>
      </c>
      <c r="G340" s="2">
        <v>52</v>
      </c>
      <c r="H340">
        <v>79</v>
      </c>
      <c r="I340">
        <v>87</v>
      </c>
      <c r="J340" t="s">
        <v>27</v>
      </c>
      <c r="K340">
        <v>79</v>
      </c>
      <c r="L340" t="s">
        <v>28</v>
      </c>
      <c r="M340" s="12">
        <v>2.5</v>
      </c>
      <c r="N340" s="3">
        <f>G340*M340</f>
        <v>130</v>
      </c>
      <c r="O340" s="1">
        <v>45602</v>
      </c>
      <c r="P340" s="1">
        <v>45386</v>
      </c>
      <c r="Q340" s="1">
        <v>45361</v>
      </c>
      <c r="R340">
        <v>477</v>
      </c>
      <c r="S340">
        <v>693</v>
      </c>
      <c r="T340">
        <v>718</v>
      </c>
      <c r="U340" t="str">
        <f t="shared" si="10"/>
        <v>Safe</v>
      </c>
      <c r="V340" t="s">
        <v>1387</v>
      </c>
      <c r="W340">
        <v>36</v>
      </c>
      <c r="X340" s="3">
        <f t="shared" si="11"/>
        <v>4680</v>
      </c>
      <c r="Y340">
        <v>100</v>
      </c>
      <c r="Z340" t="s">
        <v>30</v>
      </c>
      <c r="AA340" s="3">
        <f>X340-Grocery_Inventory_and_Sales_Dat!N340</f>
        <v>4550</v>
      </c>
    </row>
    <row r="341" spans="1:27" x14ac:dyDescent="0.3">
      <c r="A341" t="s">
        <v>1388</v>
      </c>
      <c r="B341" t="s">
        <v>137</v>
      </c>
      <c r="C341" t="s">
        <v>138</v>
      </c>
      <c r="D341" t="s">
        <v>1389</v>
      </c>
      <c r="E341" s="13" t="s">
        <v>259</v>
      </c>
      <c r="G341" s="2">
        <v>91</v>
      </c>
      <c r="H341">
        <v>68</v>
      </c>
      <c r="I341">
        <v>80</v>
      </c>
      <c r="J341" t="s">
        <v>55</v>
      </c>
      <c r="K341">
        <v>0</v>
      </c>
      <c r="L341" t="s">
        <v>41</v>
      </c>
      <c r="M341" s="12">
        <v>11.5</v>
      </c>
      <c r="N341" s="3">
        <f>G341*M341</f>
        <v>1046.5</v>
      </c>
      <c r="O341" s="1">
        <v>45634</v>
      </c>
      <c r="P341" s="1">
        <v>45579</v>
      </c>
      <c r="Q341" s="1">
        <v>45615</v>
      </c>
      <c r="R341">
        <v>445</v>
      </c>
      <c r="S341">
        <v>500</v>
      </c>
      <c r="T341">
        <v>464</v>
      </c>
      <c r="U341" t="str">
        <f t="shared" si="10"/>
        <v>Expiring Soon</v>
      </c>
      <c r="V341" t="s">
        <v>1390</v>
      </c>
      <c r="W341">
        <v>81</v>
      </c>
      <c r="X341" s="3">
        <f t="shared" si="11"/>
        <v>84766.5</v>
      </c>
      <c r="Y341">
        <v>85</v>
      </c>
      <c r="Z341" t="s">
        <v>43</v>
      </c>
      <c r="AA341" s="3">
        <f>X341-Grocery_Inventory_and_Sales_Dat!N341</f>
        <v>83720</v>
      </c>
    </row>
    <row r="342" spans="1:27" x14ac:dyDescent="0.3">
      <c r="A342" t="s">
        <v>1391</v>
      </c>
      <c r="B342" t="s">
        <v>230</v>
      </c>
      <c r="C342" t="s">
        <v>52</v>
      </c>
      <c r="D342" t="s">
        <v>1392</v>
      </c>
      <c r="E342" s="13" t="s">
        <v>1393</v>
      </c>
      <c r="G342" s="2">
        <v>58</v>
      </c>
      <c r="H342">
        <v>58</v>
      </c>
      <c r="I342">
        <v>28</v>
      </c>
      <c r="J342" t="s">
        <v>27</v>
      </c>
      <c r="K342">
        <v>58</v>
      </c>
      <c r="L342" t="s">
        <v>41</v>
      </c>
      <c r="M342" s="12">
        <v>4.7</v>
      </c>
      <c r="N342" s="3">
        <f>G342*M342</f>
        <v>272.60000000000002</v>
      </c>
      <c r="O342" s="1">
        <v>45369</v>
      </c>
      <c r="P342" s="1">
        <v>45420</v>
      </c>
      <c r="Q342" s="1">
        <v>45686</v>
      </c>
      <c r="R342">
        <v>710</v>
      </c>
      <c r="S342">
        <v>659</v>
      </c>
      <c r="T342">
        <v>393</v>
      </c>
      <c r="U342" t="str">
        <f t="shared" si="10"/>
        <v>Expiring Soon</v>
      </c>
      <c r="V342" t="s">
        <v>1394</v>
      </c>
      <c r="W342">
        <v>85</v>
      </c>
      <c r="X342" s="3">
        <f t="shared" si="11"/>
        <v>23171.000000000004</v>
      </c>
      <c r="Y342">
        <v>63</v>
      </c>
      <c r="Z342" t="s">
        <v>49</v>
      </c>
      <c r="AA342" s="3">
        <f>X342-Grocery_Inventory_and_Sales_Dat!N342</f>
        <v>22898.400000000005</v>
      </c>
    </row>
    <row r="343" spans="1:27" x14ac:dyDescent="0.3">
      <c r="A343" t="s">
        <v>1395</v>
      </c>
      <c r="B343" t="s">
        <v>1172</v>
      </c>
      <c r="C343" t="s">
        <v>138</v>
      </c>
      <c r="D343" t="s">
        <v>1396</v>
      </c>
      <c r="E343" s="13" t="s">
        <v>1397</v>
      </c>
      <c r="G343" s="2">
        <v>47</v>
      </c>
      <c r="H343">
        <v>29</v>
      </c>
      <c r="I343">
        <v>70</v>
      </c>
      <c r="J343" t="s">
        <v>55</v>
      </c>
      <c r="K343">
        <v>0</v>
      </c>
      <c r="L343" t="s">
        <v>41</v>
      </c>
      <c r="M343" s="12">
        <v>20</v>
      </c>
      <c r="N343" s="3">
        <f>G343*M343</f>
        <v>940</v>
      </c>
      <c r="O343" s="1">
        <v>45543</v>
      </c>
      <c r="P343" s="1">
        <v>45485</v>
      </c>
      <c r="Q343" s="1">
        <v>45498</v>
      </c>
      <c r="R343">
        <v>536</v>
      </c>
      <c r="S343">
        <v>594</v>
      </c>
      <c r="T343">
        <v>581</v>
      </c>
      <c r="U343" t="str">
        <f t="shared" si="10"/>
        <v>Safe</v>
      </c>
      <c r="V343" t="s">
        <v>1398</v>
      </c>
      <c r="W343">
        <v>61</v>
      </c>
      <c r="X343" s="3">
        <f t="shared" si="11"/>
        <v>57340</v>
      </c>
      <c r="Y343">
        <v>44</v>
      </c>
      <c r="Z343" t="s">
        <v>49</v>
      </c>
      <c r="AA343" s="3">
        <f>X343-Grocery_Inventory_and_Sales_Dat!N343</f>
        <v>56400</v>
      </c>
    </row>
    <row r="344" spans="1:27" x14ac:dyDescent="0.3">
      <c r="A344" t="s">
        <v>1399</v>
      </c>
      <c r="B344" t="s">
        <v>94</v>
      </c>
      <c r="C344" t="s">
        <v>95</v>
      </c>
      <c r="D344" t="s">
        <v>1400</v>
      </c>
      <c r="E344" s="13" t="s">
        <v>1401</v>
      </c>
      <c r="G344" s="2">
        <v>50</v>
      </c>
      <c r="H344">
        <v>56</v>
      </c>
      <c r="I344">
        <v>63</v>
      </c>
      <c r="J344" t="s">
        <v>27</v>
      </c>
      <c r="K344">
        <v>56</v>
      </c>
      <c r="L344" t="s">
        <v>41</v>
      </c>
      <c r="M344" s="12">
        <v>3</v>
      </c>
      <c r="N344" s="3">
        <f>G344*M344</f>
        <v>150</v>
      </c>
      <c r="O344" s="1">
        <v>45378</v>
      </c>
      <c r="P344" s="1">
        <v>45428</v>
      </c>
      <c r="Q344" s="1">
        <v>45552</v>
      </c>
      <c r="R344">
        <v>701</v>
      </c>
      <c r="S344">
        <v>651</v>
      </c>
      <c r="T344">
        <v>527</v>
      </c>
      <c r="U344" t="str">
        <f t="shared" si="10"/>
        <v>Expiring Soon</v>
      </c>
      <c r="V344" t="s">
        <v>1402</v>
      </c>
      <c r="W344">
        <v>70</v>
      </c>
      <c r="X344" s="3">
        <f t="shared" si="11"/>
        <v>10500</v>
      </c>
      <c r="Y344">
        <v>100</v>
      </c>
      <c r="Z344" t="s">
        <v>30</v>
      </c>
      <c r="AA344" s="3">
        <f>X344-Grocery_Inventory_and_Sales_Dat!N344</f>
        <v>10350</v>
      </c>
    </row>
    <row r="345" spans="1:27" x14ac:dyDescent="0.3">
      <c r="A345" t="s">
        <v>1403</v>
      </c>
      <c r="B345" t="s">
        <v>651</v>
      </c>
      <c r="C345" t="s">
        <v>70</v>
      </c>
      <c r="D345" t="s">
        <v>1404</v>
      </c>
      <c r="E345" s="13" t="s">
        <v>106</v>
      </c>
      <c r="G345" s="2">
        <v>43</v>
      </c>
      <c r="H345">
        <v>73</v>
      </c>
      <c r="I345">
        <v>14</v>
      </c>
      <c r="J345" t="s">
        <v>27</v>
      </c>
      <c r="K345">
        <v>73</v>
      </c>
      <c r="L345" t="s">
        <v>28</v>
      </c>
      <c r="M345" s="12">
        <v>4</v>
      </c>
      <c r="N345" s="3">
        <f>G345*M345</f>
        <v>172</v>
      </c>
      <c r="O345" s="1">
        <v>45501</v>
      </c>
      <c r="P345" s="1">
        <v>45482</v>
      </c>
      <c r="Q345" s="1">
        <v>45530</v>
      </c>
      <c r="R345">
        <v>578</v>
      </c>
      <c r="S345">
        <v>597</v>
      </c>
      <c r="T345">
        <v>549</v>
      </c>
      <c r="U345" t="str">
        <f t="shared" si="10"/>
        <v>Expiring Soon</v>
      </c>
      <c r="V345" t="s">
        <v>1405</v>
      </c>
      <c r="W345">
        <v>59</v>
      </c>
      <c r="X345" s="3">
        <f t="shared" si="11"/>
        <v>10148</v>
      </c>
      <c r="Y345">
        <v>65</v>
      </c>
      <c r="Z345" t="s">
        <v>49</v>
      </c>
      <c r="AA345" s="3">
        <f>X345-Grocery_Inventory_and_Sales_Dat!N345</f>
        <v>9976</v>
      </c>
    </row>
    <row r="346" spans="1:27" x14ac:dyDescent="0.3">
      <c r="A346" t="s">
        <v>1406</v>
      </c>
      <c r="B346" t="s">
        <v>725</v>
      </c>
      <c r="C346" t="s">
        <v>70</v>
      </c>
      <c r="D346" t="s">
        <v>1407</v>
      </c>
      <c r="E346" s="13" t="s">
        <v>1317</v>
      </c>
      <c r="G346" s="2">
        <v>68</v>
      </c>
      <c r="H346">
        <v>60</v>
      </c>
      <c r="I346">
        <v>21</v>
      </c>
      <c r="J346" t="s">
        <v>55</v>
      </c>
      <c r="K346">
        <v>0</v>
      </c>
      <c r="L346" t="s">
        <v>41</v>
      </c>
      <c r="M346" s="12">
        <v>8.9</v>
      </c>
      <c r="N346" s="3">
        <f>G346*M346</f>
        <v>605.20000000000005</v>
      </c>
      <c r="O346" s="1">
        <v>45349</v>
      </c>
      <c r="P346" s="1">
        <v>45332</v>
      </c>
      <c r="Q346" s="1">
        <v>45411</v>
      </c>
      <c r="R346">
        <v>730</v>
      </c>
      <c r="S346">
        <v>747</v>
      </c>
      <c r="T346">
        <v>668</v>
      </c>
      <c r="U346" t="str">
        <f t="shared" si="10"/>
        <v>Safe</v>
      </c>
      <c r="V346" t="s">
        <v>1408</v>
      </c>
      <c r="W346">
        <v>79</v>
      </c>
      <c r="X346" s="3">
        <f t="shared" si="11"/>
        <v>47810.8</v>
      </c>
      <c r="Y346">
        <v>46</v>
      </c>
      <c r="Z346" t="s">
        <v>49</v>
      </c>
      <c r="AA346" s="3">
        <f>X346-Grocery_Inventory_and_Sales_Dat!N346</f>
        <v>47205.600000000006</v>
      </c>
    </row>
    <row r="347" spans="1:27" x14ac:dyDescent="0.3">
      <c r="A347" t="s">
        <v>1409</v>
      </c>
      <c r="B347" t="s">
        <v>734</v>
      </c>
      <c r="C347" t="s">
        <v>70</v>
      </c>
      <c r="D347" t="s">
        <v>1410</v>
      </c>
      <c r="E347" s="13" t="s">
        <v>961</v>
      </c>
      <c r="G347" s="2">
        <v>19</v>
      </c>
      <c r="H347">
        <v>100</v>
      </c>
      <c r="I347">
        <v>83</v>
      </c>
      <c r="J347" t="s">
        <v>27</v>
      </c>
      <c r="K347">
        <v>100</v>
      </c>
      <c r="L347" t="s">
        <v>28</v>
      </c>
      <c r="M347" s="12">
        <v>2.5</v>
      </c>
      <c r="N347" s="3">
        <f>G347*M347</f>
        <v>47.5</v>
      </c>
      <c r="O347" s="1">
        <v>45407</v>
      </c>
      <c r="P347" s="1">
        <v>45494</v>
      </c>
      <c r="Q347" s="1">
        <v>45373</v>
      </c>
      <c r="R347">
        <v>672</v>
      </c>
      <c r="S347">
        <v>585</v>
      </c>
      <c r="T347">
        <v>706</v>
      </c>
      <c r="U347" t="str">
        <f t="shared" si="10"/>
        <v>Safe</v>
      </c>
      <c r="V347" t="s">
        <v>1411</v>
      </c>
      <c r="W347">
        <v>66</v>
      </c>
      <c r="X347" s="3">
        <f t="shared" si="11"/>
        <v>3135</v>
      </c>
      <c r="Y347">
        <v>28</v>
      </c>
      <c r="Z347" t="s">
        <v>30</v>
      </c>
      <c r="AA347" s="3">
        <f>X347-Grocery_Inventory_and_Sales_Dat!N347</f>
        <v>3087.5</v>
      </c>
    </row>
    <row r="348" spans="1:27" x14ac:dyDescent="0.3">
      <c r="A348" t="s">
        <v>1412</v>
      </c>
      <c r="B348" t="s">
        <v>119</v>
      </c>
      <c r="C348" t="s">
        <v>70</v>
      </c>
      <c r="D348" t="s">
        <v>1413</v>
      </c>
      <c r="E348" s="13" t="s">
        <v>1121</v>
      </c>
      <c r="G348" s="2">
        <v>70</v>
      </c>
      <c r="H348">
        <v>84</v>
      </c>
      <c r="I348">
        <v>72</v>
      </c>
      <c r="J348" t="s">
        <v>27</v>
      </c>
      <c r="K348">
        <v>84</v>
      </c>
      <c r="L348" t="s">
        <v>28</v>
      </c>
      <c r="M348" s="12">
        <v>8</v>
      </c>
      <c r="N348" s="3">
        <f>G348*M348</f>
        <v>560</v>
      </c>
      <c r="O348" s="1">
        <v>45493</v>
      </c>
      <c r="P348" s="1">
        <v>45516</v>
      </c>
      <c r="Q348" s="1">
        <v>45487</v>
      </c>
      <c r="R348">
        <v>586</v>
      </c>
      <c r="S348">
        <v>563</v>
      </c>
      <c r="T348">
        <v>592</v>
      </c>
      <c r="U348" t="str">
        <f t="shared" si="10"/>
        <v>Safe</v>
      </c>
      <c r="V348" t="s">
        <v>1414</v>
      </c>
      <c r="W348">
        <v>71</v>
      </c>
      <c r="X348" s="3">
        <f t="shared" si="11"/>
        <v>39760</v>
      </c>
      <c r="Y348">
        <v>20</v>
      </c>
      <c r="Z348" t="s">
        <v>49</v>
      </c>
      <c r="AA348" s="3">
        <f>X348-Grocery_Inventory_and_Sales_Dat!N348</f>
        <v>39200</v>
      </c>
    </row>
    <row r="349" spans="1:27" x14ac:dyDescent="0.3">
      <c r="A349" t="s">
        <v>1415</v>
      </c>
      <c r="B349" t="s">
        <v>360</v>
      </c>
      <c r="C349" t="s">
        <v>52</v>
      </c>
      <c r="D349" t="s">
        <v>1416</v>
      </c>
      <c r="E349" s="13" t="s">
        <v>803</v>
      </c>
      <c r="G349" s="2">
        <v>97</v>
      </c>
      <c r="H349">
        <v>20</v>
      </c>
      <c r="I349">
        <v>72</v>
      </c>
      <c r="J349" t="s">
        <v>55</v>
      </c>
      <c r="K349">
        <v>0</v>
      </c>
      <c r="L349" t="s">
        <v>41</v>
      </c>
      <c r="M349" s="12">
        <v>3</v>
      </c>
      <c r="N349" s="3">
        <f>G349*M349</f>
        <v>291</v>
      </c>
      <c r="O349" s="1">
        <v>45351</v>
      </c>
      <c r="P349" s="1">
        <v>45810</v>
      </c>
      <c r="Q349" s="1">
        <v>45636</v>
      </c>
      <c r="R349">
        <v>728</v>
      </c>
      <c r="S349">
        <v>269</v>
      </c>
      <c r="T349">
        <v>443</v>
      </c>
      <c r="U349" t="str">
        <f t="shared" si="10"/>
        <v>Expiring Soon</v>
      </c>
      <c r="V349" t="s">
        <v>1417</v>
      </c>
      <c r="W349">
        <v>29</v>
      </c>
      <c r="X349" s="3">
        <f t="shared" si="11"/>
        <v>8439</v>
      </c>
      <c r="Y349">
        <v>59</v>
      </c>
      <c r="Z349" t="s">
        <v>43</v>
      </c>
      <c r="AA349" s="3">
        <f>X349-Grocery_Inventory_and_Sales_Dat!N349</f>
        <v>8148</v>
      </c>
    </row>
    <row r="350" spans="1:27" x14ac:dyDescent="0.3">
      <c r="A350" t="s">
        <v>1418</v>
      </c>
      <c r="B350" t="s">
        <v>870</v>
      </c>
      <c r="C350" t="s">
        <v>64</v>
      </c>
      <c r="D350" t="s">
        <v>1419</v>
      </c>
      <c r="E350" s="13" t="s">
        <v>846</v>
      </c>
      <c r="G350" s="2">
        <v>87</v>
      </c>
      <c r="H350">
        <v>24</v>
      </c>
      <c r="I350">
        <v>19</v>
      </c>
      <c r="J350" t="s">
        <v>55</v>
      </c>
      <c r="K350">
        <v>0</v>
      </c>
      <c r="L350" t="s">
        <v>41</v>
      </c>
      <c r="M350" s="12">
        <v>2.5</v>
      </c>
      <c r="N350" s="3">
        <f>G350*M350</f>
        <v>217.5</v>
      </c>
      <c r="O350" s="1">
        <v>45601</v>
      </c>
      <c r="P350" s="1">
        <v>45639</v>
      </c>
      <c r="Q350" s="1">
        <v>45399</v>
      </c>
      <c r="R350">
        <v>478</v>
      </c>
      <c r="S350">
        <v>440</v>
      </c>
      <c r="T350">
        <v>680</v>
      </c>
      <c r="U350" t="str">
        <f t="shared" si="10"/>
        <v>Safe</v>
      </c>
      <c r="V350" t="s">
        <v>1420</v>
      </c>
      <c r="W350">
        <v>83</v>
      </c>
      <c r="X350" s="3">
        <f t="shared" si="11"/>
        <v>18052.5</v>
      </c>
      <c r="Y350">
        <v>3</v>
      </c>
      <c r="Z350" t="s">
        <v>30</v>
      </c>
      <c r="AA350" s="3">
        <f>X350-Grocery_Inventory_and_Sales_Dat!N350</f>
        <v>17835</v>
      </c>
    </row>
    <row r="351" spans="1:27" x14ac:dyDescent="0.3">
      <c r="A351" t="s">
        <v>1421</v>
      </c>
      <c r="B351" t="s">
        <v>342</v>
      </c>
      <c r="C351" t="s">
        <v>33</v>
      </c>
      <c r="D351" t="s">
        <v>1422</v>
      </c>
      <c r="E351" s="13" t="s">
        <v>968</v>
      </c>
      <c r="G351" s="2">
        <v>58</v>
      </c>
      <c r="H351">
        <v>81</v>
      </c>
      <c r="I351">
        <v>66</v>
      </c>
      <c r="J351" t="s">
        <v>27</v>
      </c>
      <c r="K351">
        <v>81</v>
      </c>
      <c r="L351" t="s">
        <v>28</v>
      </c>
      <c r="M351" s="12">
        <v>25</v>
      </c>
      <c r="N351" s="3">
        <f>G351*M351</f>
        <v>1450</v>
      </c>
      <c r="O351" s="1">
        <v>45467</v>
      </c>
      <c r="P351" s="1">
        <v>45701</v>
      </c>
      <c r="Q351" s="1">
        <v>45659</v>
      </c>
      <c r="R351">
        <v>612</v>
      </c>
      <c r="S351">
        <v>378</v>
      </c>
      <c r="T351">
        <v>420</v>
      </c>
      <c r="U351" t="str">
        <f t="shared" si="10"/>
        <v>Expiring Soon</v>
      </c>
      <c r="V351" t="s">
        <v>1423</v>
      </c>
      <c r="W351">
        <v>85</v>
      </c>
      <c r="X351" s="3">
        <f t="shared" si="11"/>
        <v>123250</v>
      </c>
      <c r="Y351">
        <v>78</v>
      </c>
      <c r="Z351" t="s">
        <v>49</v>
      </c>
      <c r="AA351" s="3">
        <f>X351-Grocery_Inventory_and_Sales_Dat!N351</f>
        <v>121800</v>
      </c>
    </row>
    <row r="352" spans="1:27" x14ac:dyDescent="0.3">
      <c r="A352" t="s">
        <v>1424</v>
      </c>
      <c r="B352" t="s">
        <v>534</v>
      </c>
      <c r="C352" t="s">
        <v>52</v>
      </c>
      <c r="D352" t="s">
        <v>1425</v>
      </c>
      <c r="E352" s="13" t="s">
        <v>1426</v>
      </c>
      <c r="G352" s="2">
        <v>16</v>
      </c>
      <c r="H352">
        <v>53</v>
      </c>
      <c r="I352">
        <v>12</v>
      </c>
      <c r="J352" t="s">
        <v>27</v>
      </c>
      <c r="K352">
        <v>53</v>
      </c>
      <c r="L352" t="s">
        <v>41</v>
      </c>
      <c r="M352" s="12">
        <v>5</v>
      </c>
      <c r="N352" s="3">
        <f>G352*M352</f>
        <v>80</v>
      </c>
      <c r="O352" s="1">
        <v>45602</v>
      </c>
      <c r="P352" s="1">
        <v>45677</v>
      </c>
      <c r="Q352" s="1">
        <v>45449</v>
      </c>
      <c r="R352">
        <v>477</v>
      </c>
      <c r="S352">
        <v>402</v>
      </c>
      <c r="T352">
        <v>630</v>
      </c>
      <c r="U352" t="str">
        <f t="shared" si="10"/>
        <v>Safe</v>
      </c>
      <c r="V352" t="s">
        <v>1427</v>
      </c>
      <c r="W352">
        <v>21</v>
      </c>
      <c r="X352" s="3">
        <f t="shared" si="11"/>
        <v>1680</v>
      </c>
      <c r="Y352">
        <v>29</v>
      </c>
      <c r="Z352" t="s">
        <v>30</v>
      </c>
      <c r="AA352" s="3">
        <f>X352-Grocery_Inventory_and_Sales_Dat!N352</f>
        <v>1600</v>
      </c>
    </row>
    <row r="353" spans="1:27" x14ac:dyDescent="0.3">
      <c r="A353" t="s">
        <v>1428</v>
      </c>
      <c r="B353" t="s">
        <v>187</v>
      </c>
      <c r="C353" t="s">
        <v>52</v>
      </c>
      <c r="D353" t="s">
        <v>1429</v>
      </c>
      <c r="E353" s="13" t="s">
        <v>1121</v>
      </c>
      <c r="G353" s="2">
        <v>65</v>
      </c>
      <c r="H353">
        <v>35</v>
      </c>
      <c r="I353">
        <v>3</v>
      </c>
      <c r="J353" t="s">
        <v>55</v>
      </c>
      <c r="K353">
        <v>0</v>
      </c>
      <c r="L353" t="s">
        <v>41</v>
      </c>
      <c r="M353" s="12">
        <v>3.5</v>
      </c>
      <c r="N353" s="3">
        <f>G353*M353</f>
        <v>227.5</v>
      </c>
      <c r="O353" s="1">
        <v>45604</v>
      </c>
      <c r="P353" s="1">
        <v>45675</v>
      </c>
      <c r="Q353" s="1">
        <v>45562</v>
      </c>
      <c r="R353">
        <v>475</v>
      </c>
      <c r="S353">
        <v>404</v>
      </c>
      <c r="T353">
        <v>517</v>
      </c>
      <c r="U353" t="str">
        <f t="shared" si="10"/>
        <v>Expiring Soon</v>
      </c>
      <c r="V353" t="s">
        <v>1430</v>
      </c>
      <c r="W353">
        <v>25</v>
      </c>
      <c r="X353" s="3">
        <f t="shared" si="11"/>
        <v>5687.5</v>
      </c>
      <c r="Y353">
        <v>13</v>
      </c>
      <c r="Z353" t="s">
        <v>49</v>
      </c>
      <c r="AA353" s="3">
        <f>X353-Grocery_Inventory_and_Sales_Dat!N353</f>
        <v>5460</v>
      </c>
    </row>
    <row r="354" spans="1:27" x14ac:dyDescent="0.3">
      <c r="A354" t="s">
        <v>1431</v>
      </c>
      <c r="B354" t="s">
        <v>834</v>
      </c>
      <c r="C354" t="s">
        <v>24</v>
      </c>
      <c r="D354" t="s">
        <v>1432</v>
      </c>
      <c r="E354" s="13" t="s">
        <v>640</v>
      </c>
      <c r="G354" s="2">
        <v>15</v>
      </c>
      <c r="H354">
        <v>49</v>
      </c>
      <c r="I354">
        <v>40</v>
      </c>
      <c r="J354" t="s">
        <v>27</v>
      </c>
      <c r="K354">
        <v>49</v>
      </c>
      <c r="L354" t="s">
        <v>41</v>
      </c>
      <c r="M354" s="12">
        <v>4.5</v>
      </c>
      <c r="N354" s="3">
        <f>G354*M354</f>
        <v>67.5</v>
      </c>
      <c r="O354" s="1">
        <v>45455</v>
      </c>
      <c r="P354" s="1">
        <v>45457</v>
      </c>
      <c r="Q354" s="1">
        <v>45549</v>
      </c>
      <c r="R354">
        <v>624</v>
      </c>
      <c r="S354">
        <v>622</v>
      </c>
      <c r="T354">
        <v>530</v>
      </c>
      <c r="U354" t="str">
        <f t="shared" si="10"/>
        <v>Expiring Soon</v>
      </c>
      <c r="V354" t="s">
        <v>1433</v>
      </c>
      <c r="W354">
        <v>68</v>
      </c>
      <c r="X354" s="3">
        <f t="shared" si="11"/>
        <v>4590</v>
      </c>
      <c r="Y354">
        <v>74</v>
      </c>
      <c r="Z354" t="s">
        <v>30</v>
      </c>
      <c r="AA354" s="3">
        <f>X354-Grocery_Inventory_and_Sales_Dat!N354</f>
        <v>4522.5</v>
      </c>
    </row>
    <row r="355" spans="1:27" x14ac:dyDescent="0.3">
      <c r="A355" t="s">
        <v>1434</v>
      </c>
      <c r="B355" t="s">
        <v>374</v>
      </c>
      <c r="C355" t="s">
        <v>52</v>
      </c>
      <c r="D355" t="s">
        <v>1435</v>
      </c>
      <c r="E355" s="13" t="s">
        <v>1436</v>
      </c>
      <c r="G355" s="2">
        <v>75</v>
      </c>
      <c r="H355">
        <v>85</v>
      </c>
      <c r="I355">
        <v>27</v>
      </c>
      <c r="J355" t="s">
        <v>27</v>
      </c>
      <c r="K355">
        <v>85</v>
      </c>
      <c r="L355" t="s">
        <v>28</v>
      </c>
      <c r="M355" s="12">
        <v>4.5</v>
      </c>
      <c r="N355" s="3">
        <f>G355*M355</f>
        <v>337.5</v>
      </c>
      <c r="O355" s="1">
        <v>45442</v>
      </c>
      <c r="P355" s="1">
        <v>45541</v>
      </c>
      <c r="Q355" s="1">
        <v>45467</v>
      </c>
      <c r="R355">
        <v>637</v>
      </c>
      <c r="S355">
        <v>538</v>
      </c>
      <c r="T355">
        <v>612</v>
      </c>
      <c r="U355" t="str">
        <f t="shared" si="10"/>
        <v>Safe</v>
      </c>
      <c r="V355" t="s">
        <v>1437</v>
      </c>
      <c r="W355">
        <v>26</v>
      </c>
      <c r="X355" s="3">
        <f t="shared" si="11"/>
        <v>8775</v>
      </c>
      <c r="Y355">
        <v>68</v>
      </c>
      <c r="Z355" t="s">
        <v>30</v>
      </c>
      <c r="AA355" s="3">
        <f>X355-Grocery_Inventory_and_Sales_Dat!N355</f>
        <v>8437.5</v>
      </c>
    </row>
    <row r="356" spans="1:27" x14ac:dyDescent="0.3">
      <c r="A356" t="s">
        <v>1438</v>
      </c>
      <c r="B356" t="s">
        <v>1439</v>
      </c>
      <c r="C356" t="s">
        <v>95</v>
      </c>
      <c r="D356" t="s">
        <v>1440</v>
      </c>
      <c r="E356" s="13" t="s">
        <v>1441</v>
      </c>
      <c r="G356" s="2">
        <v>80</v>
      </c>
      <c r="H356">
        <v>61</v>
      </c>
      <c r="I356">
        <v>23</v>
      </c>
      <c r="J356" t="s">
        <v>55</v>
      </c>
      <c r="K356">
        <v>0</v>
      </c>
      <c r="L356" t="s">
        <v>41</v>
      </c>
      <c r="M356" s="12">
        <v>5.5</v>
      </c>
      <c r="N356" s="3">
        <f>G356*M356</f>
        <v>440</v>
      </c>
      <c r="O356" s="1">
        <v>45500</v>
      </c>
      <c r="P356" s="1">
        <v>45504</v>
      </c>
      <c r="Q356" s="1">
        <v>45355</v>
      </c>
      <c r="R356">
        <v>579</v>
      </c>
      <c r="S356">
        <v>575</v>
      </c>
      <c r="T356">
        <v>724</v>
      </c>
      <c r="U356" t="str">
        <f t="shared" si="10"/>
        <v>Safe</v>
      </c>
      <c r="V356" t="s">
        <v>1442</v>
      </c>
      <c r="W356">
        <v>63</v>
      </c>
      <c r="X356" s="3">
        <f t="shared" si="11"/>
        <v>27720</v>
      </c>
      <c r="Y356">
        <v>75</v>
      </c>
      <c r="Z356" t="s">
        <v>43</v>
      </c>
      <c r="AA356" s="3">
        <f>X356-Grocery_Inventory_and_Sales_Dat!N356</f>
        <v>27280</v>
      </c>
    </row>
    <row r="357" spans="1:27" x14ac:dyDescent="0.3">
      <c r="A357" t="s">
        <v>1443</v>
      </c>
      <c r="B357" t="s">
        <v>280</v>
      </c>
      <c r="C357" t="s">
        <v>52</v>
      </c>
      <c r="D357" t="s">
        <v>1444</v>
      </c>
      <c r="E357" s="13" t="s">
        <v>1445</v>
      </c>
      <c r="G357" s="2">
        <v>84</v>
      </c>
      <c r="H357">
        <v>95</v>
      </c>
      <c r="I357">
        <v>22</v>
      </c>
      <c r="J357" t="s">
        <v>27</v>
      </c>
      <c r="K357">
        <v>95</v>
      </c>
      <c r="L357" t="s">
        <v>28</v>
      </c>
      <c r="M357" s="12">
        <v>2.85</v>
      </c>
      <c r="N357" s="3">
        <f>G357*M357</f>
        <v>239.4</v>
      </c>
      <c r="O357" s="1">
        <v>45463</v>
      </c>
      <c r="P357" s="1">
        <v>45426</v>
      </c>
      <c r="Q357" s="1">
        <v>45572</v>
      </c>
      <c r="R357">
        <v>616</v>
      </c>
      <c r="S357">
        <v>653</v>
      </c>
      <c r="T357">
        <v>507</v>
      </c>
      <c r="U357" t="str">
        <f t="shared" si="10"/>
        <v>Expiring Soon</v>
      </c>
      <c r="V357" t="s">
        <v>1446</v>
      </c>
      <c r="W357">
        <v>48</v>
      </c>
      <c r="X357" s="3">
        <f t="shared" si="11"/>
        <v>11491.2</v>
      </c>
      <c r="Y357">
        <v>82</v>
      </c>
      <c r="Z357" t="s">
        <v>30</v>
      </c>
      <c r="AA357" s="3">
        <f>X357-Grocery_Inventory_and_Sales_Dat!N357</f>
        <v>11251.800000000001</v>
      </c>
    </row>
    <row r="358" spans="1:27" x14ac:dyDescent="0.3">
      <c r="A358" t="s">
        <v>1447</v>
      </c>
      <c r="B358" t="s">
        <v>360</v>
      </c>
      <c r="C358" t="s">
        <v>52</v>
      </c>
      <c r="D358" t="s">
        <v>1448</v>
      </c>
      <c r="E358" s="13" t="s">
        <v>1449</v>
      </c>
      <c r="G358" s="2">
        <v>17</v>
      </c>
      <c r="H358">
        <v>3</v>
      </c>
      <c r="I358">
        <v>33</v>
      </c>
      <c r="J358" t="s">
        <v>55</v>
      </c>
      <c r="K358">
        <v>0</v>
      </c>
      <c r="L358" t="s">
        <v>41</v>
      </c>
      <c r="M358" s="12">
        <v>3</v>
      </c>
      <c r="N358" s="3">
        <f>G358*M358</f>
        <v>51</v>
      </c>
      <c r="O358" s="1">
        <v>45372</v>
      </c>
      <c r="P358" s="1">
        <v>45549</v>
      </c>
      <c r="Q358" s="1">
        <v>45443</v>
      </c>
      <c r="R358">
        <v>707</v>
      </c>
      <c r="S358">
        <v>530</v>
      </c>
      <c r="T358">
        <v>636</v>
      </c>
      <c r="U358" t="str">
        <f t="shared" si="10"/>
        <v>Safe</v>
      </c>
      <c r="V358" t="s">
        <v>1450</v>
      </c>
      <c r="W358">
        <v>49</v>
      </c>
      <c r="X358" s="3">
        <f t="shared" si="11"/>
        <v>2499</v>
      </c>
      <c r="Y358">
        <v>17</v>
      </c>
      <c r="Z358" t="s">
        <v>43</v>
      </c>
      <c r="AA358" s="3">
        <f>X358-Grocery_Inventory_and_Sales_Dat!N358</f>
        <v>2448</v>
      </c>
    </row>
    <row r="359" spans="1:27" x14ac:dyDescent="0.3">
      <c r="A359" t="s">
        <v>1451</v>
      </c>
      <c r="B359" t="s">
        <v>1198</v>
      </c>
      <c r="C359" t="s">
        <v>70</v>
      </c>
      <c r="D359" t="s">
        <v>1452</v>
      </c>
      <c r="E359" s="13" t="s">
        <v>1380</v>
      </c>
      <c r="G359" s="2">
        <v>64</v>
      </c>
      <c r="H359">
        <v>31</v>
      </c>
      <c r="I359">
        <v>91</v>
      </c>
      <c r="J359" t="s">
        <v>55</v>
      </c>
      <c r="K359">
        <v>0</v>
      </c>
      <c r="L359" t="s">
        <v>41</v>
      </c>
      <c r="M359" s="12">
        <v>1.9</v>
      </c>
      <c r="N359" s="3">
        <f>G359*M359</f>
        <v>121.6</v>
      </c>
      <c r="O359" s="1">
        <v>45462</v>
      </c>
      <c r="P359" s="1">
        <v>45390</v>
      </c>
      <c r="Q359" s="1">
        <v>45575</v>
      </c>
      <c r="R359">
        <v>617</v>
      </c>
      <c r="S359">
        <v>689</v>
      </c>
      <c r="T359">
        <v>504</v>
      </c>
      <c r="U359" t="str">
        <f t="shared" si="10"/>
        <v>Expiring Soon</v>
      </c>
      <c r="V359" t="s">
        <v>1453</v>
      </c>
      <c r="W359">
        <v>85</v>
      </c>
      <c r="X359" s="3">
        <f t="shared" si="11"/>
        <v>10336</v>
      </c>
      <c r="Y359">
        <v>42</v>
      </c>
      <c r="Z359" t="s">
        <v>30</v>
      </c>
      <c r="AA359" s="3">
        <f>X359-Grocery_Inventory_and_Sales_Dat!N359</f>
        <v>10214.4</v>
      </c>
    </row>
    <row r="360" spans="1:27" x14ac:dyDescent="0.3">
      <c r="A360" t="s">
        <v>1454</v>
      </c>
      <c r="B360" t="s">
        <v>502</v>
      </c>
      <c r="C360" t="s">
        <v>70</v>
      </c>
      <c r="D360" t="s">
        <v>1455</v>
      </c>
      <c r="E360" s="13" t="s">
        <v>1456</v>
      </c>
      <c r="G360" s="2">
        <v>76</v>
      </c>
      <c r="H360">
        <v>81</v>
      </c>
      <c r="I360">
        <v>85</v>
      </c>
      <c r="J360" t="s">
        <v>27</v>
      </c>
      <c r="K360">
        <v>81</v>
      </c>
      <c r="L360" t="s">
        <v>28</v>
      </c>
      <c r="M360" s="12">
        <v>4</v>
      </c>
      <c r="N360" s="3">
        <f>G360*M360</f>
        <v>304</v>
      </c>
      <c r="O360" s="1">
        <v>45385</v>
      </c>
      <c r="P360" s="1">
        <v>45577</v>
      </c>
      <c r="Q360" s="1">
        <v>45543</v>
      </c>
      <c r="R360">
        <v>694</v>
      </c>
      <c r="S360">
        <v>502</v>
      </c>
      <c r="T360">
        <v>536</v>
      </c>
      <c r="U360" t="str">
        <f t="shared" si="10"/>
        <v>Expiring Soon</v>
      </c>
      <c r="V360" t="s">
        <v>1457</v>
      </c>
      <c r="W360">
        <v>65</v>
      </c>
      <c r="X360" s="3">
        <f t="shared" si="11"/>
        <v>19760</v>
      </c>
      <c r="Y360">
        <v>68</v>
      </c>
      <c r="Z360" t="s">
        <v>49</v>
      </c>
      <c r="AA360" s="3">
        <f>X360-Grocery_Inventory_and_Sales_Dat!N360</f>
        <v>19456</v>
      </c>
    </row>
    <row r="361" spans="1:27" x14ac:dyDescent="0.3">
      <c r="A361" t="s">
        <v>1458</v>
      </c>
      <c r="B361" t="s">
        <v>743</v>
      </c>
      <c r="C361" t="s">
        <v>64</v>
      </c>
      <c r="D361" t="s">
        <v>1459</v>
      </c>
      <c r="E361" s="13" t="s">
        <v>1460</v>
      </c>
      <c r="G361" s="2">
        <v>77</v>
      </c>
      <c r="H361">
        <v>95</v>
      </c>
      <c r="I361">
        <v>82</v>
      </c>
      <c r="J361" t="s">
        <v>27</v>
      </c>
      <c r="K361">
        <v>95</v>
      </c>
      <c r="L361" t="s">
        <v>28</v>
      </c>
      <c r="M361" s="12">
        <v>6.5</v>
      </c>
      <c r="N361" s="3">
        <f>G361*M361</f>
        <v>500.5</v>
      </c>
      <c r="O361" s="1">
        <v>45399</v>
      </c>
      <c r="P361" s="1">
        <v>45584</v>
      </c>
      <c r="Q361" s="1">
        <v>45491</v>
      </c>
      <c r="R361">
        <v>680</v>
      </c>
      <c r="S361">
        <v>495</v>
      </c>
      <c r="T361">
        <v>588</v>
      </c>
      <c r="U361" t="str">
        <f t="shared" si="10"/>
        <v>Safe</v>
      </c>
      <c r="V361" t="s">
        <v>1461</v>
      </c>
      <c r="W361">
        <v>29</v>
      </c>
      <c r="X361" s="3">
        <f t="shared" si="11"/>
        <v>14514.5</v>
      </c>
      <c r="Y361">
        <v>46</v>
      </c>
      <c r="Z361" t="s">
        <v>43</v>
      </c>
      <c r="AA361" s="3">
        <f>X361-Grocery_Inventory_and_Sales_Dat!N361</f>
        <v>14014</v>
      </c>
    </row>
    <row r="362" spans="1:27" x14ac:dyDescent="0.3">
      <c r="A362" t="s">
        <v>1462</v>
      </c>
      <c r="B362" t="s">
        <v>413</v>
      </c>
      <c r="C362" t="s">
        <v>70</v>
      </c>
      <c r="D362" t="s">
        <v>1463</v>
      </c>
      <c r="E362" s="13" t="s">
        <v>620</v>
      </c>
      <c r="G362" s="2">
        <v>18</v>
      </c>
      <c r="H362">
        <v>14</v>
      </c>
      <c r="I362">
        <v>77</v>
      </c>
      <c r="J362" t="s">
        <v>55</v>
      </c>
      <c r="K362">
        <v>0</v>
      </c>
      <c r="L362" t="s">
        <v>41</v>
      </c>
      <c r="M362" s="12">
        <v>2.5</v>
      </c>
      <c r="N362" s="3">
        <f>G362*M362</f>
        <v>45</v>
      </c>
      <c r="O362" s="1">
        <v>45778</v>
      </c>
      <c r="P362" s="1">
        <v>45631</v>
      </c>
      <c r="Q362" s="1">
        <v>45437</v>
      </c>
      <c r="R362">
        <v>301</v>
      </c>
      <c r="S362">
        <v>448</v>
      </c>
      <c r="T362">
        <v>642</v>
      </c>
      <c r="U362" t="str">
        <f t="shared" si="10"/>
        <v>Safe</v>
      </c>
      <c r="V362" t="s">
        <v>1464</v>
      </c>
      <c r="W362">
        <v>78</v>
      </c>
      <c r="X362" s="3">
        <f t="shared" si="11"/>
        <v>3510</v>
      </c>
      <c r="Y362">
        <v>4</v>
      </c>
      <c r="Z362" t="s">
        <v>43</v>
      </c>
      <c r="AA362" s="3">
        <f>X362-Grocery_Inventory_and_Sales_Dat!N362</f>
        <v>3465</v>
      </c>
    </row>
    <row r="363" spans="1:27" x14ac:dyDescent="0.3">
      <c r="A363" t="s">
        <v>1465</v>
      </c>
      <c r="B363" t="s">
        <v>1270</v>
      </c>
      <c r="C363" t="s">
        <v>24</v>
      </c>
      <c r="D363" t="s">
        <v>1466</v>
      </c>
      <c r="E363" s="13" t="s">
        <v>1467</v>
      </c>
      <c r="G363" s="2">
        <v>51</v>
      </c>
      <c r="H363">
        <v>55</v>
      </c>
      <c r="I363">
        <v>76</v>
      </c>
      <c r="J363" t="s">
        <v>27</v>
      </c>
      <c r="K363">
        <v>55</v>
      </c>
      <c r="L363" t="s">
        <v>41</v>
      </c>
      <c r="M363" s="12">
        <v>5</v>
      </c>
      <c r="N363" s="3">
        <f>G363*M363</f>
        <v>255</v>
      </c>
      <c r="O363" s="1">
        <v>45707</v>
      </c>
      <c r="P363" s="1">
        <v>45561</v>
      </c>
      <c r="Q363" s="1">
        <v>45681</v>
      </c>
      <c r="R363">
        <v>372</v>
      </c>
      <c r="S363">
        <v>518</v>
      </c>
      <c r="T363">
        <v>398</v>
      </c>
      <c r="U363" t="str">
        <f t="shared" si="10"/>
        <v>Expiring Soon</v>
      </c>
      <c r="V363" t="s">
        <v>1468</v>
      </c>
      <c r="W363">
        <v>21</v>
      </c>
      <c r="X363" s="3">
        <f t="shared" si="11"/>
        <v>5355</v>
      </c>
      <c r="Y363">
        <v>13</v>
      </c>
      <c r="Z363" t="s">
        <v>30</v>
      </c>
      <c r="AA363" s="3">
        <f>X363-Grocery_Inventory_and_Sales_Dat!N363</f>
        <v>5100</v>
      </c>
    </row>
    <row r="364" spans="1:27" x14ac:dyDescent="0.3">
      <c r="A364" t="s">
        <v>1469</v>
      </c>
      <c r="B364" t="s">
        <v>757</v>
      </c>
      <c r="C364" t="s">
        <v>52</v>
      </c>
      <c r="D364" t="s">
        <v>1470</v>
      </c>
      <c r="E364" s="13" t="s">
        <v>1471</v>
      </c>
      <c r="G364" s="2">
        <v>68</v>
      </c>
      <c r="H364">
        <v>12</v>
      </c>
      <c r="I364">
        <v>73</v>
      </c>
      <c r="J364" t="s">
        <v>55</v>
      </c>
      <c r="K364">
        <v>0</v>
      </c>
      <c r="L364" t="s">
        <v>41</v>
      </c>
      <c r="M364" s="12">
        <v>5</v>
      </c>
      <c r="N364" s="3">
        <f>G364*M364</f>
        <v>340</v>
      </c>
      <c r="O364" s="1">
        <v>45420</v>
      </c>
      <c r="P364" s="1">
        <v>45962</v>
      </c>
      <c r="Q364" s="1">
        <v>45477</v>
      </c>
      <c r="R364">
        <v>659</v>
      </c>
      <c r="S364">
        <v>117</v>
      </c>
      <c r="T364">
        <v>602</v>
      </c>
      <c r="U364" t="str">
        <f t="shared" si="10"/>
        <v>Safe</v>
      </c>
      <c r="V364" t="s">
        <v>1472</v>
      </c>
      <c r="W364">
        <v>84</v>
      </c>
      <c r="X364" s="3">
        <f t="shared" si="11"/>
        <v>28560</v>
      </c>
      <c r="Y364">
        <v>95</v>
      </c>
      <c r="Z364" t="s">
        <v>43</v>
      </c>
      <c r="AA364" s="3">
        <f>X364-Grocery_Inventory_and_Sales_Dat!N364</f>
        <v>28220</v>
      </c>
    </row>
    <row r="365" spans="1:27" x14ac:dyDescent="0.3">
      <c r="A365" t="s">
        <v>1473</v>
      </c>
      <c r="B365" t="s">
        <v>1474</v>
      </c>
      <c r="C365" t="s">
        <v>24</v>
      </c>
      <c r="D365" t="s">
        <v>1475</v>
      </c>
      <c r="E365" s="13" t="s">
        <v>540</v>
      </c>
      <c r="G365" s="2">
        <v>46</v>
      </c>
      <c r="H365">
        <v>6</v>
      </c>
      <c r="I365">
        <v>64</v>
      </c>
      <c r="J365" t="s">
        <v>55</v>
      </c>
      <c r="K365">
        <v>0</v>
      </c>
      <c r="L365" t="s">
        <v>41</v>
      </c>
      <c r="M365" s="12">
        <v>10</v>
      </c>
      <c r="N365" s="3">
        <f>G365*M365</f>
        <v>460</v>
      </c>
      <c r="O365" s="1">
        <v>45496</v>
      </c>
      <c r="P365" s="1">
        <v>45466</v>
      </c>
      <c r="Q365" s="1">
        <v>45648</v>
      </c>
      <c r="R365">
        <v>583</v>
      </c>
      <c r="S365">
        <v>613</v>
      </c>
      <c r="T365">
        <v>431</v>
      </c>
      <c r="U365" t="str">
        <f t="shared" si="10"/>
        <v>Expiring Soon</v>
      </c>
      <c r="V365" t="s">
        <v>1476</v>
      </c>
      <c r="W365">
        <v>63</v>
      </c>
      <c r="X365" s="3">
        <f t="shared" si="11"/>
        <v>28980</v>
      </c>
      <c r="Y365">
        <v>29</v>
      </c>
      <c r="Z365" t="s">
        <v>30</v>
      </c>
      <c r="AA365" s="3">
        <f>X365-Grocery_Inventory_and_Sales_Dat!N365</f>
        <v>28520</v>
      </c>
    </row>
    <row r="366" spans="1:27" x14ac:dyDescent="0.3">
      <c r="A366" t="s">
        <v>1477</v>
      </c>
      <c r="B366" t="s">
        <v>45</v>
      </c>
      <c r="C366" t="s">
        <v>24</v>
      </c>
      <c r="D366" t="s">
        <v>1478</v>
      </c>
      <c r="E366" s="13" t="s">
        <v>771</v>
      </c>
      <c r="G366" s="2">
        <v>98</v>
      </c>
      <c r="H366">
        <v>40</v>
      </c>
      <c r="I366">
        <v>93</v>
      </c>
      <c r="J366" t="s">
        <v>55</v>
      </c>
      <c r="K366">
        <v>0</v>
      </c>
      <c r="L366" t="s">
        <v>41</v>
      </c>
      <c r="M366" s="12">
        <v>1.5</v>
      </c>
      <c r="N366" s="3">
        <f>G366*M366</f>
        <v>147</v>
      </c>
      <c r="O366" s="1">
        <v>45707</v>
      </c>
      <c r="P366" s="1">
        <v>45963</v>
      </c>
      <c r="Q366" s="1">
        <v>45585</v>
      </c>
      <c r="R366">
        <v>372</v>
      </c>
      <c r="S366">
        <v>116</v>
      </c>
      <c r="T366">
        <v>494</v>
      </c>
      <c r="U366" t="str">
        <f t="shared" si="10"/>
        <v>Expiring Soon</v>
      </c>
      <c r="V366" t="s">
        <v>1479</v>
      </c>
      <c r="W366">
        <v>30</v>
      </c>
      <c r="X366" s="3">
        <f t="shared" si="11"/>
        <v>4410</v>
      </c>
      <c r="Y366">
        <v>53</v>
      </c>
      <c r="Z366" t="s">
        <v>49</v>
      </c>
      <c r="AA366" s="3">
        <f>X366-Grocery_Inventory_and_Sales_Dat!N366</f>
        <v>4263</v>
      </c>
    </row>
    <row r="367" spans="1:27" x14ac:dyDescent="0.3">
      <c r="A367" t="s">
        <v>1480</v>
      </c>
      <c r="B367" t="s">
        <v>207</v>
      </c>
      <c r="C367" t="s">
        <v>52</v>
      </c>
      <c r="D367" t="s">
        <v>1481</v>
      </c>
      <c r="E367" s="13" t="s">
        <v>1482</v>
      </c>
      <c r="G367" s="2">
        <v>50</v>
      </c>
      <c r="H367">
        <v>20</v>
      </c>
      <c r="I367">
        <v>74</v>
      </c>
      <c r="J367" t="s">
        <v>55</v>
      </c>
      <c r="K367">
        <v>0</v>
      </c>
      <c r="L367" t="s">
        <v>41</v>
      </c>
      <c r="M367" s="12">
        <v>2</v>
      </c>
      <c r="N367" s="3">
        <f>G367*M367</f>
        <v>100</v>
      </c>
      <c r="O367" s="1">
        <v>45701</v>
      </c>
      <c r="P367" s="1">
        <v>45359</v>
      </c>
      <c r="Q367" s="1">
        <v>45570</v>
      </c>
      <c r="R367">
        <v>378</v>
      </c>
      <c r="S367">
        <v>720</v>
      </c>
      <c r="T367">
        <v>509</v>
      </c>
      <c r="U367" t="str">
        <f t="shared" si="10"/>
        <v>Expiring Soon</v>
      </c>
      <c r="V367" t="s">
        <v>1483</v>
      </c>
      <c r="W367">
        <v>30</v>
      </c>
      <c r="X367" s="3">
        <f t="shared" si="11"/>
        <v>3000</v>
      </c>
      <c r="Y367">
        <v>57</v>
      </c>
      <c r="Z367" t="s">
        <v>43</v>
      </c>
      <c r="AA367" s="3">
        <f>X367-Grocery_Inventory_and_Sales_Dat!N367</f>
        <v>2900</v>
      </c>
    </row>
    <row r="368" spans="1:27" x14ac:dyDescent="0.3">
      <c r="A368" t="s">
        <v>1484</v>
      </c>
      <c r="B368" t="s">
        <v>1485</v>
      </c>
      <c r="C368" t="s">
        <v>138</v>
      </c>
      <c r="D368" t="s">
        <v>1486</v>
      </c>
      <c r="E368" s="13" t="s">
        <v>1256</v>
      </c>
      <c r="G368" s="2">
        <v>88</v>
      </c>
      <c r="H368">
        <v>83</v>
      </c>
      <c r="I368">
        <v>42</v>
      </c>
      <c r="J368" t="s">
        <v>55</v>
      </c>
      <c r="K368">
        <v>0</v>
      </c>
      <c r="L368" t="s">
        <v>41</v>
      </c>
      <c r="M368" s="12">
        <v>15</v>
      </c>
      <c r="N368" s="3">
        <f>G368*M368</f>
        <v>1320</v>
      </c>
      <c r="O368" s="1">
        <v>45441</v>
      </c>
      <c r="P368" s="1">
        <v>45544</v>
      </c>
      <c r="Q368" s="1">
        <v>45590</v>
      </c>
      <c r="R368">
        <v>638</v>
      </c>
      <c r="S368">
        <v>535</v>
      </c>
      <c r="T368">
        <v>489</v>
      </c>
      <c r="U368" t="str">
        <f t="shared" si="10"/>
        <v>Expiring Soon</v>
      </c>
      <c r="V368" t="s">
        <v>1487</v>
      </c>
      <c r="W368">
        <v>61</v>
      </c>
      <c r="X368" s="3">
        <f t="shared" si="11"/>
        <v>80520</v>
      </c>
      <c r="Y368">
        <v>59</v>
      </c>
      <c r="Z368" t="s">
        <v>30</v>
      </c>
      <c r="AA368" s="3">
        <f>X368-Grocery_Inventory_and_Sales_Dat!N368</f>
        <v>79200</v>
      </c>
    </row>
    <row r="369" spans="1:27" x14ac:dyDescent="0.3">
      <c r="A369" t="s">
        <v>1488</v>
      </c>
      <c r="B369" t="s">
        <v>395</v>
      </c>
      <c r="C369" t="s">
        <v>52</v>
      </c>
      <c r="D369" t="s">
        <v>1489</v>
      </c>
      <c r="E369" s="13" t="s">
        <v>1482</v>
      </c>
      <c r="G369" s="2">
        <v>26</v>
      </c>
      <c r="H369">
        <v>16</v>
      </c>
      <c r="I369">
        <v>69</v>
      </c>
      <c r="J369" t="s">
        <v>55</v>
      </c>
      <c r="K369">
        <v>0</v>
      </c>
      <c r="L369" t="s">
        <v>41</v>
      </c>
      <c r="M369" s="12">
        <v>1.2</v>
      </c>
      <c r="N369" s="3">
        <f>G369*M369</f>
        <v>31.2</v>
      </c>
      <c r="O369" s="1">
        <v>45473</v>
      </c>
      <c r="P369" s="1">
        <v>45377</v>
      </c>
      <c r="Q369" s="1">
        <v>45523</v>
      </c>
      <c r="R369">
        <v>606</v>
      </c>
      <c r="S369">
        <v>702</v>
      </c>
      <c r="T369">
        <v>556</v>
      </c>
      <c r="U369" t="str">
        <f t="shared" si="10"/>
        <v>Safe</v>
      </c>
      <c r="V369" t="s">
        <v>1490</v>
      </c>
      <c r="W369">
        <v>64</v>
      </c>
      <c r="X369" s="3">
        <f t="shared" si="11"/>
        <v>1996.8</v>
      </c>
      <c r="Y369">
        <v>79</v>
      </c>
      <c r="Z369" t="s">
        <v>30</v>
      </c>
      <c r="AA369" s="3">
        <f>X369-Grocery_Inventory_and_Sales_Dat!N369</f>
        <v>1965.6</v>
      </c>
    </row>
    <row r="370" spans="1:27" x14ac:dyDescent="0.3">
      <c r="A370" t="s">
        <v>1491</v>
      </c>
      <c r="B370" t="s">
        <v>292</v>
      </c>
      <c r="C370" t="s">
        <v>33</v>
      </c>
      <c r="D370" t="s">
        <v>1492</v>
      </c>
      <c r="E370" s="13" t="s">
        <v>1325</v>
      </c>
      <c r="G370" s="2">
        <v>43</v>
      </c>
      <c r="H370">
        <v>38</v>
      </c>
      <c r="I370">
        <v>63</v>
      </c>
      <c r="J370" t="s">
        <v>55</v>
      </c>
      <c r="K370">
        <v>0</v>
      </c>
      <c r="L370" t="s">
        <v>41</v>
      </c>
      <c r="M370" s="12">
        <v>12</v>
      </c>
      <c r="N370" s="3">
        <f>G370*M370</f>
        <v>516</v>
      </c>
      <c r="O370" s="1">
        <v>45382</v>
      </c>
      <c r="P370" s="1">
        <v>45690</v>
      </c>
      <c r="Q370" s="1">
        <v>45391</v>
      </c>
      <c r="R370">
        <v>697</v>
      </c>
      <c r="S370">
        <v>389</v>
      </c>
      <c r="T370">
        <v>688</v>
      </c>
      <c r="U370" t="str">
        <f t="shared" si="10"/>
        <v>Safe</v>
      </c>
      <c r="V370" t="s">
        <v>1493</v>
      </c>
      <c r="W370">
        <v>88</v>
      </c>
      <c r="X370" s="3">
        <f t="shared" si="11"/>
        <v>45408</v>
      </c>
      <c r="Y370">
        <v>65</v>
      </c>
      <c r="Z370" t="s">
        <v>43</v>
      </c>
      <c r="AA370" s="3">
        <f>X370-Grocery_Inventory_and_Sales_Dat!N370</f>
        <v>44892</v>
      </c>
    </row>
    <row r="371" spans="1:27" x14ac:dyDescent="0.3">
      <c r="A371" t="s">
        <v>1494</v>
      </c>
      <c r="B371" t="s">
        <v>693</v>
      </c>
      <c r="C371" t="s">
        <v>24</v>
      </c>
      <c r="D371" t="s">
        <v>1495</v>
      </c>
      <c r="E371" s="13" t="s">
        <v>540</v>
      </c>
      <c r="G371" s="2">
        <v>46</v>
      </c>
      <c r="H371">
        <v>20</v>
      </c>
      <c r="I371">
        <v>30</v>
      </c>
      <c r="J371" t="s">
        <v>55</v>
      </c>
      <c r="K371">
        <v>0</v>
      </c>
      <c r="L371" t="s">
        <v>41</v>
      </c>
      <c r="M371" s="12">
        <v>2.5</v>
      </c>
      <c r="N371" s="3">
        <f>G371*M371</f>
        <v>115</v>
      </c>
      <c r="O371" s="1">
        <v>45446</v>
      </c>
      <c r="P371" s="1">
        <v>45351</v>
      </c>
      <c r="Q371" s="1">
        <v>45548</v>
      </c>
      <c r="R371">
        <v>633</v>
      </c>
      <c r="S371">
        <v>728</v>
      </c>
      <c r="T371">
        <v>531</v>
      </c>
      <c r="U371" t="str">
        <f t="shared" si="10"/>
        <v>Expiring Soon</v>
      </c>
      <c r="V371" t="s">
        <v>1496</v>
      </c>
      <c r="W371">
        <v>54</v>
      </c>
      <c r="X371" s="3">
        <f t="shared" si="11"/>
        <v>6210</v>
      </c>
      <c r="Y371">
        <v>24</v>
      </c>
      <c r="Z371" t="s">
        <v>43</v>
      </c>
      <c r="AA371" s="3">
        <f>X371-Grocery_Inventory_and_Sales_Dat!N371</f>
        <v>6095</v>
      </c>
    </row>
    <row r="372" spans="1:27" x14ac:dyDescent="0.3">
      <c r="A372" t="s">
        <v>1497</v>
      </c>
      <c r="B372" t="s">
        <v>600</v>
      </c>
      <c r="C372" t="s">
        <v>52</v>
      </c>
      <c r="D372" t="s">
        <v>1498</v>
      </c>
      <c r="E372" s="13" t="s">
        <v>771</v>
      </c>
      <c r="G372" s="2">
        <v>19</v>
      </c>
      <c r="H372">
        <v>73</v>
      </c>
      <c r="I372">
        <v>60</v>
      </c>
      <c r="J372" t="s">
        <v>27</v>
      </c>
      <c r="K372">
        <v>73</v>
      </c>
      <c r="L372" t="s">
        <v>28</v>
      </c>
      <c r="M372" s="12">
        <v>2.4500000000000002</v>
      </c>
      <c r="N372" s="3">
        <f>G372*M372</f>
        <v>46.550000000000004</v>
      </c>
      <c r="O372" s="1">
        <v>45629</v>
      </c>
      <c r="P372" s="1">
        <v>45604</v>
      </c>
      <c r="Q372" s="1">
        <v>45455</v>
      </c>
      <c r="R372">
        <v>450</v>
      </c>
      <c r="S372">
        <v>475</v>
      </c>
      <c r="T372">
        <v>624</v>
      </c>
      <c r="U372" t="str">
        <f t="shared" si="10"/>
        <v>Safe</v>
      </c>
      <c r="V372" t="s">
        <v>1499</v>
      </c>
      <c r="W372">
        <v>70</v>
      </c>
      <c r="X372" s="3">
        <f t="shared" si="11"/>
        <v>3258.5000000000005</v>
      </c>
      <c r="Y372">
        <v>48</v>
      </c>
      <c r="Z372" t="s">
        <v>43</v>
      </c>
      <c r="AA372" s="3">
        <f>X372-Grocery_Inventory_and_Sales_Dat!N372</f>
        <v>3211.9500000000003</v>
      </c>
    </row>
    <row r="373" spans="1:27" x14ac:dyDescent="0.3">
      <c r="A373" t="s">
        <v>1500</v>
      </c>
      <c r="B373" t="s">
        <v>1008</v>
      </c>
      <c r="C373" t="s">
        <v>52</v>
      </c>
      <c r="D373" t="s">
        <v>1501</v>
      </c>
      <c r="E373" s="13" t="s">
        <v>47</v>
      </c>
      <c r="G373" s="2">
        <v>61</v>
      </c>
      <c r="H373">
        <v>100</v>
      </c>
      <c r="I373">
        <v>94</v>
      </c>
      <c r="J373" t="s">
        <v>27</v>
      </c>
      <c r="K373">
        <v>100</v>
      </c>
      <c r="L373" t="s">
        <v>28</v>
      </c>
      <c r="M373" s="12">
        <v>4</v>
      </c>
      <c r="N373" s="3">
        <f>G373*M373</f>
        <v>244</v>
      </c>
      <c r="O373" s="1">
        <v>45493</v>
      </c>
      <c r="P373" s="1">
        <v>45671</v>
      </c>
      <c r="Q373" s="1">
        <v>45569</v>
      </c>
      <c r="R373">
        <v>586</v>
      </c>
      <c r="S373">
        <v>408</v>
      </c>
      <c r="T373">
        <v>510</v>
      </c>
      <c r="U373" t="str">
        <f t="shared" si="10"/>
        <v>Expiring Soon</v>
      </c>
      <c r="V373" t="s">
        <v>1502</v>
      </c>
      <c r="W373">
        <v>76</v>
      </c>
      <c r="X373" s="3">
        <f t="shared" si="11"/>
        <v>18544</v>
      </c>
      <c r="Y373">
        <v>2</v>
      </c>
      <c r="Z373" t="s">
        <v>43</v>
      </c>
      <c r="AA373" s="3">
        <f>X373-Grocery_Inventory_and_Sales_Dat!N373</f>
        <v>18300</v>
      </c>
    </row>
    <row r="374" spans="1:27" x14ac:dyDescent="0.3">
      <c r="A374" t="s">
        <v>1503</v>
      </c>
      <c r="B374" t="s">
        <v>469</v>
      </c>
      <c r="C374" t="s">
        <v>52</v>
      </c>
      <c r="D374" t="s">
        <v>1504</v>
      </c>
      <c r="E374" s="13" t="s">
        <v>1505</v>
      </c>
      <c r="G374" s="2">
        <v>43</v>
      </c>
      <c r="H374">
        <v>40</v>
      </c>
      <c r="I374">
        <v>30</v>
      </c>
      <c r="J374" t="s">
        <v>55</v>
      </c>
      <c r="K374">
        <v>0</v>
      </c>
      <c r="L374" t="s">
        <v>41</v>
      </c>
      <c r="M374" s="12">
        <v>7</v>
      </c>
      <c r="N374" s="3">
        <f>G374*M374</f>
        <v>301</v>
      </c>
      <c r="O374" s="1">
        <v>45486</v>
      </c>
      <c r="P374" s="1">
        <v>45332</v>
      </c>
      <c r="Q374" s="1">
        <v>45645</v>
      </c>
      <c r="R374">
        <v>593</v>
      </c>
      <c r="S374">
        <v>747</v>
      </c>
      <c r="T374">
        <v>434</v>
      </c>
      <c r="U374" t="str">
        <f t="shared" si="10"/>
        <v>Expiring Soon</v>
      </c>
      <c r="V374" t="s">
        <v>1506</v>
      </c>
      <c r="W374">
        <v>95</v>
      </c>
      <c r="X374" s="3">
        <f t="shared" si="11"/>
        <v>28595</v>
      </c>
      <c r="Y374">
        <v>26</v>
      </c>
      <c r="Z374" t="s">
        <v>49</v>
      </c>
      <c r="AA374" s="3">
        <f>X374-Grocery_Inventory_and_Sales_Dat!N374</f>
        <v>28294</v>
      </c>
    </row>
    <row r="375" spans="1:27" x14ac:dyDescent="0.3">
      <c r="A375" t="s">
        <v>1507</v>
      </c>
      <c r="B375" t="s">
        <v>678</v>
      </c>
      <c r="C375" t="s">
        <v>33</v>
      </c>
      <c r="D375" t="s">
        <v>1508</v>
      </c>
      <c r="E375" s="13" t="s">
        <v>264</v>
      </c>
      <c r="G375" s="2">
        <v>80</v>
      </c>
      <c r="H375">
        <v>54</v>
      </c>
      <c r="I375">
        <v>21</v>
      </c>
      <c r="J375" t="s">
        <v>55</v>
      </c>
      <c r="K375">
        <v>0</v>
      </c>
      <c r="L375" t="s">
        <v>41</v>
      </c>
      <c r="M375" s="12">
        <v>8.5</v>
      </c>
      <c r="N375" s="3">
        <f>G375*M375</f>
        <v>680</v>
      </c>
      <c r="O375" s="1">
        <v>45528</v>
      </c>
      <c r="P375" s="1">
        <v>45565</v>
      </c>
      <c r="Q375" s="1">
        <v>45398</v>
      </c>
      <c r="R375">
        <v>551</v>
      </c>
      <c r="S375">
        <v>514</v>
      </c>
      <c r="T375">
        <v>681</v>
      </c>
      <c r="U375" t="str">
        <f t="shared" si="10"/>
        <v>Safe</v>
      </c>
      <c r="V375" t="s">
        <v>1509</v>
      </c>
      <c r="W375">
        <v>81</v>
      </c>
      <c r="X375" s="3">
        <f t="shared" si="11"/>
        <v>55080</v>
      </c>
      <c r="Y375">
        <v>37</v>
      </c>
      <c r="Z375" t="s">
        <v>49</v>
      </c>
      <c r="AA375" s="3">
        <f>X375-Grocery_Inventory_and_Sales_Dat!N375</f>
        <v>54400</v>
      </c>
    </row>
    <row r="376" spans="1:27" x14ac:dyDescent="0.3">
      <c r="A376" t="s">
        <v>1510</v>
      </c>
      <c r="B376" t="s">
        <v>678</v>
      </c>
      <c r="C376" t="s">
        <v>33</v>
      </c>
      <c r="D376" t="s">
        <v>1511</v>
      </c>
      <c r="E376" s="13" t="s">
        <v>930</v>
      </c>
      <c r="G376" s="2">
        <v>34</v>
      </c>
      <c r="H376">
        <v>47</v>
      </c>
      <c r="I376">
        <v>99</v>
      </c>
      <c r="J376" t="s">
        <v>27</v>
      </c>
      <c r="K376">
        <v>47</v>
      </c>
      <c r="L376" t="s">
        <v>41</v>
      </c>
      <c r="M376" s="12">
        <v>8</v>
      </c>
      <c r="N376" s="3">
        <f>G376*M376</f>
        <v>272</v>
      </c>
      <c r="O376" s="1">
        <v>45680</v>
      </c>
      <c r="P376" s="1">
        <v>45358</v>
      </c>
      <c r="Q376" s="1">
        <v>45619</v>
      </c>
      <c r="R376">
        <v>399</v>
      </c>
      <c r="S376">
        <v>721</v>
      </c>
      <c r="T376">
        <v>460</v>
      </c>
      <c r="U376" t="str">
        <f t="shared" si="10"/>
        <v>Expiring Soon</v>
      </c>
      <c r="V376" t="s">
        <v>1512</v>
      </c>
      <c r="W376">
        <v>97</v>
      </c>
      <c r="X376" s="3">
        <f t="shared" si="11"/>
        <v>26384</v>
      </c>
      <c r="Y376">
        <v>47</v>
      </c>
      <c r="Z376" t="s">
        <v>43</v>
      </c>
      <c r="AA376" s="3">
        <f>X376-Grocery_Inventory_and_Sales_Dat!N376</f>
        <v>26112</v>
      </c>
    </row>
    <row r="377" spans="1:27" x14ac:dyDescent="0.3">
      <c r="A377" t="s">
        <v>1513</v>
      </c>
      <c r="B377" t="s">
        <v>678</v>
      </c>
      <c r="C377" t="s">
        <v>33</v>
      </c>
      <c r="D377" t="s">
        <v>1514</v>
      </c>
      <c r="E377" s="13" t="s">
        <v>1107</v>
      </c>
      <c r="G377" s="2">
        <v>88</v>
      </c>
      <c r="H377">
        <v>50</v>
      </c>
      <c r="I377">
        <v>88</v>
      </c>
      <c r="J377" t="s">
        <v>55</v>
      </c>
      <c r="K377">
        <v>0</v>
      </c>
      <c r="L377" t="s">
        <v>41</v>
      </c>
      <c r="M377" s="12">
        <v>8</v>
      </c>
      <c r="N377" s="3">
        <f>G377*M377</f>
        <v>704</v>
      </c>
      <c r="O377" s="1">
        <v>45527</v>
      </c>
      <c r="P377" s="1">
        <v>45609</v>
      </c>
      <c r="Q377" s="1">
        <v>45599</v>
      </c>
      <c r="R377">
        <v>552</v>
      </c>
      <c r="S377">
        <v>470</v>
      </c>
      <c r="T377">
        <v>480</v>
      </c>
      <c r="U377" t="str">
        <f t="shared" si="10"/>
        <v>Expiring Soon</v>
      </c>
      <c r="V377" t="s">
        <v>1515</v>
      </c>
      <c r="W377">
        <v>78</v>
      </c>
      <c r="X377" s="3">
        <f t="shared" si="11"/>
        <v>54912</v>
      </c>
      <c r="Y377">
        <v>28</v>
      </c>
      <c r="Z377" t="s">
        <v>30</v>
      </c>
      <c r="AA377" s="3">
        <f>X377-Grocery_Inventory_and_Sales_Dat!N377</f>
        <v>54208</v>
      </c>
    </row>
    <row r="378" spans="1:27" x14ac:dyDescent="0.3">
      <c r="A378" t="s">
        <v>1516</v>
      </c>
      <c r="B378" t="s">
        <v>498</v>
      </c>
      <c r="C378" t="s">
        <v>70</v>
      </c>
      <c r="D378" t="s">
        <v>1517</v>
      </c>
      <c r="E378" s="13" t="s">
        <v>1518</v>
      </c>
      <c r="G378" s="2">
        <v>89</v>
      </c>
      <c r="H378">
        <v>42</v>
      </c>
      <c r="I378">
        <v>76</v>
      </c>
      <c r="J378" t="s">
        <v>55</v>
      </c>
      <c r="K378">
        <v>0</v>
      </c>
      <c r="L378" t="s">
        <v>41</v>
      </c>
      <c r="M378" s="12">
        <v>5</v>
      </c>
      <c r="N378" s="3">
        <f>G378*M378</f>
        <v>445</v>
      </c>
      <c r="O378" s="1">
        <v>45641</v>
      </c>
      <c r="P378" s="1">
        <v>45626</v>
      </c>
      <c r="Q378" s="1">
        <v>45636</v>
      </c>
      <c r="R378">
        <v>438</v>
      </c>
      <c r="S378">
        <v>453</v>
      </c>
      <c r="T378">
        <v>443</v>
      </c>
      <c r="U378" t="str">
        <f t="shared" si="10"/>
        <v>Expiring Soon</v>
      </c>
      <c r="V378" t="s">
        <v>1519</v>
      </c>
      <c r="W378">
        <v>94</v>
      </c>
      <c r="X378" s="3">
        <f t="shared" si="11"/>
        <v>41830</v>
      </c>
      <c r="Y378">
        <v>81</v>
      </c>
      <c r="Z378" t="s">
        <v>43</v>
      </c>
      <c r="AA378" s="3">
        <f>X378-Grocery_Inventory_and_Sales_Dat!N378</f>
        <v>41385</v>
      </c>
    </row>
    <row r="379" spans="1:27" x14ac:dyDescent="0.3">
      <c r="A379" t="s">
        <v>1520</v>
      </c>
      <c r="B379" t="s">
        <v>1474</v>
      </c>
      <c r="C379" t="s">
        <v>24</v>
      </c>
      <c r="D379" t="s">
        <v>1521</v>
      </c>
      <c r="E379" s="13" t="s">
        <v>1522</v>
      </c>
      <c r="G379" s="2">
        <v>26</v>
      </c>
      <c r="H379">
        <v>21</v>
      </c>
      <c r="I379">
        <v>47</v>
      </c>
      <c r="J379" t="s">
        <v>55</v>
      </c>
      <c r="K379">
        <v>0</v>
      </c>
      <c r="L379" t="s">
        <v>41</v>
      </c>
      <c r="M379" s="12">
        <v>10</v>
      </c>
      <c r="N379" s="3">
        <f>G379*M379</f>
        <v>260</v>
      </c>
      <c r="O379" s="1">
        <v>45359</v>
      </c>
      <c r="P379" s="1">
        <v>45520</v>
      </c>
      <c r="Q379" s="1">
        <v>45414</v>
      </c>
      <c r="R379">
        <v>720</v>
      </c>
      <c r="S379">
        <v>559</v>
      </c>
      <c r="T379">
        <v>665</v>
      </c>
      <c r="U379" t="str">
        <f t="shared" si="10"/>
        <v>Safe</v>
      </c>
      <c r="V379" t="s">
        <v>1523</v>
      </c>
      <c r="W379">
        <v>40</v>
      </c>
      <c r="X379" s="3">
        <f t="shared" si="11"/>
        <v>10400</v>
      </c>
      <c r="Y379">
        <v>59</v>
      </c>
      <c r="Z379" t="s">
        <v>30</v>
      </c>
      <c r="AA379" s="3">
        <f>X379-Grocery_Inventory_and_Sales_Dat!N379</f>
        <v>10140</v>
      </c>
    </row>
    <row r="380" spans="1:27" x14ac:dyDescent="0.3">
      <c r="A380" t="s">
        <v>1524</v>
      </c>
      <c r="B380" t="s">
        <v>177</v>
      </c>
      <c r="C380" t="s">
        <v>52</v>
      </c>
      <c r="D380" t="s">
        <v>1525</v>
      </c>
      <c r="E380" s="13" t="s">
        <v>1263</v>
      </c>
      <c r="G380" s="2">
        <v>26</v>
      </c>
      <c r="H380">
        <v>95</v>
      </c>
      <c r="I380">
        <v>36</v>
      </c>
      <c r="J380" t="s">
        <v>27</v>
      </c>
      <c r="K380">
        <v>95</v>
      </c>
      <c r="L380" t="s">
        <v>28</v>
      </c>
      <c r="M380" s="12">
        <v>4.5</v>
      </c>
      <c r="N380" s="3">
        <f>G380*M380</f>
        <v>117</v>
      </c>
      <c r="O380" s="1">
        <v>45502</v>
      </c>
      <c r="P380" s="1">
        <v>45809</v>
      </c>
      <c r="Q380" s="1">
        <v>45698</v>
      </c>
      <c r="R380">
        <v>577</v>
      </c>
      <c r="S380">
        <v>270</v>
      </c>
      <c r="T380">
        <v>381</v>
      </c>
      <c r="U380" t="str">
        <f t="shared" si="10"/>
        <v>Expiring Soon</v>
      </c>
      <c r="V380" t="s">
        <v>1526</v>
      </c>
      <c r="W380">
        <v>92</v>
      </c>
      <c r="X380" s="3">
        <f t="shared" si="11"/>
        <v>10764</v>
      </c>
      <c r="Y380">
        <v>14</v>
      </c>
      <c r="Z380" t="s">
        <v>49</v>
      </c>
      <c r="AA380" s="3">
        <f>X380-Grocery_Inventory_and_Sales_Dat!N380</f>
        <v>10647</v>
      </c>
    </row>
    <row r="381" spans="1:27" x14ac:dyDescent="0.3">
      <c r="A381" t="s">
        <v>1527</v>
      </c>
      <c r="B381" t="s">
        <v>560</v>
      </c>
      <c r="C381" t="s">
        <v>52</v>
      </c>
      <c r="D381" t="s">
        <v>1528</v>
      </c>
      <c r="E381" s="13" t="s">
        <v>1300</v>
      </c>
      <c r="G381" s="2">
        <v>37</v>
      </c>
      <c r="H381">
        <v>38</v>
      </c>
      <c r="I381">
        <v>24</v>
      </c>
      <c r="J381" t="s">
        <v>27</v>
      </c>
      <c r="K381">
        <v>38</v>
      </c>
      <c r="L381" t="s">
        <v>41</v>
      </c>
      <c r="M381" s="12">
        <v>4</v>
      </c>
      <c r="N381" s="3">
        <f>G381*M381</f>
        <v>148</v>
      </c>
      <c r="O381" s="1">
        <v>45458</v>
      </c>
      <c r="P381" s="1">
        <v>45331</v>
      </c>
      <c r="Q381" s="1">
        <v>45524</v>
      </c>
      <c r="R381">
        <v>621</v>
      </c>
      <c r="S381">
        <v>748</v>
      </c>
      <c r="T381">
        <v>555</v>
      </c>
      <c r="U381" t="str">
        <f t="shared" si="10"/>
        <v>Safe</v>
      </c>
      <c r="V381" t="s">
        <v>1529</v>
      </c>
      <c r="W381">
        <v>93</v>
      </c>
      <c r="X381" s="3">
        <f t="shared" si="11"/>
        <v>13764</v>
      </c>
      <c r="Y381">
        <v>32</v>
      </c>
      <c r="Z381" t="s">
        <v>49</v>
      </c>
      <c r="AA381" s="3">
        <f>X381-Grocery_Inventory_and_Sales_Dat!N381</f>
        <v>13616</v>
      </c>
    </row>
    <row r="382" spans="1:27" x14ac:dyDescent="0.3">
      <c r="A382" t="s">
        <v>1530</v>
      </c>
      <c r="B382" t="s">
        <v>1224</v>
      </c>
      <c r="C382" t="s">
        <v>70</v>
      </c>
      <c r="D382" t="s">
        <v>1531</v>
      </c>
      <c r="E382" s="13" t="s">
        <v>740</v>
      </c>
      <c r="G382" s="2">
        <v>76</v>
      </c>
      <c r="H382">
        <v>98</v>
      </c>
      <c r="I382">
        <v>41</v>
      </c>
      <c r="J382" t="s">
        <v>27</v>
      </c>
      <c r="K382">
        <v>98</v>
      </c>
      <c r="L382" t="s">
        <v>28</v>
      </c>
      <c r="M382" s="12">
        <v>1.75</v>
      </c>
      <c r="N382" s="3">
        <f>G382*M382</f>
        <v>133</v>
      </c>
      <c r="O382" s="1">
        <v>45610</v>
      </c>
      <c r="P382" s="1">
        <v>45435</v>
      </c>
      <c r="Q382" s="1">
        <v>45579</v>
      </c>
      <c r="R382">
        <v>469</v>
      </c>
      <c r="S382">
        <v>644</v>
      </c>
      <c r="T382">
        <v>500</v>
      </c>
      <c r="U382" t="str">
        <f t="shared" si="10"/>
        <v>Expiring Soon</v>
      </c>
      <c r="V382" t="s">
        <v>1532</v>
      </c>
      <c r="W382">
        <v>62</v>
      </c>
      <c r="X382" s="3">
        <f t="shared" si="11"/>
        <v>8246</v>
      </c>
      <c r="Y382">
        <v>48</v>
      </c>
      <c r="Z382" t="s">
        <v>43</v>
      </c>
      <c r="AA382" s="3">
        <f>X382-Grocery_Inventory_and_Sales_Dat!N382</f>
        <v>8113</v>
      </c>
    </row>
    <row r="383" spans="1:27" x14ac:dyDescent="0.3">
      <c r="A383" t="s">
        <v>1533</v>
      </c>
      <c r="B383" t="s">
        <v>109</v>
      </c>
      <c r="C383" t="s">
        <v>70</v>
      </c>
      <c r="D383" t="s">
        <v>1534</v>
      </c>
      <c r="E383" s="13" t="s">
        <v>1145</v>
      </c>
      <c r="G383" s="2">
        <v>80</v>
      </c>
      <c r="H383">
        <v>43</v>
      </c>
      <c r="I383">
        <v>80</v>
      </c>
      <c r="J383" t="s">
        <v>55</v>
      </c>
      <c r="K383">
        <v>0</v>
      </c>
      <c r="L383" t="s">
        <v>41</v>
      </c>
      <c r="M383" s="12">
        <v>7</v>
      </c>
      <c r="N383" s="3">
        <f>G383*M383</f>
        <v>560</v>
      </c>
      <c r="O383" s="1">
        <v>45469</v>
      </c>
      <c r="P383" s="1">
        <v>45421</v>
      </c>
      <c r="Q383" s="1">
        <v>45394</v>
      </c>
      <c r="R383">
        <v>610</v>
      </c>
      <c r="S383">
        <v>658</v>
      </c>
      <c r="T383">
        <v>685</v>
      </c>
      <c r="U383" t="str">
        <f t="shared" si="10"/>
        <v>Safe</v>
      </c>
      <c r="V383" t="s">
        <v>1535</v>
      </c>
      <c r="W383">
        <v>64</v>
      </c>
      <c r="X383" s="3">
        <f t="shared" si="11"/>
        <v>35840</v>
      </c>
      <c r="Y383">
        <v>53</v>
      </c>
      <c r="Z383" t="s">
        <v>49</v>
      </c>
      <c r="AA383" s="3">
        <f>X383-Grocery_Inventory_and_Sales_Dat!N383</f>
        <v>35280</v>
      </c>
    </row>
    <row r="384" spans="1:27" x14ac:dyDescent="0.3">
      <c r="A384" t="s">
        <v>1536</v>
      </c>
      <c r="B384" t="s">
        <v>1537</v>
      </c>
      <c r="C384" t="s">
        <v>52</v>
      </c>
      <c r="D384" t="s">
        <v>1538</v>
      </c>
      <c r="E384" s="13" t="s">
        <v>170</v>
      </c>
      <c r="G384" s="2">
        <v>100</v>
      </c>
      <c r="H384">
        <v>3</v>
      </c>
      <c r="I384">
        <v>32</v>
      </c>
      <c r="J384" t="s">
        <v>55</v>
      </c>
      <c r="K384">
        <v>0</v>
      </c>
      <c r="L384" t="s">
        <v>41</v>
      </c>
      <c r="M384" s="12">
        <v>2</v>
      </c>
      <c r="N384" s="3">
        <f>G384*M384</f>
        <v>200</v>
      </c>
      <c r="O384" s="1">
        <v>45523</v>
      </c>
      <c r="P384" s="1">
        <v>45301</v>
      </c>
      <c r="Q384" s="1">
        <v>45698</v>
      </c>
      <c r="R384">
        <v>556</v>
      </c>
      <c r="S384">
        <v>778</v>
      </c>
      <c r="T384">
        <v>381</v>
      </c>
      <c r="U384" t="str">
        <f t="shared" si="10"/>
        <v>Expiring Soon</v>
      </c>
      <c r="V384" t="s">
        <v>1539</v>
      </c>
      <c r="W384">
        <v>98</v>
      </c>
      <c r="X384" s="3">
        <f t="shared" si="11"/>
        <v>19600</v>
      </c>
      <c r="Y384">
        <v>91</v>
      </c>
      <c r="Z384" t="s">
        <v>43</v>
      </c>
      <c r="AA384" s="3">
        <f>X384-Grocery_Inventory_and_Sales_Dat!N384</f>
        <v>19400</v>
      </c>
    </row>
    <row r="385" spans="1:27" x14ac:dyDescent="0.3">
      <c r="A385" t="s">
        <v>1540</v>
      </c>
      <c r="B385" t="s">
        <v>244</v>
      </c>
      <c r="C385" t="s">
        <v>70</v>
      </c>
      <c r="D385" t="s">
        <v>1541</v>
      </c>
      <c r="E385" s="13" t="s">
        <v>1092</v>
      </c>
      <c r="G385" s="2">
        <v>21</v>
      </c>
      <c r="H385">
        <v>87</v>
      </c>
      <c r="I385">
        <v>67</v>
      </c>
      <c r="J385" t="s">
        <v>27</v>
      </c>
      <c r="K385">
        <v>87</v>
      </c>
      <c r="L385" t="s">
        <v>28</v>
      </c>
      <c r="M385" s="12">
        <v>3.1</v>
      </c>
      <c r="N385" s="3">
        <f>G385*M385</f>
        <v>65.100000000000009</v>
      </c>
      <c r="O385" s="1">
        <v>45717</v>
      </c>
      <c r="P385" s="1">
        <v>45680</v>
      </c>
      <c r="Q385" s="1">
        <v>45382</v>
      </c>
      <c r="R385">
        <v>362</v>
      </c>
      <c r="S385">
        <v>399</v>
      </c>
      <c r="T385">
        <v>697</v>
      </c>
      <c r="U385" t="str">
        <f t="shared" si="10"/>
        <v>Safe</v>
      </c>
      <c r="V385" t="s">
        <v>1542</v>
      </c>
      <c r="W385">
        <v>64</v>
      </c>
      <c r="X385" s="3">
        <f t="shared" si="11"/>
        <v>4166.4000000000005</v>
      </c>
      <c r="Y385">
        <v>69</v>
      </c>
      <c r="Z385" t="s">
        <v>30</v>
      </c>
      <c r="AA385" s="3">
        <f>X385-Grocery_Inventory_and_Sales_Dat!N385</f>
        <v>4101.3</v>
      </c>
    </row>
    <row r="386" spans="1:27" x14ac:dyDescent="0.3">
      <c r="A386" t="s">
        <v>1543</v>
      </c>
      <c r="B386" t="s">
        <v>1544</v>
      </c>
      <c r="C386" t="s">
        <v>64</v>
      </c>
      <c r="D386" t="s">
        <v>1545</v>
      </c>
      <c r="E386" s="13" t="s">
        <v>767</v>
      </c>
      <c r="G386" s="2">
        <v>33</v>
      </c>
      <c r="H386">
        <v>78</v>
      </c>
      <c r="I386">
        <v>79</v>
      </c>
      <c r="J386" t="s">
        <v>27</v>
      </c>
      <c r="K386">
        <v>78</v>
      </c>
      <c r="L386" t="s">
        <v>28</v>
      </c>
      <c r="M386" s="12">
        <v>5</v>
      </c>
      <c r="N386" s="3">
        <f>G386*M386</f>
        <v>165</v>
      </c>
      <c r="O386" s="1">
        <v>45423</v>
      </c>
      <c r="P386" s="1">
        <v>45603</v>
      </c>
      <c r="Q386" s="1">
        <v>45403</v>
      </c>
      <c r="R386">
        <v>656</v>
      </c>
      <c r="S386">
        <v>476</v>
      </c>
      <c r="T386">
        <v>676</v>
      </c>
      <c r="U386" t="str">
        <f t="shared" si="10"/>
        <v>Safe</v>
      </c>
      <c r="V386" t="s">
        <v>1546</v>
      </c>
      <c r="W386">
        <v>60</v>
      </c>
      <c r="X386" s="3">
        <f t="shared" si="11"/>
        <v>9900</v>
      </c>
      <c r="Y386">
        <v>25</v>
      </c>
      <c r="Z386" t="s">
        <v>30</v>
      </c>
      <c r="AA386" s="3">
        <f>X386-Grocery_Inventory_and_Sales_Dat!N386</f>
        <v>9735</v>
      </c>
    </row>
    <row r="387" spans="1:27" x14ac:dyDescent="0.3">
      <c r="A387" t="s">
        <v>1547</v>
      </c>
      <c r="B387" t="s">
        <v>1240</v>
      </c>
      <c r="C387" t="s">
        <v>52</v>
      </c>
      <c r="D387" t="s">
        <v>1548</v>
      </c>
      <c r="E387" s="13" t="s">
        <v>1128</v>
      </c>
      <c r="G387" s="2">
        <v>43</v>
      </c>
      <c r="H387">
        <v>63</v>
      </c>
      <c r="I387">
        <v>99</v>
      </c>
      <c r="J387" t="s">
        <v>27</v>
      </c>
      <c r="K387">
        <v>63</v>
      </c>
      <c r="L387" t="s">
        <v>28</v>
      </c>
      <c r="M387" s="12">
        <v>3.5</v>
      </c>
      <c r="N387" s="3">
        <f>G387*M387</f>
        <v>150.5</v>
      </c>
      <c r="O387" s="1">
        <v>45515</v>
      </c>
      <c r="P387" s="1">
        <v>45639</v>
      </c>
      <c r="Q387" s="1">
        <v>45669</v>
      </c>
      <c r="R387">
        <v>564</v>
      </c>
      <c r="S387">
        <v>440</v>
      </c>
      <c r="T387">
        <v>410</v>
      </c>
      <c r="U387" t="str">
        <f t="shared" ref="U387:U450" si="12">IF(T387&lt;0,"Expired",IF(T387&lt;=550,"Expiring Soon","Safe"))</f>
        <v>Expiring Soon</v>
      </c>
      <c r="V387" t="s">
        <v>1549</v>
      </c>
      <c r="W387">
        <v>39</v>
      </c>
      <c r="X387" s="3">
        <f t="shared" ref="X387:X450" si="13">W387*N387</f>
        <v>5869.5</v>
      </c>
      <c r="Y387">
        <v>77</v>
      </c>
      <c r="Z387" t="s">
        <v>30</v>
      </c>
      <c r="AA387" s="3">
        <f>X387-Grocery_Inventory_and_Sales_Dat!N387</f>
        <v>5719</v>
      </c>
    </row>
    <row r="388" spans="1:27" x14ac:dyDescent="0.3">
      <c r="A388" t="s">
        <v>1550</v>
      </c>
      <c r="B388" t="s">
        <v>168</v>
      </c>
      <c r="C388" t="s">
        <v>52</v>
      </c>
      <c r="D388" t="s">
        <v>1551</v>
      </c>
      <c r="E388" s="13" t="s">
        <v>827</v>
      </c>
      <c r="G388" s="2">
        <v>34</v>
      </c>
      <c r="H388">
        <v>1</v>
      </c>
      <c r="I388">
        <v>79</v>
      </c>
      <c r="J388" t="s">
        <v>55</v>
      </c>
      <c r="K388">
        <v>0</v>
      </c>
      <c r="L388" t="s">
        <v>41</v>
      </c>
      <c r="M388" s="12">
        <v>6.2</v>
      </c>
      <c r="N388" s="3">
        <f>G388*M388</f>
        <v>210.8</v>
      </c>
      <c r="O388" s="1">
        <v>45632</v>
      </c>
      <c r="P388" s="1">
        <v>45646</v>
      </c>
      <c r="Q388" s="1">
        <v>45543</v>
      </c>
      <c r="R388">
        <v>447</v>
      </c>
      <c r="S388">
        <v>433</v>
      </c>
      <c r="T388">
        <v>536</v>
      </c>
      <c r="U388" t="str">
        <f t="shared" si="12"/>
        <v>Expiring Soon</v>
      </c>
      <c r="V388" t="s">
        <v>1552</v>
      </c>
      <c r="W388">
        <v>58</v>
      </c>
      <c r="X388" s="3">
        <f t="shared" si="13"/>
        <v>12226.400000000001</v>
      </c>
      <c r="Y388">
        <v>36</v>
      </c>
      <c r="Z388" t="s">
        <v>30</v>
      </c>
      <c r="AA388" s="3">
        <f>X388-Grocery_Inventory_and_Sales_Dat!N388</f>
        <v>12015.600000000002</v>
      </c>
    </row>
    <row r="389" spans="1:27" x14ac:dyDescent="0.3">
      <c r="A389" t="s">
        <v>1553</v>
      </c>
      <c r="B389" t="s">
        <v>1048</v>
      </c>
      <c r="C389" t="s">
        <v>138</v>
      </c>
      <c r="D389" t="s">
        <v>1554</v>
      </c>
      <c r="E389" s="13" t="s">
        <v>1010</v>
      </c>
      <c r="G389" s="2">
        <v>82</v>
      </c>
      <c r="H389">
        <v>25</v>
      </c>
      <c r="I389">
        <v>94</v>
      </c>
      <c r="J389" t="s">
        <v>55</v>
      </c>
      <c r="K389">
        <v>0</v>
      </c>
      <c r="L389" t="s">
        <v>41</v>
      </c>
      <c r="M389" s="12">
        <v>7.5</v>
      </c>
      <c r="N389" s="3">
        <f>G389*M389</f>
        <v>615</v>
      </c>
      <c r="O389" s="1">
        <v>45381</v>
      </c>
      <c r="P389" s="1">
        <v>45367</v>
      </c>
      <c r="Q389" s="1">
        <v>45703</v>
      </c>
      <c r="R389">
        <v>698</v>
      </c>
      <c r="S389">
        <v>712</v>
      </c>
      <c r="T389">
        <v>376</v>
      </c>
      <c r="U389" t="str">
        <f t="shared" si="12"/>
        <v>Expiring Soon</v>
      </c>
      <c r="V389" t="s">
        <v>1555</v>
      </c>
      <c r="W389">
        <v>66</v>
      </c>
      <c r="X389" s="3">
        <f t="shared" si="13"/>
        <v>40590</v>
      </c>
      <c r="Y389">
        <v>14</v>
      </c>
      <c r="Z389" t="s">
        <v>43</v>
      </c>
      <c r="AA389" s="3">
        <f>X389-Grocery_Inventory_and_Sales_Dat!N389</f>
        <v>39975</v>
      </c>
    </row>
    <row r="390" spans="1:27" x14ac:dyDescent="0.3">
      <c r="A390" t="s">
        <v>1556</v>
      </c>
      <c r="B390" t="s">
        <v>1557</v>
      </c>
      <c r="C390" t="s">
        <v>95</v>
      </c>
      <c r="D390" t="s">
        <v>1558</v>
      </c>
      <c r="E390" s="13" t="s">
        <v>1263</v>
      </c>
      <c r="G390" s="2">
        <v>17</v>
      </c>
      <c r="H390">
        <v>63</v>
      </c>
      <c r="I390">
        <v>3</v>
      </c>
      <c r="J390" t="s">
        <v>27</v>
      </c>
      <c r="K390">
        <v>63</v>
      </c>
      <c r="L390" t="s">
        <v>28</v>
      </c>
      <c r="M390" s="12">
        <v>3.5</v>
      </c>
      <c r="N390" s="3">
        <f>G390*M390</f>
        <v>59.5</v>
      </c>
      <c r="O390" s="1">
        <v>45330</v>
      </c>
      <c r="P390" s="1">
        <v>45528</v>
      </c>
      <c r="Q390" s="1">
        <v>45653</v>
      </c>
      <c r="R390">
        <v>749</v>
      </c>
      <c r="S390">
        <v>551</v>
      </c>
      <c r="T390">
        <v>426</v>
      </c>
      <c r="U390" t="str">
        <f t="shared" si="12"/>
        <v>Expiring Soon</v>
      </c>
      <c r="V390" t="s">
        <v>1559</v>
      </c>
      <c r="W390">
        <v>93</v>
      </c>
      <c r="X390" s="3">
        <f t="shared" si="13"/>
        <v>5533.5</v>
      </c>
      <c r="Y390">
        <v>26</v>
      </c>
      <c r="Z390" t="s">
        <v>43</v>
      </c>
      <c r="AA390" s="3">
        <f>X390-Grocery_Inventory_and_Sales_Dat!N390</f>
        <v>5474</v>
      </c>
    </row>
    <row r="391" spans="1:27" x14ac:dyDescent="0.3">
      <c r="A391" t="s">
        <v>1560</v>
      </c>
      <c r="B391" t="s">
        <v>23</v>
      </c>
      <c r="C391" t="s">
        <v>24</v>
      </c>
      <c r="D391" t="s">
        <v>1561</v>
      </c>
      <c r="E391" s="13" t="s">
        <v>1267</v>
      </c>
      <c r="G391" s="2">
        <v>36</v>
      </c>
      <c r="H391">
        <v>81</v>
      </c>
      <c r="I391">
        <v>54</v>
      </c>
      <c r="J391" t="s">
        <v>27</v>
      </c>
      <c r="K391">
        <v>81</v>
      </c>
      <c r="L391" t="s">
        <v>28</v>
      </c>
      <c r="M391" s="12">
        <v>4.75</v>
      </c>
      <c r="N391" s="3">
        <f>G391*M391</f>
        <v>171</v>
      </c>
      <c r="O391" s="1">
        <v>45480</v>
      </c>
      <c r="P391" s="1">
        <v>45646</v>
      </c>
      <c r="Q391" s="1">
        <v>45535</v>
      </c>
      <c r="R391">
        <v>599</v>
      </c>
      <c r="S391">
        <v>433</v>
      </c>
      <c r="T391">
        <v>544</v>
      </c>
      <c r="U391" t="str">
        <f t="shared" si="12"/>
        <v>Expiring Soon</v>
      </c>
      <c r="V391" t="s">
        <v>1562</v>
      </c>
      <c r="W391">
        <v>73</v>
      </c>
      <c r="X391" s="3">
        <f t="shared" si="13"/>
        <v>12483</v>
      </c>
      <c r="Y391">
        <v>60</v>
      </c>
      <c r="Z391" t="s">
        <v>30</v>
      </c>
      <c r="AA391" s="3">
        <f>X391-Grocery_Inventory_and_Sales_Dat!N391</f>
        <v>12312</v>
      </c>
    </row>
    <row r="392" spans="1:27" x14ac:dyDescent="0.3">
      <c r="A392" t="s">
        <v>1563</v>
      </c>
      <c r="B392" t="s">
        <v>538</v>
      </c>
      <c r="C392" t="s">
        <v>138</v>
      </c>
      <c r="D392" t="s">
        <v>1564</v>
      </c>
      <c r="E392" s="13" t="s">
        <v>251</v>
      </c>
      <c r="G392" s="2">
        <v>65</v>
      </c>
      <c r="H392">
        <v>79</v>
      </c>
      <c r="I392">
        <v>52</v>
      </c>
      <c r="J392" t="s">
        <v>27</v>
      </c>
      <c r="K392">
        <v>79</v>
      </c>
      <c r="L392" t="s">
        <v>28</v>
      </c>
      <c r="M392" s="12">
        <v>8</v>
      </c>
      <c r="N392" s="3">
        <f>G392*M392</f>
        <v>520</v>
      </c>
      <c r="O392" s="1">
        <v>45631</v>
      </c>
      <c r="P392" s="1">
        <v>45361</v>
      </c>
      <c r="Q392" s="1">
        <v>45442</v>
      </c>
      <c r="R392">
        <v>448</v>
      </c>
      <c r="S392">
        <v>718</v>
      </c>
      <c r="T392">
        <v>637</v>
      </c>
      <c r="U392" t="str">
        <f t="shared" si="12"/>
        <v>Safe</v>
      </c>
      <c r="V392" t="s">
        <v>1565</v>
      </c>
      <c r="W392">
        <v>56</v>
      </c>
      <c r="X392" s="3">
        <f t="shared" si="13"/>
        <v>29120</v>
      </c>
      <c r="Y392">
        <v>94</v>
      </c>
      <c r="Z392" t="s">
        <v>30</v>
      </c>
      <c r="AA392" s="3">
        <f>X392-Grocery_Inventory_and_Sales_Dat!N392</f>
        <v>28600</v>
      </c>
    </row>
    <row r="393" spans="1:27" x14ac:dyDescent="0.3">
      <c r="A393" t="s">
        <v>1566</v>
      </c>
      <c r="B393" t="s">
        <v>1211</v>
      </c>
      <c r="C393" t="s">
        <v>52</v>
      </c>
      <c r="D393" t="s">
        <v>1567</v>
      </c>
      <c r="E393" s="13" t="s">
        <v>319</v>
      </c>
      <c r="G393" s="2">
        <v>45</v>
      </c>
      <c r="H393">
        <v>28</v>
      </c>
      <c r="I393">
        <v>6</v>
      </c>
      <c r="J393" t="s">
        <v>55</v>
      </c>
      <c r="K393">
        <v>0</v>
      </c>
      <c r="L393" t="s">
        <v>41</v>
      </c>
      <c r="M393" s="12">
        <v>4.5</v>
      </c>
      <c r="N393" s="3">
        <f>G393*M393</f>
        <v>202.5</v>
      </c>
      <c r="O393" s="1">
        <v>45369</v>
      </c>
      <c r="P393" s="1">
        <v>45680</v>
      </c>
      <c r="Q393" s="1">
        <v>45526</v>
      </c>
      <c r="R393">
        <v>710</v>
      </c>
      <c r="S393">
        <v>399</v>
      </c>
      <c r="T393">
        <v>553</v>
      </c>
      <c r="U393" t="str">
        <f t="shared" si="12"/>
        <v>Safe</v>
      </c>
      <c r="V393" t="s">
        <v>1568</v>
      </c>
      <c r="W393">
        <v>35</v>
      </c>
      <c r="X393" s="3">
        <f t="shared" si="13"/>
        <v>7087.5</v>
      </c>
      <c r="Y393">
        <v>16</v>
      </c>
      <c r="Z393" t="s">
        <v>30</v>
      </c>
      <c r="AA393" s="3">
        <f>X393-Grocery_Inventory_and_Sales_Dat!N393</f>
        <v>6885</v>
      </c>
    </row>
    <row r="394" spans="1:27" x14ac:dyDescent="0.3">
      <c r="A394" t="s">
        <v>1569</v>
      </c>
      <c r="B394" t="s">
        <v>69</v>
      </c>
      <c r="C394" t="s">
        <v>70</v>
      </c>
      <c r="D394" t="s">
        <v>1570</v>
      </c>
      <c r="E394" s="13" t="s">
        <v>419</v>
      </c>
      <c r="G394" s="2">
        <v>35</v>
      </c>
      <c r="H394">
        <v>78</v>
      </c>
      <c r="I394">
        <v>68</v>
      </c>
      <c r="J394" t="s">
        <v>27</v>
      </c>
      <c r="K394">
        <v>78</v>
      </c>
      <c r="L394" t="s">
        <v>28</v>
      </c>
      <c r="M394" s="12">
        <v>2.5</v>
      </c>
      <c r="N394" s="3">
        <f>G394*M394</f>
        <v>87.5</v>
      </c>
      <c r="O394" s="1">
        <v>45630</v>
      </c>
      <c r="P394" s="1">
        <v>45676</v>
      </c>
      <c r="Q394" s="1">
        <v>45477</v>
      </c>
      <c r="R394">
        <v>449</v>
      </c>
      <c r="S394">
        <v>403</v>
      </c>
      <c r="T394">
        <v>602</v>
      </c>
      <c r="U394" t="str">
        <f t="shared" si="12"/>
        <v>Safe</v>
      </c>
      <c r="V394" t="s">
        <v>1571</v>
      </c>
      <c r="W394">
        <v>95</v>
      </c>
      <c r="X394" s="3">
        <f t="shared" si="13"/>
        <v>8312.5</v>
      </c>
      <c r="Y394">
        <v>91</v>
      </c>
      <c r="Z394" t="s">
        <v>30</v>
      </c>
      <c r="AA394" s="3">
        <f>X394-Grocery_Inventory_and_Sales_Dat!N394</f>
        <v>8225</v>
      </c>
    </row>
    <row r="395" spans="1:27" x14ac:dyDescent="0.3">
      <c r="A395" t="s">
        <v>1572</v>
      </c>
      <c r="B395" t="s">
        <v>114</v>
      </c>
      <c r="C395" t="s">
        <v>24</v>
      </c>
      <c r="D395" t="s">
        <v>1573</v>
      </c>
      <c r="E395" s="13" t="s">
        <v>1574</v>
      </c>
      <c r="G395" s="2">
        <v>96</v>
      </c>
      <c r="H395">
        <v>83</v>
      </c>
      <c r="I395">
        <v>50</v>
      </c>
      <c r="J395" t="s">
        <v>55</v>
      </c>
      <c r="K395">
        <v>0</v>
      </c>
      <c r="L395" t="s">
        <v>41</v>
      </c>
      <c r="M395" s="12">
        <v>1.5</v>
      </c>
      <c r="N395" s="3">
        <f>G395*M395</f>
        <v>144</v>
      </c>
      <c r="O395" s="1">
        <v>45392</v>
      </c>
      <c r="P395" s="1">
        <v>45381</v>
      </c>
      <c r="Q395" s="1">
        <v>45442</v>
      </c>
      <c r="R395">
        <v>687</v>
      </c>
      <c r="S395">
        <v>698</v>
      </c>
      <c r="T395">
        <v>637</v>
      </c>
      <c r="U395" t="str">
        <f t="shared" si="12"/>
        <v>Safe</v>
      </c>
      <c r="V395" t="s">
        <v>1575</v>
      </c>
      <c r="W395">
        <v>81</v>
      </c>
      <c r="X395" s="3">
        <f t="shared" si="13"/>
        <v>11664</v>
      </c>
      <c r="Y395">
        <v>89</v>
      </c>
      <c r="Z395" t="s">
        <v>30</v>
      </c>
      <c r="AA395" s="3">
        <f>X395-Grocery_Inventory_and_Sales_Dat!N395</f>
        <v>11520</v>
      </c>
    </row>
    <row r="396" spans="1:27" x14ac:dyDescent="0.3">
      <c r="A396" t="s">
        <v>1576</v>
      </c>
      <c r="B396" t="s">
        <v>534</v>
      </c>
      <c r="C396" t="s">
        <v>52</v>
      </c>
      <c r="D396" t="s">
        <v>1577</v>
      </c>
      <c r="E396" s="13" t="s">
        <v>277</v>
      </c>
      <c r="G396" s="2">
        <v>56</v>
      </c>
      <c r="H396">
        <v>75</v>
      </c>
      <c r="I396">
        <v>13</v>
      </c>
      <c r="J396" t="s">
        <v>27</v>
      </c>
      <c r="K396">
        <v>75</v>
      </c>
      <c r="L396" t="s">
        <v>28</v>
      </c>
      <c r="M396" s="12">
        <v>5</v>
      </c>
      <c r="N396" s="3">
        <f>G396*M396</f>
        <v>280</v>
      </c>
      <c r="O396" s="1">
        <v>45391</v>
      </c>
      <c r="P396" s="1">
        <v>45386</v>
      </c>
      <c r="Q396" s="1">
        <v>45433</v>
      </c>
      <c r="R396">
        <v>688</v>
      </c>
      <c r="S396">
        <v>693</v>
      </c>
      <c r="T396">
        <v>646</v>
      </c>
      <c r="U396" t="str">
        <f t="shared" si="12"/>
        <v>Safe</v>
      </c>
      <c r="V396" t="s">
        <v>1578</v>
      </c>
      <c r="W396">
        <v>42</v>
      </c>
      <c r="X396" s="3">
        <f t="shared" si="13"/>
        <v>11760</v>
      </c>
      <c r="Y396">
        <v>53</v>
      </c>
      <c r="Z396" t="s">
        <v>43</v>
      </c>
      <c r="AA396" s="3">
        <f>X396-Grocery_Inventory_and_Sales_Dat!N396</f>
        <v>11480</v>
      </c>
    </row>
    <row r="397" spans="1:27" x14ac:dyDescent="0.3">
      <c r="A397" t="s">
        <v>1579</v>
      </c>
      <c r="B397" t="s">
        <v>334</v>
      </c>
      <c r="C397" t="s">
        <v>70</v>
      </c>
      <c r="D397" t="s">
        <v>1580</v>
      </c>
      <c r="E397" s="13" t="s">
        <v>602</v>
      </c>
      <c r="G397" s="2">
        <v>49</v>
      </c>
      <c r="H397">
        <v>94</v>
      </c>
      <c r="I397">
        <v>18</v>
      </c>
      <c r="J397" t="s">
        <v>27</v>
      </c>
      <c r="K397">
        <v>94</v>
      </c>
      <c r="L397" t="s">
        <v>28</v>
      </c>
      <c r="M397" s="12">
        <v>6</v>
      </c>
      <c r="N397" s="3">
        <f>G397*M397</f>
        <v>294</v>
      </c>
      <c r="O397" s="1">
        <v>45638</v>
      </c>
      <c r="P397" s="1">
        <v>45573</v>
      </c>
      <c r="Q397" s="1">
        <v>45398</v>
      </c>
      <c r="R397">
        <v>441</v>
      </c>
      <c r="S397">
        <v>506</v>
      </c>
      <c r="T397">
        <v>681</v>
      </c>
      <c r="U397" t="str">
        <f t="shared" si="12"/>
        <v>Safe</v>
      </c>
      <c r="V397" t="s">
        <v>1581</v>
      </c>
      <c r="W397">
        <v>38</v>
      </c>
      <c r="X397" s="3">
        <f t="shared" si="13"/>
        <v>11172</v>
      </c>
      <c r="Y397">
        <v>11</v>
      </c>
      <c r="Z397" t="s">
        <v>49</v>
      </c>
      <c r="AA397" s="3">
        <f>X397-Grocery_Inventory_and_Sales_Dat!N397</f>
        <v>10878</v>
      </c>
    </row>
    <row r="398" spans="1:27" x14ac:dyDescent="0.3">
      <c r="A398" t="s">
        <v>1582</v>
      </c>
      <c r="B398" t="s">
        <v>158</v>
      </c>
      <c r="C398" t="s">
        <v>24</v>
      </c>
      <c r="D398" t="s">
        <v>1583</v>
      </c>
      <c r="E398" s="13" t="s">
        <v>438</v>
      </c>
      <c r="G398" s="2">
        <v>100</v>
      </c>
      <c r="H398">
        <v>10</v>
      </c>
      <c r="I398">
        <v>89</v>
      </c>
      <c r="J398" t="s">
        <v>55</v>
      </c>
      <c r="K398">
        <v>0</v>
      </c>
      <c r="L398" t="s">
        <v>41</v>
      </c>
      <c r="M398" s="12">
        <v>1.5</v>
      </c>
      <c r="N398" s="3">
        <f>G398*M398</f>
        <v>150</v>
      </c>
      <c r="O398" s="1">
        <v>45405</v>
      </c>
      <c r="P398" s="1">
        <v>45658</v>
      </c>
      <c r="Q398" s="1">
        <v>45464</v>
      </c>
      <c r="R398">
        <v>674</v>
      </c>
      <c r="S398">
        <v>421</v>
      </c>
      <c r="T398">
        <v>615</v>
      </c>
      <c r="U398" t="str">
        <f t="shared" si="12"/>
        <v>Safe</v>
      </c>
      <c r="V398" t="s">
        <v>1584</v>
      </c>
      <c r="W398">
        <v>76</v>
      </c>
      <c r="X398" s="3">
        <f t="shared" si="13"/>
        <v>11400</v>
      </c>
      <c r="Y398">
        <v>38</v>
      </c>
      <c r="Z398" t="s">
        <v>43</v>
      </c>
      <c r="AA398" s="3">
        <f>X398-Grocery_Inventory_and_Sales_Dat!N398</f>
        <v>11250</v>
      </c>
    </row>
    <row r="399" spans="1:27" x14ac:dyDescent="0.3">
      <c r="A399" t="s">
        <v>1585</v>
      </c>
      <c r="B399" t="s">
        <v>202</v>
      </c>
      <c r="C399" t="s">
        <v>138</v>
      </c>
      <c r="D399" t="s">
        <v>1586</v>
      </c>
      <c r="E399" s="13" t="s">
        <v>1587</v>
      </c>
      <c r="G399" s="2">
        <v>30</v>
      </c>
      <c r="H399">
        <v>81</v>
      </c>
      <c r="I399">
        <v>99</v>
      </c>
      <c r="J399" t="s">
        <v>27</v>
      </c>
      <c r="K399">
        <v>81</v>
      </c>
      <c r="L399" t="s">
        <v>28</v>
      </c>
      <c r="M399" s="12">
        <v>9</v>
      </c>
      <c r="N399" s="3">
        <f>G399*M399</f>
        <v>270</v>
      </c>
      <c r="O399" s="1">
        <v>45495</v>
      </c>
      <c r="P399" s="1">
        <v>45687</v>
      </c>
      <c r="Q399" s="1">
        <v>45458</v>
      </c>
      <c r="R399">
        <v>584</v>
      </c>
      <c r="S399">
        <v>392</v>
      </c>
      <c r="T399">
        <v>621</v>
      </c>
      <c r="U399" t="str">
        <f t="shared" si="12"/>
        <v>Safe</v>
      </c>
      <c r="V399" t="s">
        <v>1588</v>
      </c>
      <c r="W399">
        <v>99</v>
      </c>
      <c r="X399" s="3">
        <f t="shared" si="13"/>
        <v>26730</v>
      </c>
      <c r="Y399">
        <v>3</v>
      </c>
      <c r="Z399" t="s">
        <v>43</v>
      </c>
      <c r="AA399" s="3">
        <f>X399-Grocery_Inventory_and_Sales_Dat!N399</f>
        <v>26460</v>
      </c>
    </row>
    <row r="400" spans="1:27" x14ac:dyDescent="0.3">
      <c r="A400" t="s">
        <v>1589</v>
      </c>
      <c r="B400" t="s">
        <v>1211</v>
      </c>
      <c r="C400" t="s">
        <v>52</v>
      </c>
      <c r="D400" t="s">
        <v>1590</v>
      </c>
      <c r="E400" s="13" t="s">
        <v>47</v>
      </c>
      <c r="G400" s="2">
        <v>20</v>
      </c>
      <c r="H400">
        <v>91</v>
      </c>
      <c r="I400">
        <v>12</v>
      </c>
      <c r="J400" t="s">
        <v>27</v>
      </c>
      <c r="K400">
        <v>91</v>
      </c>
      <c r="L400" t="s">
        <v>28</v>
      </c>
      <c r="M400" s="12">
        <v>4.5</v>
      </c>
      <c r="N400" s="3">
        <f>G400*M400</f>
        <v>90</v>
      </c>
      <c r="O400" s="1">
        <v>45622</v>
      </c>
      <c r="P400" s="1">
        <v>45639</v>
      </c>
      <c r="Q400" s="1">
        <v>45627</v>
      </c>
      <c r="R400">
        <v>457</v>
      </c>
      <c r="S400">
        <v>440</v>
      </c>
      <c r="T400">
        <v>452</v>
      </c>
      <c r="U400" t="str">
        <f t="shared" si="12"/>
        <v>Expiring Soon</v>
      </c>
      <c r="V400" t="s">
        <v>1591</v>
      </c>
      <c r="W400">
        <v>35</v>
      </c>
      <c r="X400" s="3">
        <f t="shared" si="13"/>
        <v>3150</v>
      </c>
      <c r="Y400">
        <v>50</v>
      </c>
      <c r="Z400" t="s">
        <v>49</v>
      </c>
      <c r="AA400" s="3">
        <f>X400-Grocery_Inventory_and_Sales_Dat!N400</f>
        <v>3060</v>
      </c>
    </row>
    <row r="401" spans="1:27" x14ac:dyDescent="0.3">
      <c r="A401" t="s">
        <v>1592</v>
      </c>
      <c r="B401" t="s">
        <v>743</v>
      </c>
      <c r="C401" t="s">
        <v>64</v>
      </c>
      <c r="D401" t="s">
        <v>1593</v>
      </c>
      <c r="E401" s="13" t="s">
        <v>1594</v>
      </c>
      <c r="G401" s="2">
        <v>85</v>
      </c>
      <c r="H401">
        <v>15</v>
      </c>
      <c r="I401">
        <v>16</v>
      </c>
      <c r="J401" t="s">
        <v>55</v>
      </c>
      <c r="K401">
        <v>0</v>
      </c>
      <c r="L401" t="s">
        <v>41</v>
      </c>
      <c r="M401" s="12">
        <v>6.5</v>
      </c>
      <c r="N401" s="3">
        <f>G401*M401</f>
        <v>552.5</v>
      </c>
      <c r="O401" s="1">
        <v>45425</v>
      </c>
      <c r="P401" s="1">
        <v>45707</v>
      </c>
      <c r="Q401" s="1">
        <v>45488</v>
      </c>
      <c r="R401">
        <v>654</v>
      </c>
      <c r="S401">
        <v>372</v>
      </c>
      <c r="T401">
        <v>591</v>
      </c>
      <c r="U401" t="str">
        <f t="shared" si="12"/>
        <v>Safe</v>
      </c>
      <c r="V401" t="s">
        <v>1595</v>
      </c>
      <c r="W401">
        <v>46</v>
      </c>
      <c r="X401" s="3">
        <f t="shared" si="13"/>
        <v>25415</v>
      </c>
      <c r="Y401">
        <v>24</v>
      </c>
      <c r="Z401" t="s">
        <v>30</v>
      </c>
      <c r="AA401" s="3">
        <f>X401-Grocery_Inventory_and_Sales_Dat!N401</f>
        <v>24862.5</v>
      </c>
    </row>
    <row r="402" spans="1:27" x14ac:dyDescent="0.3">
      <c r="A402" t="s">
        <v>1596</v>
      </c>
      <c r="B402" t="s">
        <v>143</v>
      </c>
      <c r="C402" t="s">
        <v>52</v>
      </c>
      <c r="D402" t="s">
        <v>1597</v>
      </c>
      <c r="E402" s="13" t="s">
        <v>827</v>
      </c>
      <c r="G402" s="2">
        <v>86</v>
      </c>
      <c r="H402">
        <v>90</v>
      </c>
      <c r="I402">
        <v>39</v>
      </c>
      <c r="J402" t="s">
        <v>27</v>
      </c>
      <c r="K402">
        <v>90</v>
      </c>
      <c r="L402" t="s">
        <v>28</v>
      </c>
      <c r="M402" s="12">
        <v>2.1</v>
      </c>
      <c r="N402" s="3">
        <f>G402*M402</f>
        <v>180.6</v>
      </c>
      <c r="O402" s="1">
        <v>45585</v>
      </c>
      <c r="P402" s="1">
        <v>45350</v>
      </c>
      <c r="Q402" s="1">
        <v>45542</v>
      </c>
      <c r="R402">
        <v>494</v>
      </c>
      <c r="S402">
        <v>729</v>
      </c>
      <c r="T402">
        <v>537</v>
      </c>
      <c r="U402" t="str">
        <f t="shared" si="12"/>
        <v>Expiring Soon</v>
      </c>
      <c r="V402" t="s">
        <v>1598</v>
      </c>
      <c r="W402">
        <v>98</v>
      </c>
      <c r="X402" s="3">
        <f t="shared" si="13"/>
        <v>17698.8</v>
      </c>
      <c r="Y402">
        <v>85</v>
      </c>
      <c r="Z402" t="s">
        <v>49</v>
      </c>
      <c r="AA402" s="3">
        <f>X402-Grocery_Inventory_and_Sales_Dat!N402</f>
        <v>17518.2</v>
      </c>
    </row>
    <row r="403" spans="1:27" x14ac:dyDescent="0.3">
      <c r="A403" t="s">
        <v>1599</v>
      </c>
      <c r="B403" t="s">
        <v>271</v>
      </c>
      <c r="C403" t="s">
        <v>95</v>
      </c>
      <c r="D403" t="s">
        <v>1600</v>
      </c>
      <c r="E403" s="13" t="s">
        <v>1601</v>
      </c>
      <c r="G403" s="2">
        <v>65</v>
      </c>
      <c r="H403">
        <v>79</v>
      </c>
      <c r="I403">
        <v>49</v>
      </c>
      <c r="J403" t="s">
        <v>27</v>
      </c>
      <c r="K403">
        <v>79</v>
      </c>
      <c r="L403" t="s">
        <v>28</v>
      </c>
      <c r="M403" s="12">
        <v>4</v>
      </c>
      <c r="N403" s="3">
        <f>G403*M403</f>
        <v>260</v>
      </c>
      <c r="O403" s="1">
        <v>45326</v>
      </c>
      <c r="P403" s="1">
        <v>45571</v>
      </c>
      <c r="Q403" s="1">
        <v>45582</v>
      </c>
      <c r="R403">
        <v>753</v>
      </c>
      <c r="S403">
        <v>508</v>
      </c>
      <c r="T403">
        <v>497</v>
      </c>
      <c r="U403" t="str">
        <f t="shared" si="12"/>
        <v>Expiring Soon</v>
      </c>
      <c r="V403" t="s">
        <v>1602</v>
      </c>
      <c r="W403">
        <v>100</v>
      </c>
      <c r="X403" s="3">
        <f t="shared" si="13"/>
        <v>26000</v>
      </c>
      <c r="Y403">
        <v>9</v>
      </c>
      <c r="Z403" t="s">
        <v>30</v>
      </c>
      <c r="AA403" s="3">
        <f>X403-Grocery_Inventory_and_Sales_Dat!N403</f>
        <v>25740</v>
      </c>
    </row>
    <row r="404" spans="1:27" x14ac:dyDescent="0.3">
      <c r="A404" t="s">
        <v>1603</v>
      </c>
      <c r="B404" t="s">
        <v>498</v>
      </c>
      <c r="C404" t="s">
        <v>70</v>
      </c>
      <c r="D404" t="s">
        <v>1604</v>
      </c>
      <c r="E404" s="13" t="s">
        <v>854</v>
      </c>
      <c r="G404" s="2">
        <v>67</v>
      </c>
      <c r="H404">
        <v>98</v>
      </c>
      <c r="I404">
        <v>92</v>
      </c>
      <c r="J404" t="s">
        <v>27</v>
      </c>
      <c r="K404">
        <v>98</v>
      </c>
      <c r="L404" t="s">
        <v>28</v>
      </c>
      <c r="M404" s="12">
        <v>5</v>
      </c>
      <c r="N404" s="3">
        <f>G404*M404</f>
        <v>335</v>
      </c>
      <c r="O404" s="1">
        <v>45404</v>
      </c>
      <c r="P404" s="1">
        <v>45535</v>
      </c>
      <c r="Q404" s="1">
        <v>45633</v>
      </c>
      <c r="R404">
        <v>675</v>
      </c>
      <c r="S404">
        <v>544</v>
      </c>
      <c r="T404">
        <v>446</v>
      </c>
      <c r="U404" t="str">
        <f t="shared" si="12"/>
        <v>Expiring Soon</v>
      </c>
      <c r="V404" t="s">
        <v>1605</v>
      </c>
      <c r="W404">
        <v>35</v>
      </c>
      <c r="X404" s="3">
        <f t="shared" si="13"/>
        <v>11725</v>
      </c>
      <c r="Y404">
        <v>98</v>
      </c>
      <c r="Z404" t="s">
        <v>43</v>
      </c>
      <c r="AA404" s="3">
        <f>X404-Grocery_Inventory_and_Sales_Dat!N404</f>
        <v>11390</v>
      </c>
    </row>
    <row r="405" spans="1:27" x14ac:dyDescent="0.3">
      <c r="A405" t="s">
        <v>1606</v>
      </c>
      <c r="B405" t="s">
        <v>334</v>
      </c>
      <c r="C405" t="s">
        <v>70</v>
      </c>
      <c r="D405" t="s">
        <v>1607</v>
      </c>
      <c r="E405" s="13" t="s">
        <v>1141</v>
      </c>
      <c r="G405" s="2">
        <v>88</v>
      </c>
      <c r="H405">
        <v>4</v>
      </c>
      <c r="I405">
        <v>79</v>
      </c>
      <c r="J405" t="s">
        <v>55</v>
      </c>
      <c r="K405">
        <v>0</v>
      </c>
      <c r="L405" t="s">
        <v>41</v>
      </c>
      <c r="M405" s="12">
        <v>6</v>
      </c>
      <c r="N405" s="3">
        <f>G405*M405</f>
        <v>528</v>
      </c>
      <c r="O405" s="1">
        <v>45406</v>
      </c>
      <c r="P405" s="1">
        <v>45328</v>
      </c>
      <c r="Q405" s="1">
        <v>45518</v>
      </c>
      <c r="R405">
        <v>673</v>
      </c>
      <c r="S405">
        <v>751</v>
      </c>
      <c r="T405">
        <v>561</v>
      </c>
      <c r="U405" t="str">
        <f t="shared" si="12"/>
        <v>Safe</v>
      </c>
      <c r="V405" t="s">
        <v>1608</v>
      </c>
      <c r="W405">
        <v>23</v>
      </c>
      <c r="X405" s="3">
        <f t="shared" si="13"/>
        <v>12144</v>
      </c>
      <c r="Y405">
        <v>39</v>
      </c>
      <c r="Z405" t="s">
        <v>30</v>
      </c>
      <c r="AA405" s="3">
        <f>X405-Grocery_Inventory_and_Sales_Dat!N405</f>
        <v>11616</v>
      </c>
    </row>
    <row r="406" spans="1:27" x14ac:dyDescent="0.3">
      <c r="A406" t="s">
        <v>1609</v>
      </c>
      <c r="B406" t="s">
        <v>781</v>
      </c>
      <c r="C406" t="s">
        <v>33</v>
      </c>
      <c r="D406" t="s">
        <v>1610</v>
      </c>
      <c r="E406" s="13" t="s">
        <v>1611</v>
      </c>
      <c r="G406" s="2">
        <v>14</v>
      </c>
      <c r="H406">
        <v>77</v>
      </c>
      <c r="I406">
        <v>78</v>
      </c>
      <c r="J406" t="s">
        <v>27</v>
      </c>
      <c r="K406">
        <v>77</v>
      </c>
      <c r="L406" t="s">
        <v>28</v>
      </c>
      <c r="M406" s="12">
        <v>10</v>
      </c>
      <c r="N406" s="3">
        <f>G406*M406</f>
        <v>140</v>
      </c>
      <c r="O406" s="1">
        <v>45330</v>
      </c>
      <c r="P406" s="1">
        <v>45532</v>
      </c>
      <c r="Q406" s="1">
        <v>45536</v>
      </c>
      <c r="R406">
        <v>749</v>
      </c>
      <c r="S406">
        <v>547</v>
      </c>
      <c r="T406">
        <v>543</v>
      </c>
      <c r="U406" t="str">
        <f t="shared" si="12"/>
        <v>Expiring Soon</v>
      </c>
      <c r="V406" t="s">
        <v>1612</v>
      </c>
      <c r="W406">
        <v>32</v>
      </c>
      <c r="X406" s="3">
        <f t="shared" si="13"/>
        <v>4480</v>
      </c>
      <c r="Y406">
        <v>24</v>
      </c>
      <c r="Z406" t="s">
        <v>30</v>
      </c>
      <c r="AA406" s="3">
        <f>X406-Grocery_Inventory_and_Sales_Dat!N406</f>
        <v>4340</v>
      </c>
    </row>
    <row r="407" spans="1:27" x14ac:dyDescent="0.3">
      <c r="A407" t="s">
        <v>1613</v>
      </c>
      <c r="B407" t="s">
        <v>514</v>
      </c>
      <c r="C407" t="s">
        <v>138</v>
      </c>
      <c r="D407" t="s">
        <v>1614</v>
      </c>
      <c r="E407" s="13" t="s">
        <v>1310</v>
      </c>
      <c r="G407" s="2">
        <v>85</v>
      </c>
      <c r="H407">
        <v>92</v>
      </c>
      <c r="I407">
        <v>66</v>
      </c>
      <c r="J407" t="s">
        <v>27</v>
      </c>
      <c r="K407">
        <v>92</v>
      </c>
      <c r="L407" t="s">
        <v>28</v>
      </c>
      <c r="M407" s="12">
        <v>6.7</v>
      </c>
      <c r="N407" s="3">
        <f>G407*M407</f>
        <v>569.5</v>
      </c>
      <c r="O407" s="1">
        <v>45379</v>
      </c>
      <c r="P407" s="1">
        <v>45658</v>
      </c>
      <c r="Q407" s="1">
        <v>45415</v>
      </c>
      <c r="R407">
        <v>700</v>
      </c>
      <c r="S407">
        <v>421</v>
      </c>
      <c r="T407">
        <v>664</v>
      </c>
      <c r="U407" t="str">
        <f t="shared" si="12"/>
        <v>Safe</v>
      </c>
      <c r="V407" t="s">
        <v>1615</v>
      </c>
      <c r="W407">
        <v>54</v>
      </c>
      <c r="X407" s="3">
        <f t="shared" si="13"/>
        <v>30753</v>
      </c>
      <c r="Y407">
        <v>85</v>
      </c>
      <c r="Z407" t="s">
        <v>43</v>
      </c>
      <c r="AA407" s="3">
        <f>X407-Grocery_Inventory_and_Sales_Dat!N407</f>
        <v>30183.5</v>
      </c>
    </row>
    <row r="408" spans="1:27" x14ac:dyDescent="0.3">
      <c r="A408" t="s">
        <v>1616</v>
      </c>
      <c r="B408" t="s">
        <v>109</v>
      </c>
      <c r="C408" t="s">
        <v>70</v>
      </c>
      <c r="D408" t="s">
        <v>1617</v>
      </c>
      <c r="E408" s="13" t="s">
        <v>77</v>
      </c>
      <c r="G408" s="2">
        <v>74</v>
      </c>
      <c r="H408">
        <v>65</v>
      </c>
      <c r="I408">
        <v>5</v>
      </c>
      <c r="J408" t="s">
        <v>55</v>
      </c>
      <c r="K408">
        <v>0</v>
      </c>
      <c r="L408" t="s">
        <v>41</v>
      </c>
      <c r="M408" s="12">
        <v>7</v>
      </c>
      <c r="N408" s="3">
        <f>G408*M408</f>
        <v>518</v>
      </c>
      <c r="O408" s="1">
        <v>45687</v>
      </c>
      <c r="P408" s="1">
        <v>45500</v>
      </c>
      <c r="Q408" s="1">
        <v>45367</v>
      </c>
      <c r="R408">
        <v>392</v>
      </c>
      <c r="S408">
        <v>579</v>
      </c>
      <c r="T408">
        <v>712</v>
      </c>
      <c r="U408" t="str">
        <f t="shared" si="12"/>
        <v>Safe</v>
      </c>
      <c r="V408" t="s">
        <v>1618</v>
      </c>
      <c r="W408">
        <v>21</v>
      </c>
      <c r="X408" s="3">
        <f t="shared" si="13"/>
        <v>10878</v>
      </c>
      <c r="Y408">
        <v>42</v>
      </c>
      <c r="Z408" t="s">
        <v>30</v>
      </c>
      <c r="AA408" s="3">
        <f>X408-Grocery_Inventory_and_Sales_Dat!N408</f>
        <v>10360</v>
      </c>
    </row>
    <row r="409" spans="1:27" x14ac:dyDescent="0.3">
      <c r="A409" t="s">
        <v>1619</v>
      </c>
      <c r="B409" t="s">
        <v>725</v>
      </c>
      <c r="C409" t="s">
        <v>70</v>
      </c>
      <c r="D409" t="s">
        <v>1620</v>
      </c>
      <c r="E409" s="13" t="s">
        <v>1621</v>
      </c>
      <c r="G409" s="2">
        <v>21</v>
      </c>
      <c r="H409">
        <v>28</v>
      </c>
      <c r="I409">
        <v>72</v>
      </c>
      <c r="J409" t="s">
        <v>27</v>
      </c>
      <c r="K409">
        <v>28</v>
      </c>
      <c r="L409" t="s">
        <v>41</v>
      </c>
      <c r="M409" s="12">
        <v>9</v>
      </c>
      <c r="N409" s="3">
        <f>G409*M409</f>
        <v>189</v>
      </c>
      <c r="O409" s="1">
        <v>45685</v>
      </c>
      <c r="P409" s="1">
        <v>45350</v>
      </c>
      <c r="Q409" s="1">
        <v>45347</v>
      </c>
      <c r="R409">
        <v>394</v>
      </c>
      <c r="S409">
        <v>729</v>
      </c>
      <c r="T409">
        <v>732</v>
      </c>
      <c r="U409" t="str">
        <f t="shared" si="12"/>
        <v>Safe</v>
      </c>
      <c r="V409" t="s">
        <v>1622</v>
      </c>
      <c r="W409">
        <v>69</v>
      </c>
      <c r="X409" s="3">
        <f t="shared" si="13"/>
        <v>13041</v>
      </c>
      <c r="Y409">
        <v>51</v>
      </c>
      <c r="Z409" t="s">
        <v>43</v>
      </c>
      <c r="AA409" s="3">
        <f>X409-Grocery_Inventory_and_Sales_Dat!N409</f>
        <v>12852</v>
      </c>
    </row>
    <row r="410" spans="1:27" x14ac:dyDescent="0.3">
      <c r="A410" t="s">
        <v>1623</v>
      </c>
      <c r="B410" t="s">
        <v>403</v>
      </c>
      <c r="C410" t="s">
        <v>95</v>
      </c>
      <c r="D410" t="s">
        <v>1624</v>
      </c>
      <c r="E410" s="13" t="s">
        <v>913</v>
      </c>
      <c r="G410" s="2">
        <v>22</v>
      </c>
      <c r="H410">
        <v>24</v>
      </c>
      <c r="I410">
        <v>94</v>
      </c>
      <c r="J410" t="s">
        <v>27</v>
      </c>
      <c r="K410">
        <v>24</v>
      </c>
      <c r="L410" t="s">
        <v>41</v>
      </c>
      <c r="M410" s="12">
        <v>6</v>
      </c>
      <c r="N410" s="3">
        <f>G410*M410</f>
        <v>132</v>
      </c>
      <c r="O410" s="1">
        <v>45492</v>
      </c>
      <c r="P410" s="1">
        <v>45494</v>
      </c>
      <c r="Q410" s="1">
        <v>45609</v>
      </c>
      <c r="R410">
        <v>587</v>
      </c>
      <c r="S410">
        <v>585</v>
      </c>
      <c r="T410">
        <v>470</v>
      </c>
      <c r="U410" t="str">
        <f t="shared" si="12"/>
        <v>Expiring Soon</v>
      </c>
      <c r="V410" t="s">
        <v>1625</v>
      </c>
      <c r="W410">
        <v>47</v>
      </c>
      <c r="X410" s="3">
        <f t="shared" si="13"/>
        <v>6204</v>
      </c>
      <c r="Y410">
        <v>71</v>
      </c>
      <c r="Z410" t="s">
        <v>49</v>
      </c>
      <c r="AA410" s="3">
        <f>X410-Grocery_Inventory_and_Sales_Dat!N410</f>
        <v>6072</v>
      </c>
    </row>
    <row r="411" spans="1:27" x14ac:dyDescent="0.3">
      <c r="A411" t="s">
        <v>1626</v>
      </c>
      <c r="B411" t="s">
        <v>334</v>
      </c>
      <c r="C411" t="s">
        <v>70</v>
      </c>
      <c r="D411" t="s">
        <v>1627</v>
      </c>
      <c r="E411" s="13" t="s">
        <v>620</v>
      </c>
      <c r="G411" s="2">
        <v>91</v>
      </c>
      <c r="H411">
        <v>14</v>
      </c>
      <c r="I411">
        <v>99</v>
      </c>
      <c r="J411" t="s">
        <v>55</v>
      </c>
      <c r="K411">
        <v>0</v>
      </c>
      <c r="L411" t="s">
        <v>41</v>
      </c>
      <c r="M411" s="12">
        <v>6</v>
      </c>
      <c r="N411" s="3">
        <f>G411*M411</f>
        <v>546</v>
      </c>
      <c r="O411" s="1">
        <v>45932</v>
      </c>
      <c r="P411" s="1">
        <v>45682</v>
      </c>
      <c r="Q411" s="1">
        <v>45679</v>
      </c>
      <c r="R411">
        <v>147</v>
      </c>
      <c r="S411">
        <v>397</v>
      </c>
      <c r="T411">
        <v>400</v>
      </c>
      <c r="U411" t="str">
        <f t="shared" si="12"/>
        <v>Expiring Soon</v>
      </c>
      <c r="V411" t="s">
        <v>1628</v>
      </c>
      <c r="W411">
        <v>50</v>
      </c>
      <c r="X411" s="3">
        <f t="shared" si="13"/>
        <v>27300</v>
      </c>
      <c r="Y411">
        <v>5</v>
      </c>
      <c r="Z411" t="s">
        <v>43</v>
      </c>
      <c r="AA411" s="3">
        <f>X411-Grocery_Inventory_and_Sales_Dat!N411</f>
        <v>26754</v>
      </c>
    </row>
    <row r="412" spans="1:27" x14ac:dyDescent="0.3">
      <c r="A412" t="s">
        <v>1629</v>
      </c>
      <c r="B412" t="s">
        <v>249</v>
      </c>
      <c r="C412" t="s">
        <v>95</v>
      </c>
      <c r="D412" t="s">
        <v>1630</v>
      </c>
      <c r="E412" s="13" t="s">
        <v>1611</v>
      </c>
      <c r="G412" s="2">
        <v>85</v>
      </c>
      <c r="H412">
        <v>57</v>
      </c>
      <c r="I412">
        <v>25</v>
      </c>
      <c r="J412" t="s">
        <v>55</v>
      </c>
      <c r="K412">
        <v>0</v>
      </c>
      <c r="L412" t="s">
        <v>41</v>
      </c>
      <c r="M412" s="12">
        <v>3.5</v>
      </c>
      <c r="N412" s="3">
        <f>G412*M412</f>
        <v>297.5</v>
      </c>
      <c r="O412" s="1">
        <v>45706</v>
      </c>
      <c r="P412" s="1">
        <v>45561</v>
      </c>
      <c r="Q412" s="1">
        <v>45463</v>
      </c>
      <c r="R412">
        <v>373</v>
      </c>
      <c r="S412">
        <v>518</v>
      </c>
      <c r="T412">
        <v>616</v>
      </c>
      <c r="U412" t="str">
        <f t="shared" si="12"/>
        <v>Safe</v>
      </c>
      <c r="V412" t="s">
        <v>1631</v>
      </c>
      <c r="W412">
        <v>30</v>
      </c>
      <c r="X412" s="3">
        <f t="shared" si="13"/>
        <v>8925</v>
      </c>
      <c r="Y412">
        <v>42</v>
      </c>
      <c r="Z412" t="s">
        <v>30</v>
      </c>
      <c r="AA412" s="3">
        <f>X412-Grocery_Inventory_and_Sales_Dat!N412</f>
        <v>8627.5</v>
      </c>
    </row>
    <row r="413" spans="1:27" x14ac:dyDescent="0.3">
      <c r="A413" t="s">
        <v>1632</v>
      </c>
      <c r="B413" t="s">
        <v>408</v>
      </c>
      <c r="C413" t="s">
        <v>52</v>
      </c>
      <c r="D413" t="s">
        <v>1633</v>
      </c>
      <c r="E413" s="13" t="s">
        <v>1634</v>
      </c>
      <c r="G413" s="2">
        <v>12</v>
      </c>
      <c r="H413">
        <v>28</v>
      </c>
      <c r="I413">
        <v>11</v>
      </c>
      <c r="J413" t="s">
        <v>27</v>
      </c>
      <c r="K413">
        <v>28</v>
      </c>
      <c r="L413" t="s">
        <v>41</v>
      </c>
      <c r="M413" s="12">
        <v>3</v>
      </c>
      <c r="N413" s="3">
        <f>G413*M413</f>
        <v>36</v>
      </c>
      <c r="O413" s="1">
        <v>45430</v>
      </c>
      <c r="P413" s="1">
        <v>45778</v>
      </c>
      <c r="Q413" s="1">
        <v>45399</v>
      </c>
      <c r="R413">
        <v>649</v>
      </c>
      <c r="S413">
        <v>301</v>
      </c>
      <c r="T413">
        <v>680</v>
      </c>
      <c r="U413" t="str">
        <f t="shared" si="12"/>
        <v>Safe</v>
      </c>
      <c r="V413" t="s">
        <v>1635</v>
      </c>
      <c r="W413">
        <v>46</v>
      </c>
      <c r="X413" s="3">
        <f t="shared" si="13"/>
        <v>1656</v>
      </c>
      <c r="Y413">
        <v>88</v>
      </c>
      <c r="Z413" t="s">
        <v>43</v>
      </c>
      <c r="AA413" s="3">
        <f>X413-Grocery_Inventory_and_Sales_Dat!N413</f>
        <v>1620</v>
      </c>
    </row>
    <row r="414" spans="1:27" x14ac:dyDescent="0.3">
      <c r="A414" t="s">
        <v>1636</v>
      </c>
      <c r="B414" t="s">
        <v>551</v>
      </c>
      <c r="C414" t="s">
        <v>52</v>
      </c>
      <c r="D414" t="s">
        <v>1637</v>
      </c>
      <c r="E414" s="13" t="s">
        <v>1638</v>
      </c>
      <c r="G414" s="2">
        <v>43</v>
      </c>
      <c r="H414">
        <v>65</v>
      </c>
      <c r="I414">
        <v>66</v>
      </c>
      <c r="J414" t="s">
        <v>27</v>
      </c>
      <c r="K414">
        <v>65</v>
      </c>
      <c r="L414" t="s">
        <v>28</v>
      </c>
      <c r="M414" s="12">
        <v>6</v>
      </c>
      <c r="N414" s="3">
        <f>G414*M414</f>
        <v>258</v>
      </c>
      <c r="O414" s="1">
        <v>45647</v>
      </c>
      <c r="P414" s="1">
        <v>45360</v>
      </c>
      <c r="Q414" s="1">
        <v>45673</v>
      </c>
      <c r="R414">
        <v>432</v>
      </c>
      <c r="S414">
        <v>719</v>
      </c>
      <c r="T414">
        <v>406</v>
      </c>
      <c r="U414" t="str">
        <f t="shared" si="12"/>
        <v>Expiring Soon</v>
      </c>
      <c r="V414" t="s">
        <v>1639</v>
      </c>
      <c r="W414">
        <v>78</v>
      </c>
      <c r="X414" s="3">
        <f t="shared" si="13"/>
        <v>20124</v>
      </c>
      <c r="Y414">
        <v>73</v>
      </c>
      <c r="Z414" t="s">
        <v>43</v>
      </c>
      <c r="AA414" s="3">
        <f>X414-Grocery_Inventory_and_Sales_Dat!N414</f>
        <v>19866</v>
      </c>
    </row>
    <row r="415" spans="1:27" x14ac:dyDescent="0.3">
      <c r="A415" t="s">
        <v>1640</v>
      </c>
      <c r="B415" t="s">
        <v>1224</v>
      </c>
      <c r="C415" t="s">
        <v>70</v>
      </c>
      <c r="D415" t="s">
        <v>1641</v>
      </c>
      <c r="E415" s="13" t="s">
        <v>1030</v>
      </c>
      <c r="G415" s="2">
        <v>92</v>
      </c>
      <c r="H415">
        <v>92</v>
      </c>
      <c r="I415">
        <v>28</v>
      </c>
      <c r="J415" t="s">
        <v>27</v>
      </c>
      <c r="K415">
        <v>92</v>
      </c>
      <c r="L415" t="s">
        <v>28</v>
      </c>
      <c r="M415" s="12">
        <v>1.75</v>
      </c>
      <c r="N415" s="3">
        <f>G415*M415</f>
        <v>161</v>
      </c>
      <c r="O415" s="1">
        <v>45678</v>
      </c>
      <c r="P415" s="1">
        <v>45574</v>
      </c>
      <c r="Q415" s="1">
        <v>45648</v>
      </c>
      <c r="R415">
        <v>401</v>
      </c>
      <c r="S415">
        <v>505</v>
      </c>
      <c r="T415">
        <v>431</v>
      </c>
      <c r="U415" t="str">
        <f t="shared" si="12"/>
        <v>Expiring Soon</v>
      </c>
      <c r="V415" t="s">
        <v>1642</v>
      </c>
      <c r="W415">
        <v>50</v>
      </c>
      <c r="X415" s="3">
        <f t="shared" si="13"/>
        <v>8050</v>
      </c>
      <c r="Y415">
        <v>67</v>
      </c>
      <c r="Z415" t="s">
        <v>30</v>
      </c>
      <c r="AA415" s="3">
        <f>X415-Grocery_Inventory_and_Sales_Dat!N415</f>
        <v>7889</v>
      </c>
    </row>
    <row r="416" spans="1:27" x14ac:dyDescent="0.3">
      <c r="A416" t="s">
        <v>1643</v>
      </c>
      <c r="B416" t="s">
        <v>786</v>
      </c>
      <c r="C416" t="s">
        <v>52</v>
      </c>
      <c r="D416" t="s">
        <v>1644</v>
      </c>
      <c r="E416" s="13" t="s">
        <v>1645</v>
      </c>
      <c r="G416" s="2">
        <v>23</v>
      </c>
      <c r="H416">
        <v>85</v>
      </c>
      <c r="I416">
        <v>94</v>
      </c>
      <c r="J416" t="s">
        <v>27</v>
      </c>
      <c r="K416">
        <v>85</v>
      </c>
      <c r="L416" t="s">
        <v>28</v>
      </c>
      <c r="M416" s="12">
        <v>3</v>
      </c>
      <c r="N416" s="3">
        <f>G416*M416</f>
        <v>69</v>
      </c>
      <c r="O416" s="1">
        <v>45636</v>
      </c>
      <c r="P416" s="1">
        <v>45496</v>
      </c>
      <c r="Q416" s="1">
        <v>45685</v>
      </c>
      <c r="R416">
        <v>443</v>
      </c>
      <c r="S416">
        <v>583</v>
      </c>
      <c r="T416">
        <v>394</v>
      </c>
      <c r="U416" t="str">
        <f t="shared" si="12"/>
        <v>Expiring Soon</v>
      </c>
      <c r="V416" t="s">
        <v>1646</v>
      </c>
      <c r="W416">
        <v>92</v>
      </c>
      <c r="X416" s="3">
        <f t="shared" si="13"/>
        <v>6348</v>
      </c>
      <c r="Y416">
        <v>72</v>
      </c>
      <c r="Z416" t="s">
        <v>43</v>
      </c>
      <c r="AA416" s="3">
        <f>X416-Grocery_Inventory_and_Sales_Dat!N416</f>
        <v>6279</v>
      </c>
    </row>
    <row r="417" spans="1:27" x14ac:dyDescent="0.3">
      <c r="A417" t="s">
        <v>1647</v>
      </c>
      <c r="B417" t="s">
        <v>80</v>
      </c>
      <c r="C417" t="s">
        <v>70</v>
      </c>
      <c r="D417" t="s">
        <v>1648</v>
      </c>
      <c r="E417" s="13" t="s">
        <v>1649</v>
      </c>
      <c r="G417" s="2">
        <v>77</v>
      </c>
      <c r="H417">
        <v>1</v>
      </c>
      <c r="I417">
        <v>41</v>
      </c>
      <c r="J417" t="s">
        <v>55</v>
      </c>
      <c r="K417">
        <v>0</v>
      </c>
      <c r="L417" t="s">
        <v>41</v>
      </c>
      <c r="M417" s="12">
        <v>1</v>
      </c>
      <c r="N417" s="3">
        <f>G417*M417</f>
        <v>77</v>
      </c>
      <c r="O417" s="1">
        <v>45423</v>
      </c>
      <c r="P417" s="1">
        <v>45779</v>
      </c>
      <c r="Q417" s="1">
        <v>45372</v>
      </c>
      <c r="R417">
        <v>656</v>
      </c>
      <c r="S417">
        <v>300</v>
      </c>
      <c r="T417">
        <v>707</v>
      </c>
      <c r="U417" t="str">
        <f t="shared" si="12"/>
        <v>Safe</v>
      </c>
      <c r="V417" t="s">
        <v>1650</v>
      </c>
      <c r="W417">
        <v>58</v>
      </c>
      <c r="X417" s="3">
        <f t="shared" si="13"/>
        <v>4466</v>
      </c>
      <c r="Y417">
        <v>55</v>
      </c>
      <c r="Z417" t="s">
        <v>30</v>
      </c>
      <c r="AA417" s="3">
        <f>X417-Grocery_Inventory_and_Sales_Dat!N417</f>
        <v>4389</v>
      </c>
    </row>
    <row r="418" spans="1:27" x14ac:dyDescent="0.3">
      <c r="A418" t="s">
        <v>1651</v>
      </c>
      <c r="B418" t="s">
        <v>1537</v>
      </c>
      <c r="C418" t="s">
        <v>52</v>
      </c>
      <c r="D418" t="s">
        <v>1652</v>
      </c>
      <c r="E418" s="13" t="s">
        <v>763</v>
      </c>
      <c r="G418" s="2">
        <v>65</v>
      </c>
      <c r="H418">
        <v>10</v>
      </c>
      <c r="I418">
        <v>81</v>
      </c>
      <c r="J418" t="s">
        <v>55</v>
      </c>
      <c r="K418">
        <v>0</v>
      </c>
      <c r="L418" t="s">
        <v>41</v>
      </c>
      <c r="M418" s="12">
        <v>2</v>
      </c>
      <c r="N418" s="3">
        <f>G418*M418</f>
        <v>130</v>
      </c>
      <c r="O418" s="1">
        <v>45531</v>
      </c>
      <c r="P418" s="1">
        <v>45993</v>
      </c>
      <c r="Q418" s="1">
        <v>45420</v>
      </c>
      <c r="R418">
        <v>548</v>
      </c>
      <c r="S418">
        <v>86</v>
      </c>
      <c r="T418">
        <v>659</v>
      </c>
      <c r="U418" t="str">
        <f t="shared" si="12"/>
        <v>Safe</v>
      </c>
      <c r="V418" t="s">
        <v>1653</v>
      </c>
      <c r="W418">
        <v>71</v>
      </c>
      <c r="X418" s="3">
        <f t="shared" si="13"/>
        <v>9230</v>
      </c>
      <c r="Y418">
        <v>61</v>
      </c>
      <c r="Z418" t="s">
        <v>43</v>
      </c>
      <c r="AA418" s="3">
        <f>X418-Grocery_Inventory_and_Sales_Dat!N418</f>
        <v>9100</v>
      </c>
    </row>
    <row r="419" spans="1:27" x14ac:dyDescent="0.3">
      <c r="A419" t="s">
        <v>1654</v>
      </c>
      <c r="B419" t="s">
        <v>543</v>
      </c>
      <c r="C419" t="s">
        <v>52</v>
      </c>
      <c r="D419" t="s">
        <v>1655</v>
      </c>
      <c r="E419" s="13" t="s">
        <v>1133</v>
      </c>
      <c r="G419" s="2">
        <v>82</v>
      </c>
      <c r="H419">
        <v>29</v>
      </c>
      <c r="I419">
        <v>62</v>
      </c>
      <c r="J419" t="s">
        <v>55</v>
      </c>
      <c r="K419">
        <v>0</v>
      </c>
      <c r="L419" t="s">
        <v>41</v>
      </c>
      <c r="M419" s="12">
        <v>15.31</v>
      </c>
      <c r="N419" s="3">
        <f>G419*M419</f>
        <v>1255.42</v>
      </c>
      <c r="O419" s="1">
        <v>45512</v>
      </c>
      <c r="P419" s="1">
        <v>45369</v>
      </c>
      <c r="Q419" s="1">
        <v>45635</v>
      </c>
      <c r="R419">
        <v>567</v>
      </c>
      <c r="S419">
        <v>710</v>
      </c>
      <c r="T419">
        <v>444</v>
      </c>
      <c r="U419" t="str">
        <f t="shared" si="12"/>
        <v>Expiring Soon</v>
      </c>
      <c r="V419" t="s">
        <v>1656</v>
      </c>
      <c r="W419">
        <v>77</v>
      </c>
      <c r="X419" s="3">
        <f t="shared" si="13"/>
        <v>96667.340000000011</v>
      </c>
      <c r="Y419">
        <v>27</v>
      </c>
      <c r="Z419" t="s">
        <v>43</v>
      </c>
      <c r="AA419" s="3">
        <f>X419-Grocery_Inventory_and_Sales_Dat!N419</f>
        <v>95411.920000000013</v>
      </c>
    </row>
    <row r="420" spans="1:27" x14ac:dyDescent="0.3">
      <c r="A420" t="s">
        <v>1657</v>
      </c>
      <c r="B420" t="s">
        <v>119</v>
      </c>
      <c r="C420" t="s">
        <v>70</v>
      </c>
      <c r="D420" t="s">
        <v>1658</v>
      </c>
      <c r="E420" s="13" t="s">
        <v>1050</v>
      </c>
      <c r="G420" s="2">
        <v>20</v>
      </c>
      <c r="H420">
        <v>17</v>
      </c>
      <c r="I420">
        <v>71</v>
      </c>
      <c r="J420" t="s">
        <v>55</v>
      </c>
      <c r="K420">
        <v>0</v>
      </c>
      <c r="L420" t="s">
        <v>41</v>
      </c>
      <c r="M420" s="12">
        <v>8</v>
      </c>
      <c r="N420" s="3">
        <f>G420*M420</f>
        <v>160</v>
      </c>
      <c r="O420" s="1">
        <v>45587</v>
      </c>
      <c r="P420" s="1">
        <v>45839</v>
      </c>
      <c r="Q420" s="1">
        <v>45612</v>
      </c>
      <c r="R420">
        <v>492</v>
      </c>
      <c r="S420">
        <v>240</v>
      </c>
      <c r="T420">
        <v>467</v>
      </c>
      <c r="U420" t="str">
        <f t="shared" si="12"/>
        <v>Expiring Soon</v>
      </c>
      <c r="V420" t="s">
        <v>1659</v>
      </c>
      <c r="W420">
        <v>50</v>
      </c>
      <c r="X420" s="3">
        <f t="shared" si="13"/>
        <v>8000</v>
      </c>
      <c r="Y420">
        <v>65</v>
      </c>
      <c r="Z420" t="s">
        <v>49</v>
      </c>
      <c r="AA420" s="3">
        <f>X420-Grocery_Inventory_and_Sales_Dat!N420</f>
        <v>7840</v>
      </c>
    </row>
    <row r="421" spans="1:27" x14ac:dyDescent="0.3">
      <c r="A421" t="s">
        <v>1660</v>
      </c>
      <c r="B421" t="s">
        <v>725</v>
      </c>
      <c r="C421" t="s">
        <v>70</v>
      </c>
      <c r="D421" t="s">
        <v>1661</v>
      </c>
      <c r="E421" s="13" t="s">
        <v>82</v>
      </c>
      <c r="G421" s="2">
        <v>31</v>
      </c>
      <c r="H421">
        <v>65</v>
      </c>
      <c r="I421">
        <v>94</v>
      </c>
      <c r="J421" t="s">
        <v>27</v>
      </c>
      <c r="K421">
        <v>65</v>
      </c>
      <c r="L421" t="s">
        <v>28</v>
      </c>
      <c r="M421" s="12">
        <v>9</v>
      </c>
      <c r="N421" s="3">
        <f>G421*M421</f>
        <v>279</v>
      </c>
      <c r="O421" s="1">
        <v>45363</v>
      </c>
      <c r="P421" s="1">
        <v>45582</v>
      </c>
      <c r="Q421" s="1">
        <v>45357</v>
      </c>
      <c r="R421">
        <v>716</v>
      </c>
      <c r="S421">
        <v>497</v>
      </c>
      <c r="T421">
        <v>722</v>
      </c>
      <c r="U421" t="str">
        <f t="shared" si="12"/>
        <v>Safe</v>
      </c>
      <c r="V421" t="s">
        <v>1662</v>
      </c>
      <c r="W421">
        <v>63</v>
      </c>
      <c r="X421" s="3">
        <f t="shared" si="13"/>
        <v>17577</v>
      </c>
      <c r="Y421">
        <v>7</v>
      </c>
      <c r="Z421" t="s">
        <v>43</v>
      </c>
      <c r="AA421" s="3">
        <f>X421-Grocery_Inventory_and_Sales_Dat!N421</f>
        <v>17298</v>
      </c>
    </row>
    <row r="422" spans="1:27" x14ac:dyDescent="0.3">
      <c r="A422" t="s">
        <v>1663</v>
      </c>
      <c r="B422" t="s">
        <v>244</v>
      </c>
      <c r="C422" t="s">
        <v>70</v>
      </c>
      <c r="D422" t="s">
        <v>1664</v>
      </c>
      <c r="E422" s="13" t="s">
        <v>1665</v>
      </c>
      <c r="G422" s="2">
        <v>36</v>
      </c>
      <c r="H422">
        <v>75</v>
      </c>
      <c r="I422">
        <v>35</v>
      </c>
      <c r="J422" t="s">
        <v>27</v>
      </c>
      <c r="K422">
        <v>75</v>
      </c>
      <c r="L422" t="s">
        <v>28</v>
      </c>
      <c r="M422" s="12">
        <v>2.9</v>
      </c>
      <c r="N422" s="3">
        <f>G422*M422</f>
        <v>104.39999999999999</v>
      </c>
      <c r="O422" s="1">
        <v>45395</v>
      </c>
      <c r="P422" s="1">
        <v>45460</v>
      </c>
      <c r="Q422" s="1">
        <v>45619</v>
      </c>
      <c r="R422">
        <v>684</v>
      </c>
      <c r="S422">
        <v>619</v>
      </c>
      <c r="T422">
        <v>460</v>
      </c>
      <c r="U422" t="str">
        <f t="shared" si="12"/>
        <v>Expiring Soon</v>
      </c>
      <c r="V422" t="s">
        <v>1666</v>
      </c>
      <c r="W422">
        <v>26</v>
      </c>
      <c r="X422" s="3">
        <f t="shared" si="13"/>
        <v>2714.3999999999996</v>
      </c>
      <c r="Y422">
        <v>41</v>
      </c>
      <c r="Z422" t="s">
        <v>30</v>
      </c>
      <c r="AA422" s="3">
        <f>X422-Grocery_Inventory_and_Sales_Dat!N422</f>
        <v>2609.9999999999995</v>
      </c>
    </row>
    <row r="423" spans="1:27" x14ac:dyDescent="0.3">
      <c r="A423" t="s">
        <v>1667</v>
      </c>
      <c r="B423" t="s">
        <v>322</v>
      </c>
      <c r="C423" t="s">
        <v>33</v>
      </c>
      <c r="D423" t="s">
        <v>1668</v>
      </c>
      <c r="E423" s="13" t="s">
        <v>405</v>
      </c>
      <c r="G423" s="2">
        <v>59</v>
      </c>
      <c r="H423">
        <v>20</v>
      </c>
      <c r="I423">
        <v>17</v>
      </c>
      <c r="J423" t="s">
        <v>55</v>
      </c>
      <c r="K423">
        <v>0</v>
      </c>
      <c r="L423" t="s">
        <v>41</v>
      </c>
      <c r="M423" s="12">
        <v>5</v>
      </c>
      <c r="N423" s="3">
        <f>G423*M423</f>
        <v>295</v>
      </c>
      <c r="O423" s="1">
        <v>45455</v>
      </c>
      <c r="P423" s="1">
        <v>45473</v>
      </c>
      <c r="Q423" s="1">
        <v>45455</v>
      </c>
      <c r="R423">
        <v>624</v>
      </c>
      <c r="S423">
        <v>606</v>
      </c>
      <c r="T423">
        <v>624</v>
      </c>
      <c r="U423" t="str">
        <f t="shared" si="12"/>
        <v>Safe</v>
      </c>
      <c r="V423" t="s">
        <v>1669</v>
      </c>
      <c r="W423">
        <v>45</v>
      </c>
      <c r="X423" s="3">
        <f t="shared" si="13"/>
        <v>13275</v>
      </c>
      <c r="Y423">
        <v>15</v>
      </c>
      <c r="Z423" t="s">
        <v>30</v>
      </c>
      <c r="AA423" s="3">
        <f>X423-Grocery_Inventory_and_Sales_Dat!N423</f>
        <v>12980</v>
      </c>
    </row>
    <row r="424" spans="1:27" x14ac:dyDescent="0.3">
      <c r="A424" t="s">
        <v>1670</v>
      </c>
      <c r="B424" t="s">
        <v>45</v>
      </c>
      <c r="C424" t="s">
        <v>24</v>
      </c>
      <c r="D424" t="s">
        <v>1671</v>
      </c>
      <c r="E424" s="13" t="s">
        <v>273</v>
      </c>
      <c r="G424" s="2">
        <v>11</v>
      </c>
      <c r="H424">
        <v>10</v>
      </c>
      <c r="I424">
        <v>80</v>
      </c>
      <c r="J424" t="s">
        <v>55</v>
      </c>
      <c r="K424">
        <v>0</v>
      </c>
      <c r="L424" t="s">
        <v>41</v>
      </c>
      <c r="M424" s="12">
        <v>1.5</v>
      </c>
      <c r="N424" s="3">
        <f>G424*M424</f>
        <v>16.5</v>
      </c>
      <c r="O424" s="1">
        <v>45418</v>
      </c>
      <c r="P424" s="1">
        <v>45562</v>
      </c>
      <c r="Q424" s="1">
        <v>45506</v>
      </c>
      <c r="R424">
        <v>661</v>
      </c>
      <c r="S424">
        <v>517</v>
      </c>
      <c r="T424">
        <v>573</v>
      </c>
      <c r="U424" t="str">
        <f t="shared" si="12"/>
        <v>Safe</v>
      </c>
      <c r="V424" t="s">
        <v>1672</v>
      </c>
      <c r="W424">
        <v>48</v>
      </c>
      <c r="X424" s="3">
        <f t="shared" si="13"/>
        <v>792</v>
      </c>
      <c r="Y424">
        <v>65</v>
      </c>
      <c r="Z424" t="s">
        <v>30</v>
      </c>
      <c r="AA424" s="3">
        <f>X424-Grocery_Inventory_and_Sales_Dat!N424</f>
        <v>775.5</v>
      </c>
    </row>
    <row r="425" spans="1:27" x14ac:dyDescent="0.3">
      <c r="A425" t="s">
        <v>1673</v>
      </c>
      <c r="B425" t="s">
        <v>240</v>
      </c>
      <c r="C425" t="s">
        <v>33</v>
      </c>
      <c r="D425" t="s">
        <v>1674</v>
      </c>
      <c r="E425" s="13" t="s">
        <v>1675</v>
      </c>
      <c r="G425" s="2">
        <v>24</v>
      </c>
      <c r="H425">
        <v>77</v>
      </c>
      <c r="I425">
        <v>32</v>
      </c>
      <c r="J425" t="s">
        <v>27</v>
      </c>
      <c r="K425">
        <v>77</v>
      </c>
      <c r="L425" t="s">
        <v>28</v>
      </c>
      <c r="M425" s="12">
        <v>15.5</v>
      </c>
      <c r="N425" s="3">
        <f>G425*M425</f>
        <v>372</v>
      </c>
      <c r="O425" s="1">
        <v>45369</v>
      </c>
      <c r="P425" s="1">
        <v>45571</v>
      </c>
      <c r="Q425" s="1">
        <v>45355</v>
      </c>
      <c r="R425">
        <v>710</v>
      </c>
      <c r="S425">
        <v>508</v>
      </c>
      <c r="T425">
        <v>724</v>
      </c>
      <c r="U425" t="str">
        <f t="shared" si="12"/>
        <v>Safe</v>
      </c>
      <c r="V425" t="s">
        <v>1676</v>
      </c>
      <c r="W425">
        <v>80</v>
      </c>
      <c r="X425" s="3">
        <f t="shared" si="13"/>
        <v>29760</v>
      </c>
      <c r="Y425">
        <v>42</v>
      </c>
      <c r="Z425" t="s">
        <v>30</v>
      </c>
      <c r="AA425" s="3">
        <f>X425-Grocery_Inventory_and_Sales_Dat!N425</f>
        <v>29388</v>
      </c>
    </row>
    <row r="426" spans="1:27" x14ac:dyDescent="0.3">
      <c r="A426" t="s">
        <v>1677</v>
      </c>
      <c r="B426" t="s">
        <v>202</v>
      </c>
      <c r="C426" t="s">
        <v>138</v>
      </c>
      <c r="D426" t="s">
        <v>1678</v>
      </c>
      <c r="E426" s="13" t="s">
        <v>1679</v>
      </c>
      <c r="G426" s="2">
        <v>75</v>
      </c>
      <c r="H426">
        <v>80</v>
      </c>
      <c r="I426">
        <v>87</v>
      </c>
      <c r="J426" t="s">
        <v>27</v>
      </c>
      <c r="K426">
        <v>80</v>
      </c>
      <c r="L426" t="s">
        <v>28</v>
      </c>
      <c r="M426" s="12">
        <v>9</v>
      </c>
      <c r="N426" s="3">
        <f>G426*M426</f>
        <v>675</v>
      </c>
      <c r="O426" s="1">
        <v>45450</v>
      </c>
      <c r="P426" s="1">
        <v>45361</v>
      </c>
      <c r="Q426" s="1">
        <v>45528</v>
      </c>
      <c r="R426">
        <v>629</v>
      </c>
      <c r="S426">
        <v>718</v>
      </c>
      <c r="T426">
        <v>551</v>
      </c>
      <c r="U426" t="str">
        <f t="shared" si="12"/>
        <v>Safe</v>
      </c>
      <c r="V426" t="s">
        <v>1680</v>
      </c>
      <c r="W426">
        <v>49</v>
      </c>
      <c r="X426" s="3">
        <f t="shared" si="13"/>
        <v>33075</v>
      </c>
      <c r="Y426">
        <v>40</v>
      </c>
      <c r="Z426" t="s">
        <v>43</v>
      </c>
      <c r="AA426" s="3">
        <f>X426-Grocery_Inventory_and_Sales_Dat!N426</f>
        <v>32400</v>
      </c>
    </row>
    <row r="427" spans="1:27" x14ac:dyDescent="0.3">
      <c r="A427" t="s">
        <v>1681</v>
      </c>
      <c r="B427" t="s">
        <v>240</v>
      </c>
      <c r="C427" t="s">
        <v>33</v>
      </c>
      <c r="D427" t="s">
        <v>1682</v>
      </c>
      <c r="E427" s="13" t="s">
        <v>111</v>
      </c>
      <c r="G427" s="2">
        <v>11</v>
      </c>
      <c r="H427">
        <v>72</v>
      </c>
      <c r="I427">
        <v>5</v>
      </c>
      <c r="J427" t="s">
        <v>27</v>
      </c>
      <c r="K427">
        <v>72</v>
      </c>
      <c r="L427" t="s">
        <v>28</v>
      </c>
      <c r="M427" s="12">
        <v>15</v>
      </c>
      <c r="N427" s="3">
        <f>G427*M427</f>
        <v>165</v>
      </c>
      <c r="O427" s="1">
        <v>45511</v>
      </c>
      <c r="P427" s="1">
        <v>45606</v>
      </c>
      <c r="Q427" s="1">
        <v>45699</v>
      </c>
      <c r="R427">
        <v>568</v>
      </c>
      <c r="S427">
        <v>473</v>
      </c>
      <c r="T427">
        <v>380</v>
      </c>
      <c r="U427" t="str">
        <f t="shared" si="12"/>
        <v>Expiring Soon</v>
      </c>
      <c r="V427" t="s">
        <v>1683</v>
      </c>
      <c r="W427">
        <v>89</v>
      </c>
      <c r="X427" s="3">
        <f t="shared" si="13"/>
        <v>14685</v>
      </c>
      <c r="Y427">
        <v>4</v>
      </c>
      <c r="Z427" t="s">
        <v>49</v>
      </c>
      <c r="AA427" s="3">
        <f>X427-Grocery_Inventory_and_Sales_Dat!N427</f>
        <v>14520</v>
      </c>
    </row>
    <row r="428" spans="1:27" x14ac:dyDescent="0.3">
      <c r="A428" t="s">
        <v>1684</v>
      </c>
      <c r="B428" t="s">
        <v>806</v>
      </c>
      <c r="C428" t="s">
        <v>138</v>
      </c>
      <c r="D428" t="s">
        <v>1685</v>
      </c>
      <c r="E428" s="13" t="s">
        <v>1445</v>
      </c>
      <c r="G428" s="2">
        <v>60</v>
      </c>
      <c r="H428">
        <v>64</v>
      </c>
      <c r="I428">
        <v>36</v>
      </c>
      <c r="J428" t="s">
        <v>27</v>
      </c>
      <c r="K428">
        <v>64</v>
      </c>
      <c r="L428" t="s">
        <v>28</v>
      </c>
      <c r="M428" s="12">
        <v>10</v>
      </c>
      <c r="N428" s="3">
        <f>G428*M428</f>
        <v>600</v>
      </c>
      <c r="O428" s="1">
        <v>45331</v>
      </c>
      <c r="P428" s="1">
        <v>45347</v>
      </c>
      <c r="Q428" s="1">
        <v>45703</v>
      </c>
      <c r="R428">
        <v>748</v>
      </c>
      <c r="S428">
        <v>732</v>
      </c>
      <c r="T428">
        <v>376</v>
      </c>
      <c r="U428" t="str">
        <f t="shared" si="12"/>
        <v>Expiring Soon</v>
      </c>
      <c r="V428" t="s">
        <v>1686</v>
      </c>
      <c r="W428">
        <v>34</v>
      </c>
      <c r="X428" s="3">
        <f t="shared" si="13"/>
        <v>20400</v>
      </c>
      <c r="Y428">
        <v>48</v>
      </c>
      <c r="Z428" t="s">
        <v>30</v>
      </c>
      <c r="AA428" s="3">
        <f>X428-Grocery_Inventory_and_Sales_Dat!N428</f>
        <v>19800</v>
      </c>
    </row>
    <row r="429" spans="1:27" x14ac:dyDescent="0.3">
      <c r="A429" t="s">
        <v>1687</v>
      </c>
      <c r="B429" t="s">
        <v>235</v>
      </c>
      <c r="C429" t="s">
        <v>52</v>
      </c>
      <c r="D429" t="s">
        <v>1688</v>
      </c>
      <c r="E429" s="13" t="s">
        <v>1208</v>
      </c>
      <c r="G429" s="2">
        <v>91</v>
      </c>
      <c r="H429">
        <v>6</v>
      </c>
      <c r="I429">
        <v>37</v>
      </c>
      <c r="J429" t="s">
        <v>55</v>
      </c>
      <c r="K429">
        <v>0</v>
      </c>
      <c r="L429" t="s">
        <v>41</v>
      </c>
      <c r="M429" s="12">
        <v>2.4</v>
      </c>
      <c r="N429" s="3">
        <f>G429*M429</f>
        <v>218.4</v>
      </c>
      <c r="O429" s="1">
        <v>45296</v>
      </c>
      <c r="P429" s="1">
        <v>45481</v>
      </c>
      <c r="Q429" s="1">
        <v>45510</v>
      </c>
      <c r="R429">
        <v>783</v>
      </c>
      <c r="S429">
        <v>598</v>
      </c>
      <c r="T429">
        <v>569</v>
      </c>
      <c r="U429" t="str">
        <f t="shared" si="12"/>
        <v>Safe</v>
      </c>
      <c r="V429" t="s">
        <v>1689</v>
      </c>
      <c r="W429">
        <v>38</v>
      </c>
      <c r="X429" s="3">
        <f t="shared" si="13"/>
        <v>8299.2000000000007</v>
      </c>
      <c r="Y429">
        <v>70</v>
      </c>
      <c r="Z429" t="s">
        <v>43</v>
      </c>
      <c r="AA429" s="3">
        <f>X429-Grocery_Inventory_and_Sales_Dat!N429</f>
        <v>8080.8000000000011</v>
      </c>
    </row>
    <row r="430" spans="1:27" x14ac:dyDescent="0.3">
      <c r="A430" t="s">
        <v>1690</v>
      </c>
      <c r="B430" t="s">
        <v>69</v>
      </c>
      <c r="C430" t="s">
        <v>70</v>
      </c>
      <c r="D430" t="s">
        <v>1691</v>
      </c>
      <c r="E430" s="13" t="s">
        <v>1692</v>
      </c>
      <c r="G430" s="2">
        <v>43</v>
      </c>
      <c r="H430">
        <v>78</v>
      </c>
      <c r="I430">
        <v>85</v>
      </c>
      <c r="J430" t="s">
        <v>27</v>
      </c>
      <c r="K430">
        <v>78</v>
      </c>
      <c r="L430" t="s">
        <v>28</v>
      </c>
      <c r="M430" s="12">
        <v>2.5</v>
      </c>
      <c r="N430" s="3">
        <f>G430*M430</f>
        <v>107.5</v>
      </c>
      <c r="O430" s="1">
        <v>45538</v>
      </c>
      <c r="P430" s="1">
        <v>45534</v>
      </c>
      <c r="Q430" s="1">
        <v>45465</v>
      </c>
      <c r="R430">
        <v>541</v>
      </c>
      <c r="S430">
        <v>545</v>
      </c>
      <c r="T430">
        <v>614</v>
      </c>
      <c r="U430" t="str">
        <f t="shared" si="12"/>
        <v>Safe</v>
      </c>
      <c r="V430" t="s">
        <v>1693</v>
      </c>
      <c r="W430">
        <v>48</v>
      </c>
      <c r="X430" s="3">
        <f t="shared" si="13"/>
        <v>5160</v>
      </c>
      <c r="Y430">
        <v>98</v>
      </c>
      <c r="Z430" t="s">
        <v>43</v>
      </c>
      <c r="AA430" s="3">
        <f>X430-Grocery_Inventory_and_Sales_Dat!N430</f>
        <v>5052.5</v>
      </c>
    </row>
    <row r="431" spans="1:27" x14ac:dyDescent="0.3">
      <c r="A431" t="s">
        <v>1694</v>
      </c>
      <c r="B431" t="s">
        <v>114</v>
      </c>
      <c r="C431" t="s">
        <v>24</v>
      </c>
      <c r="D431" t="s">
        <v>1695</v>
      </c>
      <c r="E431" s="13" t="s">
        <v>727</v>
      </c>
      <c r="G431" s="2">
        <v>25</v>
      </c>
      <c r="H431">
        <v>60</v>
      </c>
      <c r="I431">
        <v>36</v>
      </c>
      <c r="J431" t="s">
        <v>27</v>
      </c>
      <c r="K431">
        <v>60</v>
      </c>
      <c r="L431" t="s">
        <v>41</v>
      </c>
      <c r="M431" s="12">
        <v>1.5</v>
      </c>
      <c r="N431" s="3">
        <f>G431*M431</f>
        <v>37.5</v>
      </c>
      <c r="O431" s="1">
        <v>45704</v>
      </c>
      <c r="P431" s="1">
        <v>45530</v>
      </c>
      <c r="Q431" s="1">
        <v>45595</v>
      </c>
      <c r="R431">
        <v>375</v>
      </c>
      <c r="S431">
        <v>549</v>
      </c>
      <c r="T431">
        <v>484</v>
      </c>
      <c r="U431" t="str">
        <f t="shared" si="12"/>
        <v>Expiring Soon</v>
      </c>
      <c r="V431" t="s">
        <v>1696</v>
      </c>
      <c r="W431">
        <v>31</v>
      </c>
      <c r="X431" s="3">
        <f t="shared" si="13"/>
        <v>1162.5</v>
      </c>
      <c r="Y431">
        <v>41</v>
      </c>
      <c r="Z431" t="s">
        <v>43</v>
      </c>
      <c r="AA431" s="3">
        <f>X431-Grocery_Inventory_and_Sales_Dat!N431</f>
        <v>1125</v>
      </c>
    </row>
    <row r="432" spans="1:27" x14ac:dyDescent="0.3">
      <c r="A432" t="s">
        <v>1697</v>
      </c>
      <c r="B432" t="s">
        <v>153</v>
      </c>
      <c r="C432" t="s">
        <v>70</v>
      </c>
      <c r="D432" t="s">
        <v>1698</v>
      </c>
      <c r="E432" s="13" t="s">
        <v>1321</v>
      </c>
      <c r="G432" s="2">
        <v>96</v>
      </c>
      <c r="H432">
        <v>9</v>
      </c>
      <c r="I432">
        <v>57</v>
      </c>
      <c r="J432" t="s">
        <v>55</v>
      </c>
      <c r="K432">
        <v>0</v>
      </c>
      <c r="L432" t="s">
        <v>41</v>
      </c>
      <c r="M432" s="12">
        <v>11.8</v>
      </c>
      <c r="N432" s="3">
        <f>G432*M432</f>
        <v>1132.8000000000002</v>
      </c>
      <c r="O432" s="1">
        <v>45683</v>
      </c>
      <c r="P432" s="1">
        <v>45459</v>
      </c>
      <c r="Q432" s="1">
        <v>45510</v>
      </c>
      <c r="R432">
        <v>396</v>
      </c>
      <c r="S432">
        <v>620</v>
      </c>
      <c r="T432">
        <v>569</v>
      </c>
      <c r="U432" t="str">
        <f t="shared" si="12"/>
        <v>Safe</v>
      </c>
      <c r="V432" t="s">
        <v>1699</v>
      </c>
      <c r="W432">
        <v>78</v>
      </c>
      <c r="X432" s="3">
        <f t="shared" si="13"/>
        <v>88358.400000000009</v>
      </c>
      <c r="Y432">
        <v>67</v>
      </c>
      <c r="Z432" t="s">
        <v>49</v>
      </c>
      <c r="AA432" s="3">
        <f>X432-Grocery_Inventory_and_Sales_Dat!N432</f>
        <v>87225.600000000006</v>
      </c>
    </row>
    <row r="433" spans="1:27" x14ac:dyDescent="0.3">
      <c r="A433" t="s">
        <v>1700</v>
      </c>
      <c r="B433" t="s">
        <v>1048</v>
      </c>
      <c r="C433" t="s">
        <v>138</v>
      </c>
      <c r="D433" t="s">
        <v>1701</v>
      </c>
      <c r="E433" s="13" t="s">
        <v>1702</v>
      </c>
      <c r="G433" s="2">
        <v>30</v>
      </c>
      <c r="H433">
        <v>29</v>
      </c>
      <c r="I433">
        <v>70</v>
      </c>
      <c r="J433" t="s">
        <v>55</v>
      </c>
      <c r="K433">
        <v>0</v>
      </c>
      <c r="L433" t="s">
        <v>41</v>
      </c>
      <c r="M433" s="12">
        <v>7.5</v>
      </c>
      <c r="N433" s="3">
        <f>G433*M433</f>
        <v>225</v>
      </c>
      <c r="O433" s="1">
        <v>45465</v>
      </c>
      <c r="P433" s="1">
        <v>45578</v>
      </c>
      <c r="Q433" s="1">
        <v>45555</v>
      </c>
      <c r="R433">
        <v>614</v>
      </c>
      <c r="S433">
        <v>501</v>
      </c>
      <c r="T433">
        <v>524</v>
      </c>
      <c r="U433" t="str">
        <f t="shared" si="12"/>
        <v>Expiring Soon</v>
      </c>
      <c r="V433" t="s">
        <v>1703</v>
      </c>
      <c r="W433">
        <v>80</v>
      </c>
      <c r="X433" s="3">
        <f t="shared" si="13"/>
        <v>18000</v>
      </c>
      <c r="Y433">
        <v>43</v>
      </c>
      <c r="Z433" t="s">
        <v>43</v>
      </c>
      <c r="AA433" s="3">
        <f>X433-Grocery_Inventory_and_Sales_Dat!N433</f>
        <v>17775</v>
      </c>
    </row>
    <row r="434" spans="1:27" x14ac:dyDescent="0.3">
      <c r="A434" t="s">
        <v>1704</v>
      </c>
      <c r="B434" t="s">
        <v>391</v>
      </c>
      <c r="C434" t="s">
        <v>24</v>
      </c>
      <c r="D434" t="s">
        <v>1705</v>
      </c>
      <c r="E434" s="13" t="s">
        <v>1706</v>
      </c>
      <c r="G434" s="2">
        <v>56</v>
      </c>
      <c r="H434">
        <v>4</v>
      </c>
      <c r="I434">
        <v>74</v>
      </c>
      <c r="J434" t="s">
        <v>55</v>
      </c>
      <c r="K434">
        <v>0</v>
      </c>
      <c r="L434" t="s">
        <v>41</v>
      </c>
      <c r="M434" s="12">
        <v>4.5</v>
      </c>
      <c r="N434" s="3">
        <f>G434*M434</f>
        <v>252</v>
      </c>
      <c r="O434" s="1">
        <v>45366</v>
      </c>
      <c r="P434" s="1">
        <v>45389</v>
      </c>
      <c r="Q434" s="1">
        <v>45557</v>
      </c>
      <c r="R434">
        <v>713</v>
      </c>
      <c r="S434">
        <v>690</v>
      </c>
      <c r="T434">
        <v>522</v>
      </c>
      <c r="U434" t="str">
        <f t="shared" si="12"/>
        <v>Expiring Soon</v>
      </c>
      <c r="V434" t="s">
        <v>1707</v>
      </c>
      <c r="W434">
        <v>61</v>
      </c>
      <c r="X434" s="3">
        <f t="shared" si="13"/>
        <v>15372</v>
      </c>
      <c r="Y434">
        <v>73</v>
      </c>
      <c r="Z434" t="s">
        <v>49</v>
      </c>
      <c r="AA434" s="3">
        <f>X434-Grocery_Inventory_and_Sales_Dat!N434</f>
        <v>15120</v>
      </c>
    </row>
    <row r="435" spans="1:27" x14ac:dyDescent="0.3">
      <c r="A435" t="s">
        <v>1708</v>
      </c>
      <c r="B435" t="s">
        <v>1557</v>
      </c>
      <c r="C435" t="s">
        <v>95</v>
      </c>
      <c r="D435" t="s">
        <v>1709</v>
      </c>
      <c r="E435" s="13" t="s">
        <v>562</v>
      </c>
      <c r="G435" s="2">
        <v>91</v>
      </c>
      <c r="H435">
        <v>71</v>
      </c>
      <c r="I435">
        <v>17</v>
      </c>
      <c r="J435" t="s">
        <v>55</v>
      </c>
      <c r="K435">
        <v>0</v>
      </c>
      <c r="L435" t="s">
        <v>41</v>
      </c>
      <c r="M435" s="12">
        <v>3.5</v>
      </c>
      <c r="N435" s="3">
        <f>G435*M435</f>
        <v>318.5</v>
      </c>
      <c r="O435" s="1">
        <v>45931</v>
      </c>
      <c r="P435" s="1">
        <v>45299</v>
      </c>
      <c r="Q435" s="1">
        <v>45446</v>
      </c>
      <c r="R435">
        <v>148</v>
      </c>
      <c r="S435">
        <v>780</v>
      </c>
      <c r="T435">
        <v>633</v>
      </c>
      <c r="U435" t="str">
        <f t="shared" si="12"/>
        <v>Safe</v>
      </c>
      <c r="V435" t="s">
        <v>1710</v>
      </c>
      <c r="W435">
        <v>74</v>
      </c>
      <c r="X435" s="3">
        <f t="shared" si="13"/>
        <v>23569</v>
      </c>
      <c r="Y435">
        <v>57</v>
      </c>
      <c r="Z435" t="s">
        <v>49</v>
      </c>
      <c r="AA435" s="3">
        <f>X435-Grocery_Inventory_and_Sales_Dat!N435</f>
        <v>23250.5</v>
      </c>
    </row>
    <row r="436" spans="1:27" x14ac:dyDescent="0.3">
      <c r="A436" t="s">
        <v>1711</v>
      </c>
      <c r="B436" t="s">
        <v>89</v>
      </c>
      <c r="C436" t="s">
        <v>24</v>
      </c>
      <c r="D436" t="s">
        <v>1712</v>
      </c>
      <c r="E436" s="13" t="s">
        <v>899</v>
      </c>
      <c r="G436" s="2">
        <v>27</v>
      </c>
      <c r="H436">
        <v>64</v>
      </c>
      <c r="I436">
        <v>78</v>
      </c>
      <c r="J436" t="s">
        <v>27</v>
      </c>
      <c r="K436">
        <v>64</v>
      </c>
      <c r="L436" t="s">
        <v>28</v>
      </c>
      <c r="M436" s="12">
        <v>2</v>
      </c>
      <c r="N436" s="3">
        <f>G436*M436</f>
        <v>54</v>
      </c>
      <c r="O436" s="1">
        <v>45521</v>
      </c>
      <c r="P436" s="1">
        <v>45387</v>
      </c>
      <c r="Q436" s="1">
        <v>45435</v>
      </c>
      <c r="R436">
        <v>558</v>
      </c>
      <c r="S436">
        <v>692</v>
      </c>
      <c r="T436">
        <v>644</v>
      </c>
      <c r="U436" t="str">
        <f t="shared" si="12"/>
        <v>Safe</v>
      </c>
      <c r="V436" t="s">
        <v>1713</v>
      </c>
      <c r="W436">
        <v>57</v>
      </c>
      <c r="X436" s="3">
        <f t="shared" si="13"/>
        <v>3078</v>
      </c>
      <c r="Y436">
        <v>4</v>
      </c>
      <c r="Z436" t="s">
        <v>49</v>
      </c>
      <c r="AA436" s="3">
        <f>X436-Grocery_Inventory_and_Sales_Dat!N436</f>
        <v>3024</v>
      </c>
    </row>
    <row r="437" spans="1:27" x14ac:dyDescent="0.3">
      <c r="A437" t="s">
        <v>1714</v>
      </c>
      <c r="B437" t="s">
        <v>635</v>
      </c>
      <c r="C437" t="s">
        <v>70</v>
      </c>
      <c r="D437" t="s">
        <v>1715</v>
      </c>
      <c r="E437" s="13" t="s">
        <v>487</v>
      </c>
      <c r="G437" s="2">
        <v>28</v>
      </c>
      <c r="H437">
        <v>90</v>
      </c>
      <c r="I437">
        <v>70</v>
      </c>
      <c r="J437" t="s">
        <v>27</v>
      </c>
      <c r="K437">
        <v>90</v>
      </c>
      <c r="L437" t="s">
        <v>28</v>
      </c>
      <c r="M437" s="12">
        <v>2.4500000000000002</v>
      </c>
      <c r="N437" s="3">
        <f>G437*M437</f>
        <v>68.600000000000009</v>
      </c>
      <c r="O437" s="1">
        <v>45423</v>
      </c>
      <c r="P437" s="1">
        <v>45702</v>
      </c>
      <c r="Q437" s="1">
        <v>45685</v>
      </c>
      <c r="R437">
        <v>656</v>
      </c>
      <c r="S437">
        <v>377</v>
      </c>
      <c r="T437">
        <v>394</v>
      </c>
      <c r="U437" t="str">
        <f t="shared" si="12"/>
        <v>Expiring Soon</v>
      </c>
      <c r="V437" t="s">
        <v>1716</v>
      </c>
      <c r="W437">
        <v>76</v>
      </c>
      <c r="X437" s="3">
        <f t="shared" si="13"/>
        <v>5213.6000000000004</v>
      </c>
      <c r="Y437">
        <v>78</v>
      </c>
      <c r="Z437" t="s">
        <v>49</v>
      </c>
      <c r="AA437" s="3">
        <f>X437-Grocery_Inventory_and_Sales_Dat!N437</f>
        <v>5145</v>
      </c>
    </row>
    <row r="438" spans="1:27" x14ac:dyDescent="0.3">
      <c r="A438" t="s">
        <v>1717</v>
      </c>
      <c r="B438" t="s">
        <v>651</v>
      </c>
      <c r="C438" t="s">
        <v>70</v>
      </c>
      <c r="D438" t="s">
        <v>1718</v>
      </c>
      <c r="E438" s="13" t="s">
        <v>150</v>
      </c>
      <c r="G438" s="2">
        <v>92</v>
      </c>
      <c r="H438">
        <v>67</v>
      </c>
      <c r="I438">
        <v>51</v>
      </c>
      <c r="J438" t="s">
        <v>55</v>
      </c>
      <c r="K438">
        <v>0</v>
      </c>
      <c r="L438" t="s">
        <v>41</v>
      </c>
      <c r="M438" s="12">
        <v>4</v>
      </c>
      <c r="N438" s="3">
        <f>G438*M438</f>
        <v>368</v>
      </c>
      <c r="O438" s="1">
        <v>45416</v>
      </c>
      <c r="P438" s="1">
        <v>45547</v>
      </c>
      <c r="Q438" s="1">
        <v>45431</v>
      </c>
      <c r="R438">
        <v>663</v>
      </c>
      <c r="S438">
        <v>532</v>
      </c>
      <c r="T438">
        <v>648</v>
      </c>
      <c r="U438" t="str">
        <f t="shared" si="12"/>
        <v>Safe</v>
      </c>
      <c r="V438" t="s">
        <v>1719</v>
      </c>
      <c r="W438">
        <v>23</v>
      </c>
      <c r="X438" s="3">
        <f t="shared" si="13"/>
        <v>8464</v>
      </c>
      <c r="Y438">
        <v>78</v>
      </c>
      <c r="Z438" t="s">
        <v>30</v>
      </c>
      <c r="AA438" s="3">
        <f>X438-Grocery_Inventory_and_Sales_Dat!N438</f>
        <v>8096</v>
      </c>
    </row>
    <row r="439" spans="1:27" x14ac:dyDescent="0.3">
      <c r="A439" t="s">
        <v>1720</v>
      </c>
      <c r="B439" t="s">
        <v>630</v>
      </c>
      <c r="C439" t="s">
        <v>138</v>
      </c>
      <c r="D439" t="s">
        <v>1721</v>
      </c>
      <c r="E439" s="13" t="s">
        <v>1001</v>
      </c>
      <c r="G439" s="2">
        <v>37</v>
      </c>
      <c r="H439">
        <v>33</v>
      </c>
      <c r="I439">
        <v>80</v>
      </c>
      <c r="J439" t="s">
        <v>55</v>
      </c>
      <c r="K439">
        <v>0</v>
      </c>
      <c r="L439" t="s">
        <v>41</v>
      </c>
      <c r="M439" s="12">
        <v>18</v>
      </c>
      <c r="N439" s="3">
        <f>G439*M439</f>
        <v>666</v>
      </c>
      <c r="O439" s="1">
        <v>45647</v>
      </c>
      <c r="P439" s="1">
        <v>45570</v>
      </c>
      <c r="Q439" s="1">
        <v>45416</v>
      </c>
      <c r="R439">
        <v>432</v>
      </c>
      <c r="S439">
        <v>509</v>
      </c>
      <c r="T439">
        <v>663</v>
      </c>
      <c r="U439" t="str">
        <f t="shared" si="12"/>
        <v>Safe</v>
      </c>
      <c r="V439" t="s">
        <v>1722</v>
      </c>
      <c r="W439">
        <v>27</v>
      </c>
      <c r="X439" s="3">
        <f t="shared" si="13"/>
        <v>17982</v>
      </c>
      <c r="Y439">
        <v>73</v>
      </c>
      <c r="Z439" t="s">
        <v>43</v>
      </c>
      <c r="AA439" s="3">
        <f>X439-Grocery_Inventory_and_Sales_Dat!N439</f>
        <v>17316</v>
      </c>
    </row>
    <row r="440" spans="1:27" x14ac:dyDescent="0.3">
      <c r="A440" t="s">
        <v>1723</v>
      </c>
      <c r="B440" t="s">
        <v>693</v>
      </c>
      <c r="C440" t="s">
        <v>24</v>
      </c>
      <c r="D440" t="s">
        <v>1724</v>
      </c>
      <c r="E440" s="13" t="s">
        <v>1725</v>
      </c>
      <c r="G440" s="2">
        <v>28</v>
      </c>
      <c r="H440">
        <v>24</v>
      </c>
      <c r="I440">
        <v>97</v>
      </c>
      <c r="J440" t="s">
        <v>55</v>
      </c>
      <c r="K440">
        <v>0</v>
      </c>
      <c r="L440" t="s">
        <v>41</v>
      </c>
      <c r="M440" s="12">
        <v>2.5</v>
      </c>
      <c r="N440" s="3">
        <f>G440*M440</f>
        <v>70</v>
      </c>
      <c r="O440" s="1">
        <v>45557</v>
      </c>
      <c r="P440" s="1">
        <v>45631</v>
      </c>
      <c r="Q440" s="1">
        <v>45482</v>
      </c>
      <c r="R440">
        <v>522</v>
      </c>
      <c r="S440">
        <v>448</v>
      </c>
      <c r="T440">
        <v>597</v>
      </c>
      <c r="U440" t="str">
        <f t="shared" si="12"/>
        <v>Safe</v>
      </c>
      <c r="V440" t="s">
        <v>1726</v>
      </c>
      <c r="W440">
        <v>82</v>
      </c>
      <c r="X440" s="3">
        <f t="shared" si="13"/>
        <v>5740</v>
      </c>
      <c r="Y440">
        <v>5</v>
      </c>
      <c r="Z440" t="s">
        <v>30</v>
      </c>
      <c r="AA440" s="3">
        <f>X440-Grocery_Inventory_and_Sales_Dat!N440</f>
        <v>5670</v>
      </c>
    </row>
    <row r="441" spans="1:27" x14ac:dyDescent="0.3">
      <c r="A441" t="s">
        <v>1727</v>
      </c>
      <c r="B441" t="s">
        <v>514</v>
      </c>
      <c r="C441" t="s">
        <v>138</v>
      </c>
      <c r="D441" t="s">
        <v>1728</v>
      </c>
      <c r="E441" s="13" t="s">
        <v>40</v>
      </c>
      <c r="G441" s="2">
        <v>30</v>
      </c>
      <c r="H441">
        <v>42</v>
      </c>
      <c r="I441">
        <v>8</v>
      </c>
      <c r="J441" t="s">
        <v>27</v>
      </c>
      <c r="K441">
        <v>42</v>
      </c>
      <c r="L441" t="s">
        <v>41</v>
      </c>
      <c r="M441" s="12">
        <v>7</v>
      </c>
      <c r="N441" s="3">
        <f>G441*M441</f>
        <v>210</v>
      </c>
      <c r="O441" s="1">
        <v>45327</v>
      </c>
      <c r="P441" s="1">
        <v>45809</v>
      </c>
      <c r="Q441" s="1">
        <v>45484</v>
      </c>
      <c r="R441">
        <v>752</v>
      </c>
      <c r="S441">
        <v>270</v>
      </c>
      <c r="T441">
        <v>595</v>
      </c>
      <c r="U441" t="str">
        <f t="shared" si="12"/>
        <v>Safe</v>
      </c>
      <c r="V441" t="s">
        <v>1729</v>
      </c>
      <c r="W441">
        <v>48</v>
      </c>
      <c r="X441" s="3">
        <f t="shared" si="13"/>
        <v>10080</v>
      </c>
      <c r="Y441">
        <v>23</v>
      </c>
      <c r="Z441" t="s">
        <v>49</v>
      </c>
      <c r="AA441" s="3">
        <f>X441-Grocery_Inventory_and_Sales_Dat!N441</f>
        <v>9870</v>
      </c>
    </row>
    <row r="442" spans="1:27" x14ac:dyDescent="0.3">
      <c r="A442" t="s">
        <v>1730</v>
      </c>
      <c r="B442" t="s">
        <v>32</v>
      </c>
      <c r="C442" t="s">
        <v>33</v>
      </c>
      <c r="D442" t="s">
        <v>1731</v>
      </c>
      <c r="E442" s="13" t="s">
        <v>854</v>
      </c>
      <c r="G442" s="2">
        <v>98</v>
      </c>
      <c r="H442">
        <v>83</v>
      </c>
      <c r="I442">
        <v>5</v>
      </c>
      <c r="J442" t="s">
        <v>55</v>
      </c>
      <c r="K442">
        <v>0</v>
      </c>
      <c r="L442" t="s">
        <v>41</v>
      </c>
      <c r="M442" s="12">
        <v>20</v>
      </c>
      <c r="N442" s="3">
        <f>G442*M442</f>
        <v>1960</v>
      </c>
      <c r="O442" s="1">
        <v>45450</v>
      </c>
      <c r="P442" s="1">
        <v>45688</v>
      </c>
      <c r="Q442" s="1">
        <v>45652</v>
      </c>
      <c r="R442">
        <v>629</v>
      </c>
      <c r="S442">
        <v>391</v>
      </c>
      <c r="T442">
        <v>427</v>
      </c>
      <c r="U442" t="str">
        <f t="shared" si="12"/>
        <v>Expiring Soon</v>
      </c>
      <c r="V442" t="s">
        <v>1732</v>
      </c>
      <c r="W442">
        <v>39</v>
      </c>
      <c r="X442" s="3">
        <f t="shared" si="13"/>
        <v>76440</v>
      </c>
      <c r="Y442">
        <v>79</v>
      </c>
      <c r="Z442" t="s">
        <v>49</v>
      </c>
      <c r="AA442" s="3">
        <f>X442-Grocery_Inventory_and_Sales_Dat!N442</f>
        <v>74480</v>
      </c>
    </row>
    <row r="443" spans="1:27" x14ac:dyDescent="0.3">
      <c r="A443" t="s">
        <v>1733</v>
      </c>
      <c r="B443" t="s">
        <v>235</v>
      </c>
      <c r="C443" t="s">
        <v>52</v>
      </c>
      <c r="D443" t="s">
        <v>1734</v>
      </c>
      <c r="E443" s="13" t="s">
        <v>483</v>
      </c>
      <c r="G443" s="2">
        <v>65</v>
      </c>
      <c r="H443">
        <v>88</v>
      </c>
      <c r="I443">
        <v>20</v>
      </c>
      <c r="J443" t="s">
        <v>27</v>
      </c>
      <c r="K443">
        <v>88</v>
      </c>
      <c r="L443" t="s">
        <v>28</v>
      </c>
      <c r="M443" s="12">
        <v>2.5</v>
      </c>
      <c r="N443" s="3">
        <f>G443*M443</f>
        <v>162.5</v>
      </c>
      <c r="O443" s="1">
        <v>45685</v>
      </c>
      <c r="P443" s="1">
        <v>45616</v>
      </c>
      <c r="Q443" s="1">
        <v>45502</v>
      </c>
      <c r="R443">
        <v>394</v>
      </c>
      <c r="S443">
        <v>463</v>
      </c>
      <c r="T443">
        <v>577</v>
      </c>
      <c r="U443" t="str">
        <f t="shared" si="12"/>
        <v>Safe</v>
      </c>
      <c r="V443" t="s">
        <v>1735</v>
      </c>
      <c r="W443">
        <v>89</v>
      </c>
      <c r="X443" s="3">
        <f t="shared" si="13"/>
        <v>14462.5</v>
      </c>
      <c r="Y443">
        <v>37</v>
      </c>
      <c r="Z443" t="s">
        <v>43</v>
      </c>
      <c r="AA443" s="3">
        <f>X443-Grocery_Inventory_and_Sales_Dat!N443</f>
        <v>14300</v>
      </c>
    </row>
    <row r="444" spans="1:27" x14ac:dyDescent="0.3">
      <c r="A444" t="s">
        <v>1736</v>
      </c>
      <c r="B444" t="s">
        <v>478</v>
      </c>
      <c r="C444" t="s">
        <v>24</v>
      </c>
      <c r="D444" t="s">
        <v>1737</v>
      </c>
      <c r="E444" s="13" t="s">
        <v>1114</v>
      </c>
      <c r="G444" s="2">
        <v>42</v>
      </c>
      <c r="H444">
        <v>3</v>
      </c>
      <c r="I444">
        <v>21</v>
      </c>
      <c r="J444" t="s">
        <v>55</v>
      </c>
      <c r="K444">
        <v>0</v>
      </c>
      <c r="L444" t="s">
        <v>41</v>
      </c>
      <c r="M444" s="12">
        <v>2</v>
      </c>
      <c r="N444" s="3">
        <f>G444*M444</f>
        <v>84</v>
      </c>
      <c r="O444" s="1">
        <v>45554</v>
      </c>
      <c r="P444" s="1">
        <v>45684</v>
      </c>
      <c r="Q444" s="1">
        <v>45560</v>
      </c>
      <c r="R444">
        <v>525</v>
      </c>
      <c r="S444">
        <v>395</v>
      </c>
      <c r="T444">
        <v>519</v>
      </c>
      <c r="U444" t="str">
        <f t="shared" si="12"/>
        <v>Expiring Soon</v>
      </c>
      <c r="V444" t="s">
        <v>1738</v>
      </c>
      <c r="W444">
        <v>35</v>
      </c>
      <c r="X444" s="3">
        <f t="shared" si="13"/>
        <v>2940</v>
      </c>
      <c r="Y444">
        <v>22</v>
      </c>
      <c r="Z444" t="s">
        <v>49</v>
      </c>
      <c r="AA444" s="3">
        <f>X444-Grocery_Inventory_and_Sales_Dat!N444</f>
        <v>2856</v>
      </c>
    </row>
    <row r="445" spans="1:27" x14ac:dyDescent="0.3">
      <c r="A445" t="s">
        <v>1739</v>
      </c>
      <c r="B445" t="s">
        <v>235</v>
      </c>
      <c r="C445" t="s">
        <v>52</v>
      </c>
      <c r="D445" t="s">
        <v>1740</v>
      </c>
      <c r="E445" s="13" t="s">
        <v>1741</v>
      </c>
      <c r="G445" s="2">
        <v>63</v>
      </c>
      <c r="H445">
        <v>60</v>
      </c>
      <c r="I445">
        <v>54</v>
      </c>
      <c r="J445" t="s">
        <v>55</v>
      </c>
      <c r="K445">
        <v>0</v>
      </c>
      <c r="L445" t="s">
        <v>41</v>
      </c>
      <c r="M445" s="12">
        <v>2.5</v>
      </c>
      <c r="N445" s="3">
        <f>G445*M445</f>
        <v>157.5</v>
      </c>
      <c r="O445" s="1">
        <v>45652</v>
      </c>
      <c r="P445" s="1">
        <v>45433</v>
      </c>
      <c r="Q445" s="1">
        <v>45397</v>
      </c>
      <c r="R445">
        <v>427</v>
      </c>
      <c r="S445">
        <v>646</v>
      </c>
      <c r="T445">
        <v>682</v>
      </c>
      <c r="U445" t="str">
        <f t="shared" si="12"/>
        <v>Safe</v>
      </c>
      <c r="V445" t="s">
        <v>1742</v>
      </c>
      <c r="W445">
        <v>33</v>
      </c>
      <c r="X445" s="3">
        <f t="shared" si="13"/>
        <v>5197.5</v>
      </c>
      <c r="Y445">
        <v>31</v>
      </c>
      <c r="Z445" t="s">
        <v>43</v>
      </c>
      <c r="AA445" s="3">
        <f>X445-Grocery_Inventory_and_Sales_Dat!N445</f>
        <v>5040</v>
      </c>
    </row>
    <row r="446" spans="1:27" x14ac:dyDescent="0.3">
      <c r="A446" t="s">
        <v>1743</v>
      </c>
      <c r="B446" t="s">
        <v>355</v>
      </c>
      <c r="C446" t="s">
        <v>52</v>
      </c>
      <c r="D446" t="s">
        <v>1744</v>
      </c>
      <c r="E446" s="13" t="s">
        <v>1317</v>
      </c>
      <c r="G446" s="2">
        <v>85</v>
      </c>
      <c r="H446">
        <v>54</v>
      </c>
      <c r="I446">
        <v>18</v>
      </c>
      <c r="J446" t="s">
        <v>55</v>
      </c>
      <c r="K446">
        <v>0</v>
      </c>
      <c r="L446" t="s">
        <v>41</v>
      </c>
      <c r="M446" s="12">
        <v>4</v>
      </c>
      <c r="N446" s="3">
        <f>G446*M446</f>
        <v>340</v>
      </c>
      <c r="O446" s="1">
        <v>45501</v>
      </c>
      <c r="P446" s="1">
        <v>45588</v>
      </c>
      <c r="Q446" s="1">
        <v>45486</v>
      </c>
      <c r="R446">
        <v>578</v>
      </c>
      <c r="S446">
        <v>491</v>
      </c>
      <c r="T446">
        <v>593</v>
      </c>
      <c r="U446" t="str">
        <f t="shared" si="12"/>
        <v>Safe</v>
      </c>
      <c r="V446" t="s">
        <v>1745</v>
      </c>
      <c r="W446">
        <v>85</v>
      </c>
      <c r="X446" s="3">
        <f t="shared" si="13"/>
        <v>28900</v>
      </c>
      <c r="Y446">
        <v>44</v>
      </c>
      <c r="Z446" t="s">
        <v>30</v>
      </c>
      <c r="AA446" s="3">
        <f>X446-Grocery_Inventory_and_Sales_Dat!N446</f>
        <v>28560</v>
      </c>
    </row>
    <row r="447" spans="1:27" x14ac:dyDescent="0.3">
      <c r="A447" t="s">
        <v>1746</v>
      </c>
      <c r="B447" t="s">
        <v>80</v>
      </c>
      <c r="C447" t="s">
        <v>70</v>
      </c>
      <c r="D447" t="s">
        <v>1747</v>
      </c>
      <c r="E447" s="13" t="s">
        <v>690</v>
      </c>
      <c r="G447" s="2">
        <v>44</v>
      </c>
      <c r="H447">
        <v>75</v>
      </c>
      <c r="I447">
        <v>72</v>
      </c>
      <c r="J447" t="s">
        <v>27</v>
      </c>
      <c r="K447">
        <v>75</v>
      </c>
      <c r="L447" t="s">
        <v>28</v>
      </c>
      <c r="M447" s="12">
        <v>1</v>
      </c>
      <c r="N447" s="3">
        <f>G447*M447</f>
        <v>44</v>
      </c>
      <c r="O447" s="1">
        <v>45640</v>
      </c>
      <c r="P447" s="1">
        <v>45625</v>
      </c>
      <c r="Q447" s="1">
        <v>45506</v>
      </c>
      <c r="R447">
        <v>439</v>
      </c>
      <c r="S447">
        <v>454</v>
      </c>
      <c r="T447">
        <v>573</v>
      </c>
      <c r="U447" t="str">
        <f t="shared" si="12"/>
        <v>Safe</v>
      </c>
      <c r="V447" t="s">
        <v>1748</v>
      </c>
      <c r="W447">
        <v>96</v>
      </c>
      <c r="X447" s="3">
        <f t="shared" si="13"/>
        <v>4224</v>
      </c>
      <c r="Y447">
        <v>38</v>
      </c>
      <c r="Z447" t="s">
        <v>30</v>
      </c>
      <c r="AA447" s="3">
        <f>X447-Grocery_Inventory_and_Sales_Dat!N447</f>
        <v>4180</v>
      </c>
    </row>
    <row r="448" spans="1:27" x14ac:dyDescent="0.3">
      <c r="A448" t="s">
        <v>1749</v>
      </c>
      <c r="B448" t="s">
        <v>51</v>
      </c>
      <c r="C448" t="s">
        <v>52</v>
      </c>
      <c r="D448" t="s">
        <v>1750</v>
      </c>
      <c r="E448" s="13" t="s">
        <v>155</v>
      </c>
      <c r="G448" s="2">
        <v>26</v>
      </c>
      <c r="H448">
        <v>69</v>
      </c>
      <c r="I448">
        <v>90</v>
      </c>
      <c r="J448" t="s">
        <v>27</v>
      </c>
      <c r="K448">
        <v>69</v>
      </c>
      <c r="L448" t="s">
        <v>28</v>
      </c>
      <c r="M448" s="12">
        <v>4</v>
      </c>
      <c r="N448" s="3">
        <f>G448*M448</f>
        <v>104</v>
      </c>
      <c r="O448" s="1">
        <v>45638</v>
      </c>
      <c r="P448" s="1">
        <v>45510</v>
      </c>
      <c r="Q448" s="1">
        <v>45492</v>
      </c>
      <c r="R448">
        <v>441</v>
      </c>
      <c r="S448">
        <v>569</v>
      </c>
      <c r="T448">
        <v>587</v>
      </c>
      <c r="U448" t="str">
        <f t="shared" si="12"/>
        <v>Safe</v>
      </c>
      <c r="V448" t="s">
        <v>1751</v>
      </c>
      <c r="W448">
        <v>47</v>
      </c>
      <c r="X448" s="3">
        <f t="shared" si="13"/>
        <v>4888</v>
      </c>
      <c r="Y448">
        <v>35</v>
      </c>
      <c r="Z448" t="s">
        <v>49</v>
      </c>
      <c r="AA448" s="3">
        <f>X448-Grocery_Inventory_and_Sales_Dat!N448</f>
        <v>4784</v>
      </c>
    </row>
    <row r="449" spans="1:27" x14ac:dyDescent="0.3">
      <c r="A449" t="s">
        <v>1752</v>
      </c>
      <c r="B449" t="s">
        <v>1270</v>
      </c>
      <c r="C449" t="s">
        <v>24</v>
      </c>
      <c r="D449" t="s">
        <v>1753</v>
      </c>
      <c r="E449" s="13" t="s">
        <v>736</v>
      </c>
      <c r="G449" s="2">
        <v>49</v>
      </c>
      <c r="H449">
        <v>59</v>
      </c>
      <c r="I449">
        <v>73</v>
      </c>
      <c r="J449" t="s">
        <v>27</v>
      </c>
      <c r="K449">
        <v>59</v>
      </c>
      <c r="L449" t="s">
        <v>41</v>
      </c>
      <c r="M449" s="12">
        <v>5</v>
      </c>
      <c r="N449" s="3">
        <f>G449*M449</f>
        <v>245</v>
      </c>
      <c r="O449" s="1">
        <v>45400</v>
      </c>
      <c r="P449" s="1">
        <v>45447</v>
      </c>
      <c r="Q449" s="1">
        <v>45438</v>
      </c>
      <c r="R449">
        <v>679</v>
      </c>
      <c r="S449">
        <v>632</v>
      </c>
      <c r="T449">
        <v>641</v>
      </c>
      <c r="U449" t="str">
        <f t="shared" si="12"/>
        <v>Safe</v>
      </c>
      <c r="V449" t="s">
        <v>1754</v>
      </c>
      <c r="W449">
        <v>93</v>
      </c>
      <c r="X449" s="3">
        <f t="shared" si="13"/>
        <v>22785</v>
      </c>
      <c r="Y449">
        <v>45</v>
      </c>
      <c r="Z449" t="s">
        <v>30</v>
      </c>
      <c r="AA449" s="3">
        <f>X449-Grocery_Inventory_and_Sales_Dat!N449</f>
        <v>22540</v>
      </c>
    </row>
    <row r="450" spans="1:27" x14ac:dyDescent="0.3">
      <c r="A450" t="s">
        <v>1755</v>
      </c>
      <c r="B450" t="s">
        <v>551</v>
      </c>
      <c r="C450" t="s">
        <v>52</v>
      </c>
      <c r="D450" t="s">
        <v>1756</v>
      </c>
      <c r="E450" s="13" t="s">
        <v>695</v>
      </c>
      <c r="G450" s="2">
        <v>59</v>
      </c>
      <c r="H450">
        <v>79</v>
      </c>
      <c r="I450">
        <v>87</v>
      </c>
      <c r="J450" t="s">
        <v>27</v>
      </c>
      <c r="K450">
        <v>79</v>
      </c>
      <c r="L450" t="s">
        <v>28</v>
      </c>
      <c r="M450" s="12">
        <v>6</v>
      </c>
      <c r="N450" s="3">
        <f>G450*M450</f>
        <v>354</v>
      </c>
      <c r="O450" s="1">
        <v>45360</v>
      </c>
      <c r="P450" s="1">
        <v>45361</v>
      </c>
      <c r="Q450" s="1">
        <v>45504</v>
      </c>
      <c r="R450">
        <v>719</v>
      </c>
      <c r="S450">
        <v>718</v>
      </c>
      <c r="T450">
        <v>575</v>
      </c>
      <c r="U450" t="str">
        <f t="shared" si="12"/>
        <v>Safe</v>
      </c>
      <c r="V450" t="s">
        <v>1757</v>
      </c>
      <c r="W450">
        <v>47</v>
      </c>
      <c r="X450" s="3">
        <f t="shared" si="13"/>
        <v>16638</v>
      </c>
      <c r="Y450">
        <v>18</v>
      </c>
      <c r="Z450" t="s">
        <v>49</v>
      </c>
      <c r="AA450" s="3">
        <f>X450-Grocery_Inventory_and_Sales_Dat!N450</f>
        <v>16284</v>
      </c>
    </row>
    <row r="451" spans="1:27" x14ac:dyDescent="0.3">
      <c r="A451" t="s">
        <v>1758</v>
      </c>
      <c r="B451" t="s">
        <v>158</v>
      </c>
      <c r="C451" t="s">
        <v>24</v>
      </c>
      <c r="D451" t="s">
        <v>1759</v>
      </c>
      <c r="E451" s="13" t="s">
        <v>1204</v>
      </c>
      <c r="G451" s="2">
        <v>19</v>
      </c>
      <c r="H451">
        <v>81</v>
      </c>
      <c r="I451">
        <v>33</v>
      </c>
      <c r="J451" t="s">
        <v>27</v>
      </c>
      <c r="K451">
        <v>81</v>
      </c>
      <c r="L451" t="s">
        <v>28</v>
      </c>
      <c r="M451" s="12">
        <v>1.5</v>
      </c>
      <c r="N451" s="3">
        <f>G451*M451</f>
        <v>28.5</v>
      </c>
      <c r="O451" s="1">
        <v>45472</v>
      </c>
      <c r="P451" s="1">
        <v>45710</v>
      </c>
      <c r="Q451" s="1">
        <v>45650</v>
      </c>
      <c r="R451">
        <v>607</v>
      </c>
      <c r="S451">
        <v>369</v>
      </c>
      <c r="T451">
        <v>429</v>
      </c>
      <c r="U451" t="str">
        <f t="shared" ref="U451:U514" si="14">IF(T451&lt;0,"Expired",IF(T451&lt;=550,"Expiring Soon","Safe"))</f>
        <v>Expiring Soon</v>
      </c>
      <c r="V451" t="s">
        <v>1760</v>
      </c>
      <c r="W451">
        <v>39</v>
      </c>
      <c r="X451" s="3">
        <f t="shared" ref="X451:X514" si="15">W451*N451</f>
        <v>1111.5</v>
      </c>
      <c r="Y451">
        <v>85</v>
      </c>
      <c r="Z451" t="s">
        <v>43</v>
      </c>
      <c r="AA451" s="3">
        <f>X451-Grocery_Inventory_and_Sales_Dat!N451</f>
        <v>1083</v>
      </c>
    </row>
    <row r="452" spans="1:27" x14ac:dyDescent="0.3">
      <c r="A452" t="s">
        <v>1761</v>
      </c>
      <c r="B452" t="s">
        <v>360</v>
      </c>
      <c r="C452" t="s">
        <v>52</v>
      </c>
      <c r="D452" t="s">
        <v>1762</v>
      </c>
      <c r="E452" s="13" t="s">
        <v>251</v>
      </c>
      <c r="G452" s="2">
        <v>47</v>
      </c>
      <c r="H452">
        <v>41</v>
      </c>
      <c r="I452">
        <v>63</v>
      </c>
      <c r="J452" t="s">
        <v>55</v>
      </c>
      <c r="K452">
        <v>0</v>
      </c>
      <c r="L452" t="s">
        <v>41</v>
      </c>
      <c r="M452" s="12">
        <v>3</v>
      </c>
      <c r="N452" s="3">
        <f>G452*M452</f>
        <v>141</v>
      </c>
      <c r="O452" s="1">
        <v>45397</v>
      </c>
      <c r="P452" s="1">
        <v>45297</v>
      </c>
      <c r="Q452" s="1">
        <v>45666</v>
      </c>
      <c r="R452">
        <v>682</v>
      </c>
      <c r="S452">
        <v>782</v>
      </c>
      <c r="T452">
        <v>413</v>
      </c>
      <c r="U452" t="str">
        <f t="shared" si="14"/>
        <v>Expiring Soon</v>
      </c>
      <c r="V452" t="s">
        <v>1763</v>
      </c>
      <c r="W452">
        <v>39</v>
      </c>
      <c r="X452" s="3">
        <f t="shared" si="15"/>
        <v>5499</v>
      </c>
      <c r="Y452">
        <v>54</v>
      </c>
      <c r="Z452" t="s">
        <v>49</v>
      </c>
      <c r="AA452" s="3">
        <f>X452-Grocery_Inventory_and_Sales_Dat!N452</f>
        <v>5358</v>
      </c>
    </row>
    <row r="453" spans="1:27" x14ac:dyDescent="0.3">
      <c r="A453" t="s">
        <v>1764</v>
      </c>
      <c r="B453" t="s">
        <v>1131</v>
      </c>
      <c r="C453" t="s">
        <v>52</v>
      </c>
      <c r="D453" t="s">
        <v>1765</v>
      </c>
      <c r="E453" s="13" t="s">
        <v>1482</v>
      </c>
      <c r="G453" s="2">
        <v>98</v>
      </c>
      <c r="H453">
        <v>62</v>
      </c>
      <c r="I453">
        <v>97</v>
      </c>
      <c r="J453" t="s">
        <v>55</v>
      </c>
      <c r="K453">
        <v>0</v>
      </c>
      <c r="L453" t="s">
        <v>41</v>
      </c>
      <c r="M453" s="12">
        <v>5.5</v>
      </c>
      <c r="N453" s="3">
        <f>G453*M453</f>
        <v>539</v>
      </c>
      <c r="O453" s="1">
        <v>45381</v>
      </c>
      <c r="P453" s="1">
        <v>45529</v>
      </c>
      <c r="Q453" s="1">
        <v>45697</v>
      </c>
      <c r="R453">
        <v>698</v>
      </c>
      <c r="S453">
        <v>550</v>
      </c>
      <c r="T453">
        <v>382</v>
      </c>
      <c r="U453" t="str">
        <f t="shared" si="14"/>
        <v>Expiring Soon</v>
      </c>
      <c r="V453" t="s">
        <v>1766</v>
      </c>
      <c r="W453">
        <v>59</v>
      </c>
      <c r="X453" s="3">
        <f t="shared" si="15"/>
        <v>31801</v>
      </c>
      <c r="Y453">
        <v>19</v>
      </c>
      <c r="Z453" t="s">
        <v>49</v>
      </c>
      <c r="AA453" s="3">
        <f>X453-Grocery_Inventory_and_Sales_Dat!N453</f>
        <v>31262</v>
      </c>
    </row>
    <row r="454" spans="1:27" x14ac:dyDescent="0.3">
      <c r="A454" t="s">
        <v>1767</v>
      </c>
      <c r="B454" t="s">
        <v>786</v>
      </c>
      <c r="C454" t="s">
        <v>52</v>
      </c>
      <c r="D454" t="s">
        <v>1768</v>
      </c>
      <c r="E454" s="13" t="s">
        <v>1769</v>
      </c>
      <c r="G454" s="2">
        <v>51</v>
      </c>
      <c r="H454">
        <v>72</v>
      </c>
      <c r="I454">
        <v>85</v>
      </c>
      <c r="J454" t="s">
        <v>27</v>
      </c>
      <c r="K454">
        <v>72</v>
      </c>
      <c r="L454" t="s">
        <v>28</v>
      </c>
      <c r="M454" s="12">
        <v>3</v>
      </c>
      <c r="N454" s="3">
        <f>G454*M454</f>
        <v>153</v>
      </c>
      <c r="O454" s="1">
        <v>45374</v>
      </c>
      <c r="P454" s="1">
        <v>45396</v>
      </c>
      <c r="Q454" s="1">
        <v>45588</v>
      </c>
      <c r="R454">
        <v>705</v>
      </c>
      <c r="S454">
        <v>683</v>
      </c>
      <c r="T454">
        <v>491</v>
      </c>
      <c r="U454" t="str">
        <f t="shared" si="14"/>
        <v>Expiring Soon</v>
      </c>
      <c r="V454" t="s">
        <v>1770</v>
      </c>
      <c r="W454">
        <v>23</v>
      </c>
      <c r="X454" s="3">
        <f t="shared" si="15"/>
        <v>3519</v>
      </c>
      <c r="Y454">
        <v>17</v>
      </c>
      <c r="Z454" t="s">
        <v>49</v>
      </c>
      <c r="AA454" s="3">
        <f>X454-Grocery_Inventory_and_Sales_Dat!N454</f>
        <v>3366</v>
      </c>
    </row>
    <row r="455" spans="1:27" x14ac:dyDescent="0.3">
      <c r="A455" t="s">
        <v>1771</v>
      </c>
      <c r="B455" t="s">
        <v>806</v>
      </c>
      <c r="C455" t="s">
        <v>138</v>
      </c>
      <c r="D455" t="s">
        <v>1772</v>
      </c>
      <c r="E455" s="13" t="s">
        <v>644</v>
      </c>
      <c r="G455" s="2">
        <v>100</v>
      </c>
      <c r="H455">
        <v>99</v>
      </c>
      <c r="I455">
        <v>8</v>
      </c>
      <c r="J455" t="s">
        <v>55</v>
      </c>
      <c r="K455">
        <v>0</v>
      </c>
      <c r="L455" t="s">
        <v>41</v>
      </c>
      <c r="M455" s="12">
        <v>10</v>
      </c>
      <c r="N455" s="3">
        <f>G455*M455</f>
        <v>1000</v>
      </c>
      <c r="O455" s="1">
        <v>45707</v>
      </c>
      <c r="P455" s="1">
        <v>45591</v>
      </c>
      <c r="Q455" s="1">
        <v>45633</v>
      </c>
      <c r="R455">
        <v>372</v>
      </c>
      <c r="S455">
        <v>488</v>
      </c>
      <c r="T455">
        <v>446</v>
      </c>
      <c r="U455" t="str">
        <f t="shared" si="14"/>
        <v>Expiring Soon</v>
      </c>
      <c r="V455" t="s">
        <v>1773</v>
      </c>
      <c r="W455">
        <v>54</v>
      </c>
      <c r="X455" s="3">
        <f t="shared" si="15"/>
        <v>54000</v>
      </c>
      <c r="Y455">
        <v>92</v>
      </c>
      <c r="Z455" t="s">
        <v>30</v>
      </c>
      <c r="AA455" s="3">
        <f>X455-Grocery_Inventory_and_Sales_Dat!N455</f>
        <v>53000</v>
      </c>
    </row>
    <row r="456" spans="1:27" x14ac:dyDescent="0.3">
      <c r="A456" t="s">
        <v>1774</v>
      </c>
      <c r="B456" t="s">
        <v>1224</v>
      </c>
      <c r="C456" t="s">
        <v>70</v>
      </c>
      <c r="D456" t="s">
        <v>1775</v>
      </c>
      <c r="E456" s="13" t="s">
        <v>26</v>
      </c>
      <c r="G456" s="2">
        <v>55</v>
      </c>
      <c r="H456">
        <v>50</v>
      </c>
      <c r="I456">
        <v>56</v>
      </c>
      <c r="J456" t="s">
        <v>55</v>
      </c>
      <c r="K456">
        <v>0</v>
      </c>
      <c r="L456" t="s">
        <v>41</v>
      </c>
      <c r="M456" s="12">
        <v>1.7</v>
      </c>
      <c r="N456" s="3">
        <f>G456*M456</f>
        <v>93.5</v>
      </c>
      <c r="O456" s="1">
        <v>45297</v>
      </c>
      <c r="P456" s="1">
        <v>45546</v>
      </c>
      <c r="Q456" s="1">
        <v>45590</v>
      </c>
      <c r="R456">
        <v>782</v>
      </c>
      <c r="S456">
        <v>533</v>
      </c>
      <c r="T456">
        <v>489</v>
      </c>
      <c r="U456" t="str">
        <f t="shared" si="14"/>
        <v>Expiring Soon</v>
      </c>
      <c r="V456" t="s">
        <v>1776</v>
      </c>
      <c r="W456">
        <v>62</v>
      </c>
      <c r="X456" s="3">
        <f t="shared" si="15"/>
        <v>5797</v>
      </c>
      <c r="Y456">
        <v>26</v>
      </c>
      <c r="Z456" t="s">
        <v>43</v>
      </c>
      <c r="AA456" s="3">
        <f>X456-Grocery_Inventory_and_Sales_Dat!N456</f>
        <v>5703.5</v>
      </c>
    </row>
    <row r="457" spans="1:27" x14ac:dyDescent="0.3">
      <c r="A457" t="s">
        <v>1777</v>
      </c>
      <c r="B457" t="s">
        <v>502</v>
      </c>
      <c r="C457" t="s">
        <v>70</v>
      </c>
      <c r="D457" t="s">
        <v>1778</v>
      </c>
      <c r="E457" s="13" t="s">
        <v>1779</v>
      </c>
      <c r="G457" s="2">
        <v>14</v>
      </c>
      <c r="H457">
        <v>87</v>
      </c>
      <c r="I457">
        <v>8</v>
      </c>
      <c r="J457" t="s">
        <v>27</v>
      </c>
      <c r="K457">
        <v>87</v>
      </c>
      <c r="L457" t="s">
        <v>28</v>
      </c>
      <c r="M457" s="12">
        <v>4</v>
      </c>
      <c r="N457" s="3">
        <f>G457*M457</f>
        <v>56</v>
      </c>
      <c r="O457" s="1">
        <v>45568</v>
      </c>
      <c r="P457" s="1">
        <v>45607</v>
      </c>
      <c r="Q457" s="1">
        <v>45687</v>
      </c>
      <c r="R457">
        <v>511</v>
      </c>
      <c r="S457">
        <v>472</v>
      </c>
      <c r="T457">
        <v>392</v>
      </c>
      <c r="U457" t="str">
        <f t="shared" si="14"/>
        <v>Expiring Soon</v>
      </c>
      <c r="V457" t="s">
        <v>1780</v>
      </c>
      <c r="W457">
        <v>90</v>
      </c>
      <c r="X457" s="3">
        <f t="shared" si="15"/>
        <v>5040</v>
      </c>
      <c r="Y457">
        <v>14</v>
      </c>
      <c r="Z457" t="s">
        <v>49</v>
      </c>
      <c r="AA457" s="3">
        <f>X457-Grocery_Inventory_and_Sales_Dat!N457</f>
        <v>4984</v>
      </c>
    </row>
    <row r="458" spans="1:27" x14ac:dyDescent="0.3">
      <c r="A458" t="s">
        <v>1781</v>
      </c>
      <c r="B458" t="s">
        <v>163</v>
      </c>
      <c r="C458" t="s">
        <v>70</v>
      </c>
      <c r="D458" t="s">
        <v>1782</v>
      </c>
      <c r="E458" s="13" t="s">
        <v>301</v>
      </c>
      <c r="G458" s="2">
        <v>29</v>
      </c>
      <c r="H458">
        <v>33</v>
      </c>
      <c r="I458">
        <v>88</v>
      </c>
      <c r="J458" t="s">
        <v>27</v>
      </c>
      <c r="K458">
        <v>33</v>
      </c>
      <c r="L458" t="s">
        <v>41</v>
      </c>
      <c r="M458" s="12">
        <v>0.8</v>
      </c>
      <c r="N458" s="3">
        <f>G458*M458</f>
        <v>23.200000000000003</v>
      </c>
      <c r="O458" s="1">
        <v>45492</v>
      </c>
      <c r="P458" s="1">
        <v>45527</v>
      </c>
      <c r="Q458" s="1">
        <v>45427</v>
      </c>
      <c r="R458">
        <v>587</v>
      </c>
      <c r="S458">
        <v>552</v>
      </c>
      <c r="T458">
        <v>652</v>
      </c>
      <c r="U458" t="str">
        <f t="shared" si="14"/>
        <v>Safe</v>
      </c>
      <c r="V458" t="s">
        <v>1783</v>
      </c>
      <c r="W458">
        <v>50</v>
      </c>
      <c r="X458" s="3">
        <f t="shared" si="15"/>
        <v>1160.0000000000002</v>
      </c>
      <c r="Y458">
        <v>35</v>
      </c>
      <c r="Z458" t="s">
        <v>30</v>
      </c>
      <c r="AA458" s="3">
        <f>X458-Grocery_Inventory_and_Sales_Dat!N458</f>
        <v>1136.8000000000002</v>
      </c>
    </row>
    <row r="459" spans="1:27" x14ac:dyDescent="0.3">
      <c r="A459" t="s">
        <v>1784</v>
      </c>
      <c r="B459" t="s">
        <v>451</v>
      </c>
      <c r="C459" t="s">
        <v>95</v>
      </c>
      <c r="D459" t="s">
        <v>1785</v>
      </c>
      <c r="E459" s="13" t="s">
        <v>949</v>
      </c>
      <c r="G459" s="2">
        <v>100</v>
      </c>
      <c r="H459">
        <v>1</v>
      </c>
      <c r="I459">
        <v>26</v>
      </c>
      <c r="J459" t="s">
        <v>55</v>
      </c>
      <c r="K459">
        <v>0</v>
      </c>
      <c r="L459" t="s">
        <v>41</v>
      </c>
      <c r="M459" s="12">
        <v>5</v>
      </c>
      <c r="N459" s="3">
        <f>G459*M459</f>
        <v>500</v>
      </c>
      <c r="O459" s="1">
        <v>45330</v>
      </c>
      <c r="P459" s="1">
        <v>45372</v>
      </c>
      <c r="Q459" s="1">
        <v>45492</v>
      </c>
      <c r="R459">
        <v>749</v>
      </c>
      <c r="S459">
        <v>707</v>
      </c>
      <c r="T459">
        <v>587</v>
      </c>
      <c r="U459" t="str">
        <f t="shared" si="14"/>
        <v>Safe</v>
      </c>
      <c r="V459" t="s">
        <v>1786</v>
      </c>
      <c r="W459">
        <v>47</v>
      </c>
      <c r="X459" s="3">
        <f t="shared" si="15"/>
        <v>23500</v>
      </c>
      <c r="Y459">
        <v>79</v>
      </c>
      <c r="Z459" t="s">
        <v>49</v>
      </c>
      <c r="AA459" s="3">
        <f>X459-Grocery_Inventory_and_Sales_Dat!N459</f>
        <v>23000</v>
      </c>
    </row>
    <row r="460" spans="1:27" x14ac:dyDescent="0.3">
      <c r="A460" t="s">
        <v>1787</v>
      </c>
      <c r="B460" t="s">
        <v>334</v>
      </c>
      <c r="C460" t="s">
        <v>70</v>
      </c>
      <c r="D460" t="s">
        <v>1788</v>
      </c>
      <c r="E460" s="13" t="s">
        <v>1050</v>
      </c>
      <c r="G460" s="2">
        <v>49</v>
      </c>
      <c r="H460">
        <v>28</v>
      </c>
      <c r="I460">
        <v>74</v>
      </c>
      <c r="J460" t="s">
        <v>55</v>
      </c>
      <c r="K460">
        <v>0</v>
      </c>
      <c r="L460" t="s">
        <v>41</v>
      </c>
      <c r="M460" s="12">
        <v>6</v>
      </c>
      <c r="N460" s="3">
        <f>G460*M460</f>
        <v>294</v>
      </c>
      <c r="O460" s="1">
        <v>45901</v>
      </c>
      <c r="P460" s="1">
        <v>45671</v>
      </c>
      <c r="Q460" s="1">
        <v>45407</v>
      </c>
      <c r="R460">
        <v>178</v>
      </c>
      <c r="S460">
        <v>408</v>
      </c>
      <c r="T460">
        <v>672</v>
      </c>
      <c r="U460" t="str">
        <f t="shared" si="14"/>
        <v>Safe</v>
      </c>
      <c r="V460" t="s">
        <v>1789</v>
      </c>
      <c r="W460">
        <v>70</v>
      </c>
      <c r="X460" s="3">
        <f t="shared" si="15"/>
        <v>20580</v>
      </c>
      <c r="Y460">
        <v>38</v>
      </c>
      <c r="Z460" t="s">
        <v>30</v>
      </c>
      <c r="AA460" s="3">
        <f>X460-Grocery_Inventory_and_Sales_Dat!N460</f>
        <v>20286</v>
      </c>
    </row>
    <row r="461" spans="1:27" x14ac:dyDescent="0.3">
      <c r="A461" t="s">
        <v>1790</v>
      </c>
      <c r="B461" t="s">
        <v>716</v>
      </c>
      <c r="C461" t="s">
        <v>64</v>
      </c>
      <c r="D461" t="s">
        <v>1791</v>
      </c>
      <c r="E461" s="13" t="s">
        <v>1248</v>
      </c>
      <c r="G461" s="2">
        <v>75</v>
      </c>
      <c r="H461">
        <v>61</v>
      </c>
      <c r="I461">
        <v>19</v>
      </c>
      <c r="J461" t="s">
        <v>55</v>
      </c>
      <c r="K461">
        <v>0</v>
      </c>
      <c r="L461" t="s">
        <v>41</v>
      </c>
      <c r="M461" s="12">
        <v>2</v>
      </c>
      <c r="N461" s="3">
        <f>G461*M461</f>
        <v>150</v>
      </c>
      <c r="O461" s="1">
        <v>45711</v>
      </c>
      <c r="P461" s="1">
        <v>45686</v>
      </c>
      <c r="Q461" s="1">
        <v>45567</v>
      </c>
      <c r="R461">
        <v>368</v>
      </c>
      <c r="S461">
        <v>393</v>
      </c>
      <c r="T461">
        <v>512</v>
      </c>
      <c r="U461" t="str">
        <f t="shared" si="14"/>
        <v>Expiring Soon</v>
      </c>
      <c r="V461" t="s">
        <v>1792</v>
      </c>
      <c r="W461">
        <v>79</v>
      </c>
      <c r="X461" s="3">
        <f t="shared" si="15"/>
        <v>11850</v>
      </c>
      <c r="Y461">
        <v>69</v>
      </c>
      <c r="Z461" t="s">
        <v>43</v>
      </c>
      <c r="AA461" s="3">
        <f>X461-Grocery_Inventory_and_Sales_Dat!N461</f>
        <v>11700</v>
      </c>
    </row>
    <row r="462" spans="1:27" x14ac:dyDescent="0.3">
      <c r="A462" t="s">
        <v>1793</v>
      </c>
      <c r="B462" t="s">
        <v>369</v>
      </c>
      <c r="C462" t="s">
        <v>70</v>
      </c>
      <c r="D462" t="s">
        <v>1794</v>
      </c>
      <c r="E462" s="13" t="s">
        <v>1795</v>
      </c>
      <c r="G462" s="2">
        <v>82</v>
      </c>
      <c r="H462">
        <v>12</v>
      </c>
      <c r="I462">
        <v>94</v>
      </c>
      <c r="J462" t="s">
        <v>55</v>
      </c>
      <c r="K462">
        <v>0</v>
      </c>
      <c r="L462" t="s">
        <v>41</v>
      </c>
      <c r="M462" s="12">
        <v>4.0999999999999996</v>
      </c>
      <c r="N462" s="3">
        <f>G462*M462</f>
        <v>336.2</v>
      </c>
      <c r="O462" s="1">
        <v>45350</v>
      </c>
      <c r="P462" s="1">
        <v>45463</v>
      </c>
      <c r="Q462" s="1">
        <v>45678</v>
      </c>
      <c r="R462">
        <v>729</v>
      </c>
      <c r="S462">
        <v>616</v>
      </c>
      <c r="T462">
        <v>401</v>
      </c>
      <c r="U462" t="str">
        <f t="shared" si="14"/>
        <v>Expiring Soon</v>
      </c>
      <c r="V462" t="s">
        <v>1796</v>
      </c>
      <c r="W462">
        <v>69</v>
      </c>
      <c r="X462" s="3">
        <f t="shared" si="15"/>
        <v>23197.8</v>
      </c>
      <c r="Y462">
        <v>93</v>
      </c>
      <c r="Z462" t="s">
        <v>49</v>
      </c>
      <c r="AA462" s="3">
        <f>X462-Grocery_Inventory_and_Sales_Dat!N462</f>
        <v>22861.599999999999</v>
      </c>
    </row>
    <row r="463" spans="1:27" x14ac:dyDescent="0.3">
      <c r="A463" t="s">
        <v>1797</v>
      </c>
      <c r="B463" t="s">
        <v>498</v>
      </c>
      <c r="C463" t="s">
        <v>70</v>
      </c>
      <c r="D463" t="s">
        <v>1798</v>
      </c>
      <c r="E463" s="13" t="s">
        <v>35</v>
      </c>
      <c r="G463" s="2">
        <v>68</v>
      </c>
      <c r="H463">
        <v>82</v>
      </c>
      <c r="I463">
        <v>58</v>
      </c>
      <c r="J463" t="s">
        <v>27</v>
      </c>
      <c r="K463">
        <v>82</v>
      </c>
      <c r="L463" t="s">
        <v>28</v>
      </c>
      <c r="M463" s="12">
        <v>4.8</v>
      </c>
      <c r="N463" s="3">
        <f>G463*M463</f>
        <v>326.39999999999998</v>
      </c>
      <c r="O463" s="1">
        <v>45508</v>
      </c>
      <c r="P463" s="1">
        <v>45528</v>
      </c>
      <c r="Q463" s="1">
        <v>45387</v>
      </c>
      <c r="R463">
        <v>571</v>
      </c>
      <c r="S463">
        <v>551</v>
      </c>
      <c r="T463">
        <v>692</v>
      </c>
      <c r="U463" t="str">
        <f t="shared" si="14"/>
        <v>Safe</v>
      </c>
      <c r="V463" t="s">
        <v>1799</v>
      </c>
      <c r="W463">
        <v>90</v>
      </c>
      <c r="X463" s="3">
        <f t="shared" si="15"/>
        <v>29375.999999999996</v>
      </c>
      <c r="Y463">
        <v>2</v>
      </c>
      <c r="Z463" t="s">
        <v>43</v>
      </c>
      <c r="AA463" s="3">
        <f>X463-Grocery_Inventory_and_Sales_Dat!N463</f>
        <v>29049.599999999995</v>
      </c>
    </row>
    <row r="464" spans="1:27" x14ac:dyDescent="0.3">
      <c r="A464" t="s">
        <v>1800</v>
      </c>
      <c r="B464" t="s">
        <v>63</v>
      </c>
      <c r="C464" t="s">
        <v>64</v>
      </c>
      <c r="D464" t="s">
        <v>1801</v>
      </c>
      <c r="E464" s="13" t="s">
        <v>1802</v>
      </c>
      <c r="G464" s="2">
        <v>70</v>
      </c>
      <c r="H464">
        <v>96</v>
      </c>
      <c r="I464">
        <v>85</v>
      </c>
      <c r="J464" t="s">
        <v>27</v>
      </c>
      <c r="K464">
        <v>96</v>
      </c>
      <c r="L464" t="s">
        <v>28</v>
      </c>
      <c r="M464" s="12">
        <v>2.5</v>
      </c>
      <c r="N464" s="3">
        <f>G464*M464</f>
        <v>175</v>
      </c>
      <c r="O464" s="1">
        <v>45348</v>
      </c>
      <c r="P464" s="1">
        <v>45360</v>
      </c>
      <c r="Q464" s="1">
        <v>45592</v>
      </c>
      <c r="R464">
        <v>731</v>
      </c>
      <c r="S464">
        <v>719</v>
      </c>
      <c r="T464">
        <v>487</v>
      </c>
      <c r="U464" t="str">
        <f t="shared" si="14"/>
        <v>Expiring Soon</v>
      </c>
      <c r="V464" t="s">
        <v>1803</v>
      </c>
      <c r="W464">
        <v>34</v>
      </c>
      <c r="X464" s="3">
        <f t="shared" si="15"/>
        <v>5950</v>
      </c>
      <c r="Y464">
        <v>3</v>
      </c>
      <c r="Z464" t="s">
        <v>49</v>
      </c>
      <c r="AA464" s="3">
        <f>X464-Grocery_Inventory_and_Sales_Dat!N464</f>
        <v>5775</v>
      </c>
    </row>
    <row r="465" spans="1:27" x14ac:dyDescent="0.3">
      <c r="A465" t="s">
        <v>1804</v>
      </c>
      <c r="B465" t="s">
        <v>1485</v>
      </c>
      <c r="C465" t="s">
        <v>138</v>
      </c>
      <c r="D465" t="s">
        <v>1805</v>
      </c>
      <c r="E465" s="13" t="s">
        <v>903</v>
      </c>
      <c r="G465" s="2">
        <v>49</v>
      </c>
      <c r="H465">
        <v>48</v>
      </c>
      <c r="I465">
        <v>62</v>
      </c>
      <c r="J465" t="s">
        <v>55</v>
      </c>
      <c r="K465">
        <v>0</v>
      </c>
      <c r="L465" t="s">
        <v>41</v>
      </c>
      <c r="M465" s="12">
        <v>15</v>
      </c>
      <c r="N465" s="3">
        <f>G465*M465</f>
        <v>735</v>
      </c>
      <c r="O465" s="1">
        <v>45551</v>
      </c>
      <c r="P465" s="1">
        <v>45347</v>
      </c>
      <c r="Q465" s="1">
        <v>45518</v>
      </c>
      <c r="R465">
        <v>528</v>
      </c>
      <c r="S465">
        <v>732</v>
      </c>
      <c r="T465">
        <v>561</v>
      </c>
      <c r="U465" t="str">
        <f t="shared" si="14"/>
        <v>Safe</v>
      </c>
      <c r="V465" t="s">
        <v>1806</v>
      </c>
      <c r="W465">
        <v>96</v>
      </c>
      <c r="X465" s="3">
        <f t="shared" si="15"/>
        <v>70560</v>
      </c>
      <c r="Y465">
        <v>37</v>
      </c>
      <c r="Z465" t="s">
        <v>49</v>
      </c>
      <c r="AA465" s="3">
        <f>X465-Grocery_Inventory_and_Sales_Dat!N465</f>
        <v>69825</v>
      </c>
    </row>
    <row r="466" spans="1:27" x14ac:dyDescent="0.3">
      <c r="A466" t="s">
        <v>1807</v>
      </c>
      <c r="B466" t="s">
        <v>1048</v>
      </c>
      <c r="C466" t="s">
        <v>138</v>
      </c>
      <c r="D466" t="s">
        <v>1808</v>
      </c>
      <c r="E466" s="13" t="s">
        <v>1809</v>
      </c>
      <c r="G466" s="2">
        <v>89</v>
      </c>
      <c r="H466">
        <v>26</v>
      </c>
      <c r="I466">
        <v>36</v>
      </c>
      <c r="J466" t="s">
        <v>55</v>
      </c>
      <c r="K466">
        <v>0</v>
      </c>
      <c r="L466" t="s">
        <v>41</v>
      </c>
      <c r="M466" s="12">
        <v>7.5</v>
      </c>
      <c r="N466" s="3">
        <f>G466*M466</f>
        <v>667.5</v>
      </c>
      <c r="O466" s="1">
        <v>45589</v>
      </c>
      <c r="P466" s="1">
        <v>45503</v>
      </c>
      <c r="Q466" s="1">
        <v>45457</v>
      </c>
      <c r="R466">
        <v>490</v>
      </c>
      <c r="S466">
        <v>576</v>
      </c>
      <c r="T466">
        <v>622</v>
      </c>
      <c r="U466" t="str">
        <f t="shared" si="14"/>
        <v>Safe</v>
      </c>
      <c r="V466" t="s">
        <v>1810</v>
      </c>
      <c r="W466">
        <v>48</v>
      </c>
      <c r="X466" s="3">
        <f t="shared" si="15"/>
        <v>32040</v>
      </c>
      <c r="Y466">
        <v>94</v>
      </c>
      <c r="Z466" t="s">
        <v>49</v>
      </c>
      <c r="AA466" s="3">
        <f>X466-Grocery_Inventory_and_Sales_Dat!N466</f>
        <v>31372.5</v>
      </c>
    </row>
    <row r="467" spans="1:27" x14ac:dyDescent="0.3">
      <c r="A467" t="s">
        <v>1811</v>
      </c>
      <c r="B467" t="s">
        <v>456</v>
      </c>
      <c r="C467" t="s">
        <v>70</v>
      </c>
      <c r="D467" t="s">
        <v>1812</v>
      </c>
      <c r="E467" s="13" t="s">
        <v>957</v>
      </c>
      <c r="G467" s="2">
        <v>88</v>
      </c>
      <c r="H467">
        <v>53</v>
      </c>
      <c r="I467">
        <v>44</v>
      </c>
      <c r="J467" t="s">
        <v>55</v>
      </c>
      <c r="K467">
        <v>0</v>
      </c>
      <c r="L467" t="s">
        <v>41</v>
      </c>
      <c r="M467" s="12">
        <v>9</v>
      </c>
      <c r="N467" s="3">
        <f>G467*M467</f>
        <v>792</v>
      </c>
      <c r="O467" s="1">
        <v>45748</v>
      </c>
      <c r="P467" s="1">
        <v>45650</v>
      </c>
      <c r="Q467" s="1">
        <v>45694</v>
      </c>
      <c r="R467">
        <v>331</v>
      </c>
      <c r="S467">
        <v>429</v>
      </c>
      <c r="T467">
        <v>385</v>
      </c>
      <c r="U467" t="str">
        <f t="shared" si="14"/>
        <v>Expiring Soon</v>
      </c>
      <c r="V467" t="s">
        <v>1813</v>
      </c>
      <c r="W467">
        <v>56</v>
      </c>
      <c r="X467" s="3">
        <f t="shared" si="15"/>
        <v>44352</v>
      </c>
      <c r="Y467">
        <v>14</v>
      </c>
      <c r="Z467" t="s">
        <v>30</v>
      </c>
      <c r="AA467" s="3">
        <f>X467-Grocery_Inventory_and_Sales_Dat!N467</f>
        <v>43560</v>
      </c>
    </row>
    <row r="468" spans="1:27" x14ac:dyDescent="0.3">
      <c r="A468" t="s">
        <v>1814</v>
      </c>
      <c r="B468" t="s">
        <v>678</v>
      </c>
      <c r="C468" t="s">
        <v>33</v>
      </c>
      <c r="D468" t="s">
        <v>1815</v>
      </c>
      <c r="E468" s="13" t="s">
        <v>938</v>
      </c>
      <c r="G468" s="2">
        <v>39</v>
      </c>
      <c r="H468">
        <v>88</v>
      </c>
      <c r="I468">
        <v>100</v>
      </c>
      <c r="J468" t="s">
        <v>27</v>
      </c>
      <c r="K468">
        <v>88</v>
      </c>
      <c r="L468" t="s">
        <v>28</v>
      </c>
      <c r="M468" s="12">
        <v>8</v>
      </c>
      <c r="N468" s="3">
        <f>G468*M468</f>
        <v>312</v>
      </c>
      <c r="O468" s="1">
        <v>45621</v>
      </c>
      <c r="P468" s="1">
        <v>45687</v>
      </c>
      <c r="Q468" s="1">
        <v>45427</v>
      </c>
      <c r="R468">
        <v>458</v>
      </c>
      <c r="S468">
        <v>392</v>
      </c>
      <c r="T468">
        <v>652</v>
      </c>
      <c r="U468" t="str">
        <f t="shared" si="14"/>
        <v>Safe</v>
      </c>
      <c r="V468" t="s">
        <v>1816</v>
      </c>
      <c r="W468">
        <v>28</v>
      </c>
      <c r="X468" s="3">
        <f t="shared" si="15"/>
        <v>8736</v>
      </c>
      <c r="Y468">
        <v>18</v>
      </c>
      <c r="Z468" t="s">
        <v>43</v>
      </c>
      <c r="AA468" s="3">
        <f>X468-Grocery_Inventory_and_Sales_Dat!N468</f>
        <v>8424</v>
      </c>
    </row>
    <row r="469" spans="1:27" x14ac:dyDescent="0.3">
      <c r="A469" t="s">
        <v>1817</v>
      </c>
      <c r="B469" t="s">
        <v>600</v>
      </c>
      <c r="C469" t="s">
        <v>52</v>
      </c>
      <c r="D469" t="s">
        <v>1818</v>
      </c>
      <c r="E469" s="13" t="s">
        <v>553</v>
      </c>
      <c r="G469" s="2">
        <v>87</v>
      </c>
      <c r="H469">
        <v>91</v>
      </c>
      <c r="I469">
        <v>94</v>
      </c>
      <c r="J469" t="s">
        <v>27</v>
      </c>
      <c r="K469">
        <v>91</v>
      </c>
      <c r="L469" t="s">
        <v>28</v>
      </c>
      <c r="M469" s="12">
        <v>2.5</v>
      </c>
      <c r="N469" s="3">
        <f>G469*M469</f>
        <v>217.5</v>
      </c>
      <c r="O469" s="1">
        <v>45389</v>
      </c>
      <c r="P469" s="1">
        <v>45560</v>
      </c>
      <c r="Q469" s="1">
        <v>45468</v>
      </c>
      <c r="R469">
        <v>690</v>
      </c>
      <c r="S469">
        <v>519</v>
      </c>
      <c r="T469">
        <v>611</v>
      </c>
      <c r="U469" t="str">
        <f t="shared" si="14"/>
        <v>Safe</v>
      </c>
      <c r="V469" t="s">
        <v>1819</v>
      </c>
      <c r="W469">
        <v>47</v>
      </c>
      <c r="X469" s="3">
        <f t="shared" si="15"/>
        <v>10222.5</v>
      </c>
      <c r="Y469">
        <v>4</v>
      </c>
      <c r="Z469" t="s">
        <v>30</v>
      </c>
      <c r="AA469" s="3">
        <f>X469-Grocery_Inventory_and_Sales_Dat!N469</f>
        <v>10005</v>
      </c>
    </row>
    <row r="470" spans="1:27" x14ac:dyDescent="0.3">
      <c r="A470" t="s">
        <v>1820</v>
      </c>
      <c r="B470" t="s">
        <v>173</v>
      </c>
      <c r="C470" t="s">
        <v>95</v>
      </c>
      <c r="D470" t="s">
        <v>1821</v>
      </c>
      <c r="E470" s="13" t="s">
        <v>453</v>
      </c>
      <c r="G470" s="2">
        <v>93</v>
      </c>
      <c r="H470">
        <v>50</v>
      </c>
      <c r="I470">
        <v>43</v>
      </c>
      <c r="J470" t="s">
        <v>55</v>
      </c>
      <c r="K470">
        <v>0</v>
      </c>
      <c r="L470" t="s">
        <v>41</v>
      </c>
      <c r="M470" s="12">
        <v>5</v>
      </c>
      <c r="N470" s="3">
        <f>G470*M470</f>
        <v>465</v>
      </c>
      <c r="O470" s="1">
        <v>45470</v>
      </c>
      <c r="P470" s="1">
        <v>45428</v>
      </c>
      <c r="Q470" s="1">
        <v>45574</v>
      </c>
      <c r="R470">
        <v>609</v>
      </c>
      <c r="S470">
        <v>651</v>
      </c>
      <c r="T470">
        <v>505</v>
      </c>
      <c r="U470" t="str">
        <f t="shared" si="14"/>
        <v>Expiring Soon</v>
      </c>
      <c r="V470" t="s">
        <v>1822</v>
      </c>
      <c r="W470">
        <v>76</v>
      </c>
      <c r="X470" s="3">
        <f t="shared" si="15"/>
        <v>35340</v>
      </c>
      <c r="Y470">
        <v>35</v>
      </c>
      <c r="Z470" t="s">
        <v>30</v>
      </c>
      <c r="AA470" s="3">
        <f>X470-Grocery_Inventory_and_Sales_Dat!N470</f>
        <v>34875</v>
      </c>
    </row>
    <row r="471" spans="1:27" x14ac:dyDescent="0.3">
      <c r="A471" t="s">
        <v>1823</v>
      </c>
      <c r="B471" t="s">
        <v>734</v>
      </c>
      <c r="C471" t="s">
        <v>70</v>
      </c>
      <c r="D471" t="s">
        <v>1824</v>
      </c>
      <c r="E471" s="13" t="s">
        <v>1825</v>
      </c>
      <c r="G471" s="2">
        <v>23</v>
      </c>
      <c r="H471">
        <v>21</v>
      </c>
      <c r="I471">
        <v>59</v>
      </c>
      <c r="J471" t="s">
        <v>55</v>
      </c>
      <c r="K471">
        <v>0</v>
      </c>
      <c r="L471" t="s">
        <v>41</v>
      </c>
      <c r="M471" s="12">
        <v>2.4</v>
      </c>
      <c r="N471" s="3">
        <f>G471*M471</f>
        <v>55.199999999999996</v>
      </c>
      <c r="O471" s="1">
        <v>45519</v>
      </c>
      <c r="P471" s="1">
        <v>45568</v>
      </c>
      <c r="Q471" s="1">
        <v>45572</v>
      </c>
      <c r="R471">
        <v>560</v>
      </c>
      <c r="S471">
        <v>511</v>
      </c>
      <c r="T471">
        <v>507</v>
      </c>
      <c r="U471" t="str">
        <f t="shared" si="14"/>
        <v>Expiring Soon</v>
      </c>
      <c r="V471" t="s">
        <v>1826</v>
      </c>
      <c r="W471">
        <v>81</v>
      </c>
      <c r="X471" s="3">
        <f t="shared" si="15"/>
        <v>4471.2</v>
      </c>
      <c r="Y471">
        <v>8</v>
      </c>
      <c r="Z471" t="s">
        <v>49</v>
      </c>
      <c r="AA471" s="3">
        <f>X471-Grocery_Inventory_and_Sales_Dat!N471</f>
        <v>4416</v>
      </c>
    </row>
    <row r="472" spans="1:27" x14ac:dyDescent="0.3">
      <c r="A472" t="s">
        <v>1827</v>
      </c>
      <c r="B472" t="s">
        <v>1439</v>
      </c>
      <c r="C472" t="s">
        <v>95</v>
      </c>
      <c r="D472" t="s">
        <v>1828</v>
      </c>
      <c r="E472" s="13" t="s">
        <v>1829</v>
      </c>
      <c r="G472" s="2">
        <v>94</v>
      </c>
      <c r="H472">
        <v>34</v>
      </c>
      <c r="I472">
        <v>21</v>
      </c>
      <c r="J472" t="s">
        <v>55</v>
      </c>
      <c r="K472">
        <v>0</v>
      </c>
      <c r="L472" t="s">
        <v>41</v>
      </c>
      <c r="M472" s="12">
        <v>5.5</v>
      </c>
      <c r="N472" s="3">
        <f>G472*M472</f>
        <v>517</v>
      </c>
      <c r="O472" s="1">
        <v>45369</v>
      </c>
      <c r="P472" s="1">
        <v>45371</v>
      </c>
      <c r="Q472" s="1">
        <v>45597</v>
      </c>
      <c r="R472">
        <v>710</v>
      </c>
      <c r="S472">
        <v>708</v>
      </c>
      <c r="T472">
        <v>482</v>
      </c>
      <c r="U472" t="str">
        <f t="shared" si="14"/>
        <v>Expiring Soon</v>
      </c>
      <c r="V472" t="s">
        <v>1830</v>
      </c>
      <c r="W472">
        <v>74</v>
      </c>
      <c r="X472" s="3">
        <f t="shared" si="15"/>
        <v>38258</v>
      </c>
      <c r="Y472">
        <v>70</v>
      </c>
      <c r="Z472" t="s">
        <v>43</v>
      </c>
      <c r="AA472" s="3">
        <f>X472-Grocery_Inventory_and_Sales_Dat!N472</f>
        <v>37741</v>
      </c>
    </row>
    <row r="473" spans="1:27" x14ac:dyDescent="0.3">
      <c r="A473" t="s">
        <v>1831</v>
      </c>
      <c r="B473" t="s">
        <v>989</v>
      </c>
      <c r="C473" t="s">
        <v>95</v>
      </c>
      <c r="D473" t="s">
        <v>1832</v>
      </c>
      <c r="E473" s="13" t="s">
        <v>640</v>
      </c>
      <c r="G473" s="2">
        <v>38</v>
      </c>
      <c r="H473">
        <v>43</v>
      </c>
      <c r="I473">
        <v>91</v>
      </c>
      <c r="J473" t="s">
        <v>27</v>
      </c>
      <c r="K473">
        <v>43</v>
      </c>
      <c r="L473" t="s">
        <v>41</v>
      </c>
      <c r="M473" s="12">
        <v>4</v>
      </c>
      <c r="N473" s="3">
        <f>G473*M473</f>
        <v>152</v>
      </c>
      <c r="O473" s="1">
        <v>45402</v>
      </c>
      <c r="P473" s="1">
        <v>45522</v>
      </c>
      <c r="Q473" s="1">
        <v>45706</v>
      </c>
      <c r="R473">
        <v>677</v>
      </c>
      <c r="S473">
        <v>557</v>
      </c>
      <c r="T473">
        <v>373</v>
      </c>
      <c r="U473" t="str">
        <f t="shared" si="14"/>
        <v>Expiring Soon</v>
      </c>
      <c r="V473" t="s">
        <v>1833</v>
      </c>
      <c r="W473">
        <v>72</v>
      </c>
      <c r="X473" s="3">
        <f t="shared" si="15"/>
        <v>10944</v>
      </c>
      <c r="Y473">
        <v>64</v>
      </c>
      <c r="Z473" t="s">
        <v>49</v>
      </c>
      <c r="AA473" s="3">
        <f>X473-Grocery_Inventory_and_Sales_Dat!N473</f>
        <v>10792</v>
      </c>
    </row>
    <row r="474" spans="1:27" x14ac:dyDescent="0.3">
      <c r="A474" t="s">
        <v>1834</v>
      </c>
      <c r="B474" t="s">
        <v>1198</v>
      </c>
      <c r="C474" t="s">
        <v>70</v>
      </c>
      <c r="D474" t="s">
        <v>1835</v>
      </c>
      <c r="E474" s="13" t="s">
        <v>675</v>
      </c>
      <c r="G474" s="2">
        <v>11</v>
      </c>
      <c r="H474">
        <v>9</v>
      </c>
      <c r="I474">
        <v>65</v>
      </c>
      <c r="J474" t="s">
        <v>55</v>
      </c>
      <c r="K474">
        <v>0</v>
      </c>
      <c r="L474" t="s">
        <v>41</v>
      </c>
      <c r="M474" s="12">
        <v>2</v>
      </c>
      <c r="N474" s="3">
        <f>G474*M474</f>
        <v>22</v>
      </c>
      <c r="O474" s="1">
        <v>45578</v>
      </c>
      <c r="P474" s="1">
        <v>45394</v>
      </c>
      <c r="Q474" s="1">
        <v>45453</v>
      </c>
      <c r="R474">
        <v>501</v>
      </c>
      <c r="S474">
        <v>685</v>
      </c>
      <c r="T474">
        <v>626</v>
      </c>
      <c r="U474" t="str">
        <f t="shared" si="14"/>
        <v>Safe</v>
      </c>
      <c r="V474" t="s">
        <v>1836</v>
      </c>
      <c r="W474">
        <v>48</v>
      </c>
      <c r="X474" s="3">
        <f t="shared" si="15"/>
        <v>1056</v>
      </c>
      <c r="Y474">
        <v>96</v>
      </c>
      <c r="Z474" t="s">
        <v>30</v>
      </c>
      <c r="AA474" s="3">
        <f>X474-Grocery_Inventory_and_Sales_Dat!N474</f>
        <v>1034</v>
      </c>
    </row>
    <row r="475" spans="1:27" x14ac:dyDescent="0.3">
      <c r="A475" t="s">
        <v>1837</v>
      </c>
      <c r="B475" t="s">
        <v>342</v>
      </c>
      <c r="C475" t="s">
        <v>33</v>
      </c>
      <c r="D475" t="s">
        <v>1838</v>
      </c>
      <c r="E475" s="13" t="s">
        <v>1594</v>
      </c>
      <c r="G475" s="2">
        <v>60</v>
      </c>
      <c r="H475">
        <v>27</v>
      </c>
      <c r="I475">
        <v>58</v>
      </c>
      <c r="J475" t="s">
        <v>55</v>
      </c>
      <c r="K475">
        <v>0</v>
      </c>
      <c r="L475" t="s">
        <v>41</v>
      </c>
      <c r="M475" s="12">
        <v>25.3</v>
      </c>
      <c r="N475" s="3">
        <f>G475*M475</f>
        <v>1518</v>
      </c>
      <c r="O475" s="1">
        <v>45652</v>
      </c>
      <c r="P475" s="1">
        <v>45470</v>
      </c>
      <c r="Q475" s="1">
        <v>45615</v>
      </c>
      <c r="R475">
        <v>427</v>
      </c>
      <c r="S475">
        <v>609</v>
      </c>
      <c r="T475">
        <v>464</v>
      </c>
      <c r="U475" t="str">
        <f t="shared" si="14"/>
        <v>Expiring Soon</v>
      </c>
      <c r="V475" t="s">
        <v>1839</v>
      </c>
      <c r="W475">
        <v>43</v>
      </c>
      <c r="X475" s="3">
        <f t="shared" si="15"/>
        <v>65274</v>
      </c>
      <c r="Y475">
        <v>91</v>
      </c>
      <c r="Z475" t="s">
        <v>49</v>
      </c>
      <c r="AA475" s="3">
        <f>X475-Grocery_Inventory_and_Sales_Dat!N475</f>
        <v>63756</v>
      </c>
    </row>
    <row r="476" spans="1:27" x14ac:dyDescent="0.3">
      <c r="A476" t="s">
        <v>1840</v>
      </c>
      <c r="B476" t="s">
        <v>609</v>
      </c>
      <c r="C476" t="s">
        <v>64</v>
      </c>
      <c r="D476" t="s">
        <v>1841</v>
      </c>
      <c r="E476" s="13" t="s">
        <v>305</v>
      </c>
      <c r="G476" s="2">
        <v>50</v>
      </c>
      <c r="H476">
        <v>36</v>
      </c>
      <c r="I476">
        <v>81</v>
      </c>
      <c r="J476" t="s">
        <v>55</v>
      </c>
      <c r="K476">
        <v>0</v>
      </c>
      <c r="L476" t="s">
        <v>41</v>
      </c>
      <c r="M476" s="12">
        <v>10</v>
      </c>
      <c r="N476" s="3">
        <f>G476*M476</f>
        <v>500</v>
      </c>
      <c r="O476" s="1">
        <v>45561</v>
      </c>
      <c r="P476" s="1">
        <v>45631</v>
      </c>
      <c r="Q476" s="1">
        <v>45447</v>
      </c>
      <c r="R476">
        <v>518</v>
      </c>
      <c r="S476">
        <v>448</v>
      </c>
      <c r="T476">
        <v>632</v>
      </c>
      <c r="U476" t="str">
        <f t="shared" si="14"/>
        <v>Safe</v>
      </c>
      <c r="V476" t="s">
        <v>1842</v>
      </c>
      <c r="W476">
        <v>27</v>
      </c>
      <c r="X476" s="3">
        <f t="shared" si="15"/>
        <v>13500</v>
      </c>
      <c r="Y476">
        <v>6</v>
      </c>
      <c r="Z476" t="s">
        <v>30</v>
      </c>
      <c r="AA476" s="3">
        <f>X476-Grocery_Inventory_and_Sales_Dat!N476</f>
        <v>13000</v>
      </c>
    </row>
    <row r="477" spans="1:27" x14ac:dyDescent="0.3">
      <c r="A477" t="s">
        <v>1843</v>
      </c>
      <c r="B477" t="s">
        <v>69</v>
      </c>
      <c r="C477" t="s">
        <v>70</v>
      </c>
      <c r="D477" t="s">
        <v>1844</v>
      </c>
      <c r="E477" s="13" t="s">
        <v>930</v>
      </c>
      <c r="G477" s="2">
        <v>90</v>
      </c>
      <c r="H477">
        <v>3</v>
      </c>
      <c r="I477">
        <v>49</v>
      </c>
      <c r="J477" t="s">
        <v>55</v>
      </c>
      <c r="K477">
        <v>0</v>
      </c>
      <c r="L477" t="s">
        <v>41</v>
      </c>
      <c r="M477" s="12">
        <v>2.5</v>
      </c>
      <c r="N477" s="3">
        <f>G477*M477</f>
        <v>225</v>
      </c>
      <c r="O477" s="1">
        <v>45448</v>
      </c>
      <c r="P477" s="1">
        <v>45356</v>
      </c>
      <c r="Q477" s="1">
        <v>45701</v>
      </c>
      <c r="R477">
        <v>631</v>
      </c>
      <c r="S477">
        <v>723</v>
      </c>
      <c r="T477">
        <v>378</v>
      </c>
      <c r="U477" t="str">
        <f t="shared" si="14"/>
        <v>Expiring Soon</v>
      </c>
      <c r="V477" t="s">
        <v>1845</v>
      </c>
      <c r="W477">
        <v>51</v>
      </c>
      <c r="X477" s="3">
        <f t="shared" si="15"/>
        <v>11475</v>
      </c>
      <c r="Y477">
        <v>87</v>
      </c>
      <c r="Z477" t="s">
        <v>30</v>
      </c>
      <c r="AA477" s="3">
        <f>X477-Grocery_Inventory_and_Sales_Dat!N477</f>
        <v>11250</v>
      </c>
    </row>
    <row r="478" spans="1:27" x14ac:dyDescent="0.3">
      <c r="A478" t="s">
        <v>1846</v>
      </c>
      <c r="B478" t="s">
        <v>391</v>
      </c>
      <c r="C478" t="s">
        <v>24</v>
      </c>
      <c r="D478" t="s">
        <v>1847</v>
      </c>
      <c r="E478" s="13" t="s">
        <v>1267</v>
      </c>
      <c r="G478" s="2">
        <v>86</v>
      </c>
      <c r="H478">
        <v>80</v>
      </c>
      <c r="I478">
        <v>80</v>
      </c>
      <c r="J478" t="s">
        <v>55</v>
      </c>
      <c r="K478">
        <v>0</v>
      </c>
      <c r="L478" t="s">
        <v>41</v>
      </c>
      <c r="M478" s="12">
        <v>4.5</v>
      </c>
      <c r="N478" s="3">
        <f>G478*M478</f>
        <v>387</v>
      </c>
      <c r="O478" s="1">
        <v>45369</v>
      </c>
      <c r="P478" s="1">
        <v>45425</v>
      </c>
      <c r="Q478" s="1">
        <v>45432</v>
      </c>
      <c r="R478">
        <v>710</v>
      </c>
      <c r="S478">
        <v>654</v>
      </c>
      <c r="T478">
        <v>647</v>
      </c>
      <c r="U478" t="str">
        <f t="shared" si="14"/>
        <v>Safe</v>
      </c>
      <c r="V478" t="s">
        <v>1848</v>
      </c>
      <c r="W478">
        <v>22</v>
      </c>
      <c r="X478" s="3">
        <f t="shared" si="15"/>
        <v>8514</v>
      </c>
      <c r="Y478">
        <v>67</v>
      </c>
      <c r="Z478" t="s">
        <v>30</v>
      </c>
      <c r="AA478" s="3">
        <f>X478-Grocery_Inventory_and_Sales_Dat!N478</f>
        <v>8127</v>
      </c>
    </row>
    <row r="479" spans="1:27" x14ac:dyDescent="0.3">
      <c r="A479" t="s">
        <v>1849</v>
      </c>
      <c r="B479" t="s">
        <v>600</v>
      </c>
      <c r="C479" t="s">
        <v>52</v>
      </c>
      <c r="D479" t="s">
        <v>1850</v>
      </c>
      <c r="E479" s="13" t="s">
        <v>657</v>
      </c>
      <c r="G479" s="2">
        <v>86</v>
      </c>
      <c r="H479">
        <v>66</v>
      </c>
      <c r="I479">
        <v>24</v>
      </c>
      <c r="J479" t="s">
        <v>55</v>
      </c>
      <c r="K479">
        <v>0</v>
      </c>
      <c r="L479" t="s">
        <v>41</v>
      </c>
      <c r="M479" s="12">
        <v>2.5</v>
      </c>
      <c r="N479" s="3">
        <f>G479*M479</f>
        <v>215</v>
      </c>
      <c r="O479" s="1">
        <v>45502</v>
      </c>
      <c r="P479" s="1">
        <v>45749</v>
      </c>
      <c r="Q479" s="1">
        <v>45677</v>
      </c>
      <c r="R479">
        <v>577</v>
      </c>
      <c r="S479">
        <v>330</v>
      </c>
      <c r="T479">
        <v>402</v>
      </c>
      <c r="U479" t="str">
        <f t="shared" si="14"/>
        <v>Expiring Soon</v>
      </c>
      <c r="V479" t="s">
        <v>1851</v>
      </c>
      <c r="W479">
        <v>30</v>
      </c>
      <c r="X479" s="3">
        <f t="shared" si="15"/>
        <v>6450</v>
      </c>
      <c r="Y479">
        <v>6</v>
      </c>
      <c r="Z479" t="s">
        <v>30</v>
      </c>
      <c r="AA479" s="3">
        <f>X479-Grocery_Inventory_and_Sales_Dat!N479</f>
        <v>6235</v>
      </c>
    </row>
    <row r="480" spans="1:27" x14ac:dyDescent="0.3">
      <c r="A480" t="s">
        <v>1852</v>
      </c>
      <c r="B480" t="s">
        <v>507</v>
      </c>
      <c r="C480" t="s">
        <v>24</v>
      </c>
      <c r="D480" t="s">
        <v>1853</v>
      </c>
      <c r="E480" s="13" t="s">
        <v>199</v>
      </c>
      <c r="G480" s="2">
        <v>54</v>
      </c>
      <c r="H480">
        <v>17</v>
      </c>
      <c r="I480">
        <v>90</v>
      </c>
      <c r="J480" t="s">
        <v>55</v>
      </c>
      <c r="K480">
        <v>0</v>
      </c>
      <c r="L480" t="s">
        <v>41</v>
      </c>
      <c r="M480" s="12">
        <v>9.5</v>
      </c>
      <c r="N480" s="3">
        <f>G480*M480</f>
        <v>513</v>
      </c>
      <c r="O480" s="1">
        <v>45680</v>
      </c>
      <c r="P480" s="1">
        <v>45481</v>
      </c>
      <c r="Q480" s="1">
        <v>45696</v>
      </c>
      <c r="R480">
        <v>399</v>
      </c>
      <c r="S480">
        <v>598</v>
      </c>
      <c r="T480">
        <v>383</v>
      </c>
      <c r="U480" t="str">
        <f t="shared" si="14"/>
        <v>Expiring Soon</v>
      </c>
      <c r="V480" t="s">
        <v>1854</v>
      </c>
      <c r="W480">
        <v>60</v>
      </c>
      <c r="X480" s="3">
        <f t="shared" si="15"/>
        <v>30780</v>
      </c>
      <c r="Y480">
        <v>20</v>
      </c>
      <c r="Z480" t="s">
        <v>49</v>
      </c>
      <c r="AA480" s="3">
        <f>X480-Grocery_Inventory_and_Sales_Dat!N480</f>
        <v>30267</v>
      </c>
    </row>
    <row r="481" spans="1:27" x14ac:dyDescent="0.3">
      <c r="A481" t="s">
        <v>1855</v>
      </c>
      <c r="B481" t="s">
        <v>786</v>
      </c>
      <c r="C481" t="s">
        <v>52</v>
      </c>
      <c r="D481" t="s">
        <v>1856</v>
      </c>
      <c r="E481" s="13" t="s">
        <v>1317</v>
      </c>
      <c r="G481" s="2">
        <v>27</v>
      </c>
      <c r="H481">
        <v>64</v>
      </c>
      <c r="I481">
        <v>43</v>
      </c>
      <c r="J481" t="s">
        <v>27</v>
      </c>
      <c r="K481">
        <v>64</v>
      </c>
      <c r="L481" t="s">
        <v>28</v>
      </c>
      <c r="M481" s="12">
        <v>3</v>
      </c>
      <c r="N481" s="3">
        <f>G481*M481</f>
        <v>81</v>
      </c>
      <c r="O481" s="1">
        <v>45610</v>
      </c>
      <c r="P481" s="1">
        <v>45626</v>
      </c>
      <c r="Q481" s="1">
        <v>45373</v>
      </c>
      <c r="R481">
        <v>469</v>
      </c>
      <c r="S481">
        <v>453</v>
      </c>
      <c r="T481">
        <v>706</v>
      </c>
      <c r="U481" t="str">
        <f t="shared" si="14"/>
        <v>Safe</v>
      </c>
      <c r="V481" t="s">
        <v>1857</v>
      </c>
      <c r="W481">
        <v>70</v>
      </c>
      <c r="X481" s="3">
        <f t="shared" si="15"/>
        <v>5670</v>
      </c>
      <c r="Y481">
        <v>58</v>
      </c>
      <c r="Z481" t="s">
        <v>30</v>
      </c>
      <c r="AA481" s="3">
        <f>X481-Grocery_Inventory_and_Sales_Dat!N481</f>
        <v>5589</v>
      </c>
    </row>
    <row r="482" spans="1:27" x14ac:dyDescent="0.3">
      <c r="A482" t="s">
        <v>1858</v>
      </c>
      <c r="B482" t="s">
        <v>94</v>
      </c>
      <c r="C482" t="s">
        <v>95</v>
      </c>
      <c r="D482" t="s">
        <v>1859</v>
      </c>
      <c r="E482" s="13" t="s">
        <v>1401</v>
      </c>
      <c r="G482" s="2">
        <v>50</v>
      </c>
      <c r="H482">
        <v>58</v>
      </c>
      <c r="I482">
        <v>78</v>
      </c>
      <c r="J482" t="s">
        <v>27</v>
      </c>
      <c r="K482">
        <v>58</v>
      </c>
      <c r="L482" t="s">
        <v>41</v>
      </c>
      <c r="M482" s="12">
        <v>3</v>
      </c>
      <c r="N482" s="3">
        <f>G482*M482</f>
        <v>150</v>
      </c>
      <c r="O482" s="1">
        <v>45579</v>
      </c>
      <c r="P482" s="1">
        <v>45399</v>
      </c>
      <c r="Q482" s="1">
        <v>45441</v>
      </c>
      <c r="R482">
        <v>500</v>
      </c>
      <c r="S482">
        <v>680</v>
      </c>
      <c r="T482">
        <v>638</v>
      </c>
      <c r="U482" t="str">
        <f t="shared" si="14"/>
        <v>Safe</v>
      </c>
      <c r="V482" t="s">
        <v>1860</v>
      </c>
      <c r="W482">
        <v>83</v>
      </c>
      <c r="X482" s="3">
        <f t="shared" si="15"/>
        <v>12450</v>
      </c>
      <c r="Y482">
        <v>49</v>
      </c>
      <c r="Z482" t="s">
        <v>49</v>
      </c>
      <c r="AA482" s="3">
        <f>X482-Grocery_Inventory_and_Sales_Dat!N482</f>
        <v>12300</v>
      </c>
    </row>
    <row r="483" spans="1:27" x14ac:dyDescent="0.3">
      <c r="A483" t="s">
        <v>1861</v>
      </c>
      <c r="B483" t="s">
        <v>207</v>
      </c>
      <c r="C483" t="s">
        <v>52</v>
      </c>
      <c r="D483" t="s">
        <v>1862</v>
      </c>
      <c r="E483" s="13" t="s">
        <v>945</v>
      </c>
      <c r="G483" s="2">
        <v>68</v>
      </c>
      <c r="H483">
        <v>10</v>
      </c>
      <c r="I483">
        <v>29</v>
      </c>
      <c r="J483" t="s">
        <v>55</v>
      </c>
      <c r="K483">
        <v>0</v>
      </c>
      <c r="L483" t="s">
        <v>41</v>
      </c>
      <c r="M483" s="12">
        <v>2</v>
      </c>
      <c r="N483" s="3">
        <f>G483*M483</f>
        <v>136</v>
      </c>
      <c r="O483" s="1">
        <v>45596</v>
      </c>
      <c r="P483" s="1">
        <v>45479</v>
      </c>
      <c r="Q483" s="1">
        <v>45374</v>
      </c>
      <c r="R483">
        <v>483</v>
      </c>
      <c r="S483">
        <v>600</v>
      </c>
      <c r="T483">
        <v>705</v>
      </c>
      <c r="U483" t="str">
        <f t="shared" si="14"/>
        <v>Safe</v>
      </c>
      <c r="V483" t="s">
        <v>1863</v>
      </c>
      <c r="W483">
        <v>37</v>
      </c>
      <c r="X483" s="3">
        <f t="shared" si="15"/>
        <v>5032</v>
      </c>
      <c r="Y483">
        <v>11</v>
      </c>
      <c r="Z483" t="s">
        <v>30</v>
      </c>
      <c r="AA483" s="3">
        <f>X483-Grocery_Inventory_and_Sales_Dat!N483</f>
        <v>4896</v>
      </c>
    </row>
    <row r="484" spans="1:27" x14ac:dyDescent="0.3">
      <c r="A484" t="s">
        <v>1864</v>
      </c>
      <c r="B484" t="s">
        <v>271</v>
      </c>
      <c r="C484" t="s">
        <v>95</v>
      </c>
      <c r="D484" t="s">
        <v>1865</v>
      </c>
      <c r="E484" s="13" t="s">
        <v>771</v>
      </c>
      <c r="G484" s="2">
        <v>22</v>
      </c>
      <c r="H484">
        <v>60</v>
      </c>
      <c r="I484">
        <v>73</v>
      </c>
      <c r="J484" t="s">
        <v>27</v>
      </c>
      <c r="K484">
        <v>60</v>
      </c>
      <c r="L484" t="s">
        <v>41</v>
      </c>
      <c r="M484" s="12">
        <v>4.2</v>
      </c>
      <c r="N484" s="3">
        <f>G484*M484</f>
        <v>92.4</v>
      </c>
      <c r="O484" s="1">
        <v>45542</v>
      </c>
      <c r="P484" s="1">
        <v>45515</v>
      </c>
      <c r="Q484" s="1">
        <v>45485</v>
      </c>
      <c r="R484">
        <v>537</v>
      </c>
      <c r="S484">
        <v>564</v>
      </c>
      <c r="T484">
        <v>594</v>
      </c>
      <c r="U484" t="str">
        <f t="shared" si="14"/>
        <v>Safe</v>
      </c>
      <c r="V484" t="s">
        <v>1866</v>
      </c>
      <c r="W484">
        <v>62</v>
      </c>
      <c r="X484" s="3">
        <f t="shared" si="15"/>
        <v>5728.8</v>
      </c>
      <c r="Y484">
        <v>3</v>
      </c>
      <c r="Z484" t="s">
        <v>43</v>
      </c>
      <c r="AA484" s="3">
        <f>X484-Grocery_Inventory_and_Sales_Dat!N484</f>
        <v>5636.4000000000005</v>
      </c>
    </row>
    <row r="485" spans="1:27" x14ac:dyDescent="0.3">
      <c r="A485" t="s">
        <v>1867</v>
      </c>
      <c r="B485" t="s">
        <v>456</v>
      </c>
      <c r="C485" t="s">
        <v>70</v>
      </c>
      <c r="D485" t="s">
        <v>1868</v>
      </c>
      <c r="E485" s="13" t="s">
        <v>1030</v>
      </c>
      <c r="G485" s="2">
        <v>50</v>
      </c>
      <c r="H485">
        <v>14</v>
      </c>
      <c r="I485">
        <v>6</v>
      </c>
      <c r="J485" t="s">
        <v>55</v>
      </c>
      <c r="K485">
        <v>0</v>
      </c>
      <c r="L485" t="s">
        <v>41</v>
      </c>
      <c r="M485" s="12">
        <v>9.1999999999999993</v>
      </c>
      <c r="N485" s="3">
        <f>G485*M485</f>
        <v>459.99999999999994</v>
      </c>
      <c r="O485" s="1">
        <v>45328</v>
      </c>
      <c r="P485" s="1">
        <v>45645</v>
      </c>
      <c r="Q485" s="1">
        <v>45543</v>
      </c>
      <c r="R485">
        <v>751</v>
      </c>
      <c r="S485">
        <v>434</v>
      </c>
      <c r="T485">
        <v>536</v>
      </c>
      <c r="U485" t="str">
        <f t="shared" si="14"/>
        <v>Expiring Soon</v>
      </c>
      <c r="V485" t="s">
        <v>1869</v>
      </c>
      <c r="W485">
        <v>60</v>
      </c>
      <c r="X485" s="3">
        <f t="shared" si="15"/>
        <v>27599.999999999996</v>
      </c>
      <c r="Y485">
        <v>72</v>
      </c>
      <c r="Z485" t="s">
        <v>43</v>
      </c>
      <c r="AA485" s="3">
        <f>X485-Grocery_Inventory_and_Sales_Dat!N485</f>
        <v>27139.999999999996</v>
      </c>
    </row>
    <row r="486" spans="1:27" x14ac:dyDescent="0.3">
      <c r="A486" t="s">
        <v>1870</v>
      </c>
      <c r="B486" t="s">
        <v>374</v>
      </c>
      <c r="C486" t="s">
        <v>52</v>
      </c>
      <c r="D486" t="s">
        <v>1871</v>
      </c>
      <c r="E486" s="13" t="s">
        <v>1872</v>
      </c>
      <c r="G486" s="2">
        <v>26</v>
      </c>
      <c r="H486">
        <v>12</v>
      </c>
      <c r="I486">
        <v>43</v>
      </c>
      <c r="J486" t="s">
        <v>55</v>
      </c>
      <c r="K486">
        <v>0</v>
      </c>
      <c r="L486" t="s">
        <v>41</v>
      </c>
      <c r="M486" s="12">
        <v>4.4000000000000004</v>
      </c>
      <c r="N486" s="3">
        <f>G486*M486</f>
        <v>114.4</v>
      </c>
      <c r="O486" s="1">
        <v>45674</v>
      </c>
      <c r="P486" s="1">
        <v>45551</v>
      </c>
      <c r="Q486" s="1">
        <v>45712</v>
      </c>
      <c r="R486">
        <v>405</v>
      </c>
      <c r="S486">
        <v>528</v>
      </c>
      <c r="T486">
        <v>367</v>
      </c>
      <c r="U486" t="str">
        <f t="shared" si="14"/>
        <v>Expiring Soon</v>
      </c>
      <c r="V486" t="s">
        <v>1873</v>
      </c>
      <c r="W486">
        <v>73</v>
      </c>
      <c r="X486" s="3">
        <f t="shared" si="15"/>
        <v>8351.2000000000007</v>
      </c>
      <c r="Y486">
        <v>20</v>
      </c>
      <c r="Z486" t="s">
        <v>43</v>
      </c>
      <c r="AA486" s="3">
        <f>X486-Grocery_Inventory_and_Sales_Dat!N486</f>
        <v>8236.8000000000011</v>
      </c>
    </row>
    <row r="487" spans="1:27" x14ac:dyDescent="0.3">
      <c r="A487" t="s">
        <v>1874</v>
      </c>
      <c r="B487" t="s">
        <v>342</v>
      </c>
      <c r="C487" t="s">
        <v>33</v>
      </c>
      <c r="D487" t="s">
        <v>1875</v>
      </c>
      <c r="E487" s="13" t="s">
        <v>1876</v>
      </c>
      <c r="G487" s="2">
        <v>62</v>
      </c>
      <c r="H487">
        <v>31</v>
      </c>
      <c r="I487">
        <v>24</v>
      </c>
      <c r="J487" t="s">
        <v>55</v>
      </c>
      <c r="K487">
        <v>0</v>
      </c>
      <c r="L487" t="s">
        <v>41</v>
      </c>
      <c r="M487" s="12">
        <v>25</v>
      </c>
      <c r="N487" s="3">
        <f>G487*M487</f>
        <v>1550</v>
      </c>
      <c r="O487" s="1">
        <v>45412</v>
      </c>
      <c r="P487" s="1">
        <v>45571</v>
      </c>
      <c r="Q487" s="1">
        <v>45694</v>
      </c>
      <c r="R487">
        <v>667</v>
      </c>
      <c r="S487">
        <v>508</v>
      </c>
      <c r="T487">
        <v>385</v>
      </c>
      <c r="U487" t="str">
        <f t="shared" si="14"/>
        <v>Expiring Soon</v>
      </c>
      <c r="V487" t="s">
        <v>1877</v>
      </c>
      <c r="W487">
        <v>89</v>
      </c>
      <c r="X487" s="3">
        <f t="shared" si="15"/>
        <v>137950</v>
      </c>
      <c r="Y487">
        <v>100</v>
      </c>
      <c r="Z487" t="s">
        <v>43</v>
      </c>
      <c r="AA487" s="3">
        <f>X487-Grocery_Inventory_and_Sales_Dat!N487</f>
        <v>136400</v>
      </c>
    </row>
    <row r="488" spans="1:27" x14ac:dyDescent="0.3">
      <c r="A488" t="s">
        <v>1878</v>
      </c>
      <c r="B488" t="s">
        <v>355</v>
      </c>
      <c r="C488" t="s">
        <v>52</v>
      </c>
      <c r="D488" t="s">
        <v>1879</v>
      </c>
      <c r="E488" s="13" t="s">
        <v>285</v>
      </c>
      <c r="G488" s="2">
        <v>79</v>
      </c>
      <c r="H488">
        <v>72</v>
      </c>
      <c r="I488">
        <v>6</v>
      </c>
      <c r="J488" t="s">
        <v>55</v>
      </c>
      <c r="K488">
        <v>0</v>
      </c>
      <c r="L488" t="s">
        <v>41</v>
      </c>
      <c r="M488" s="12">
        <v>4</v>
      </c>
      <c r="N488" s="3">
        <f>G488*M488</f>
        <v>316</v>
      </c>
      <c r="O488" s="1">
        <v>45603</v>
      </c>
      <c r="P488" s="1">
        <v>45448</v>
      </c>
      <c r="Q488" s="1">
        <v>45413</v>
      </c>
      <c r="R488">
        <v>476</v>
      </c>
      <c r="S488">
        <v>631</v>
      </c>
      <c r="T488">
        <v>666</v>
      </c>
      <c r="U488" t="str">
        <f t="shared" si="14"/>
        <v>Safe</v>
      </c>
      <c r="V488" t="s">
        <v>1880</v>
      </c>
      <c r="W488">
        <v>67</v>
      </c>
      <c r="X488" s="3">
        <f t="shared" si="15"/>
        <v>21172</v>
      </c>
      <c r="Y488">
        <v>63</v>
      </c>
      <c r="Z488" t="s">
        <v>49</v>
      </c>
      <c r="AA488" s="3">
        <f>X488-Grocery_Inventory_and_Sales_Dat!N488</f>
        <v>20856</v>
      </c>
    </row>
    <row r="489" spans="1:27" x14ac:dyDescent="0.3">
      <c r="A489" t="s">
        <v>1881</v>
      </c>
      <c r="B489" t="s">
        <v>560</v>
      </c>
      <c r="C489" t="s">
        <v>52</v>
      </c>
      <c r="D489" t="s">
        <v>1882</v>
      </c>
      <c r="E489" s="13" t="s">
        <v>1449</v>
      </c>
      <c r="G489" s="2">
        <v>73</v>
      </c>
      <c r="H489">
        <v>90</v>
      </c>
      <c r="I489">
        <v>77</v>
      </c>
      <c r="J489" t="s">
        <v>27</v>
      </c>
      <c r="K489">
        <v>90</v>
      </c>
      <c r="L489" t="s">
        <v>28</v>
      </c>
      <c r="M489" s="12">
        <v>4</v>
      </c>
      <c r="N489" s="3">
        <f>G489*M489</f>
        <v>292</v>
      </c>
      <c r="O489" s="1">
        <v>45348</v>
      </c>
      <c r="P489" s="1">
        <v>45519</v>
      </c>
      <c r="Q489" s="1">
        <v>45357</v>
      </c>
      <c r="R489">
        <v>731</v>
      </c>
      <c r="S489">
        <v>560</v>
      </c>
      <c r="T489">
        <v>722</v>
      </c>
      <c r="U489" t="str">
        <f t="shared" si="14"/>
        <v>Safe</v>
      </c>
      <c r="V489" t="s">
        <v>1883</v>
      </c>
      <c r="W489">
        <v>75</v>
      </c>
      <c r="X489" s="3">
        <f t="shared" si="15"/>
        <v>21900</v>
      </c>
      <c r="Y489">
        <v>19</v>
      </c>
      <c r="Z489" t="s">
        <v>43</v>
      </c>
      <c r="AA489" s="3">
        <f>X489-Grocery_Inventory_and_Sales_Dat!N489</f>
        <v>21608</v>
      </c>
    </row>
    <row r="490" spans="1:27" x14ac:dyDescent="0.3">
      <c r="A490" t="s">
        <v>1884</v>
      </c>
      <c r="B490" t="s">
        <v>317</v>
      </c>
      <c r="C490" t="s">
        <v>52</v>
      </c>
      <c r="D490" t="s">
        <v>1885</v>
      </c>
      <c r="E490" s="13" t="s">
        <v>767</v>
      </c>
      <c r="G490" s="2">
        <v>18</v>
      </c>
      <c r="H490">
        <v>50</v>
      </c>
      <c r="I490">
        <v>77</v>
      </c>
      <c r="J490" t="s">
        <v>27</v>
      </c>
      <c r="K490">
        <v>50</v>
      </c>
      <c r="L490" t="s">
        <v>41</v>
      </c>
      <c r="M490" s="12">
        <v>1.45</v>
      </c>
      <c r="N490" s="3">
        <f>G490*M490</f>
        <v>26.099999999999998</v>
      </c>
      <c r="O490" s="1">
        <v>45362</v>
      </c>
      <c r="P490" s="1">
        <v>45534</v>
      </c>
      <c r="Q490" s="1">
        <v>45707</v>
      </c>
      <c r="R490">
        <v>717</v>
      </c>
      <c r="S490">
        <v>545</v>
      </c>
      <c r="T490">
        <v>372</v>
      </c>
      <c r="U490" t="str">
        <f t="shared" si="14"/>
        <v>Expiring Soon</v>
      </c>
      <c r="V490" t="s">
        <v>1886</v>
      </c>
      <c r="W490">
        <v>44</v>
      </c>
      <c r="X490" s="3">
        <f t="shared" si="15"/>
        <v>1148.3999999999999</v>
      </c>
      <c r="Y490">
        <v>19</v>
      </c>
      <c r="Z490" t="s">
        <v>49</v>
      </c>
      <c r="AA490" s="3">
        <f>X490-Grocery_Inventory_and_Sales_Dat!N490</f>
        <v>1122.3</v>
      </c>
    </row>
    <row r="491" spans="1:27" x14ac:dyDescent="0.3">
      <c r="A491" t="s">
        <v>1887</v>
      </c>
      <c r="B491" t="s">
        <v>1008</v>
      </c>
      <c r="C491" t="s">
        <v>52</v>
      </c>
      <c r="D491" t="s">
        <v>1888</v>
      </c>
      <c r="E491" s="13" t="s">
        <v>574</v>
      </c>
      <c r="G491" s="2">
        <v>79</v>
      </c>
      <c r="H491">
        <v>74</v>
      </c>
      <c r="I491">
        <v>87</v>
      </c>
      <c r="J491" t="s">
        <v>55</v>
      </c>
      <c r="K491">
        <v>0</v>
      </c>
      <c r="L491" t="s">
        <v>41</v>
      </c>
      <c r="M491" s="12">
        <v>4</v>
      </c>
      <c r="N491" s="3">
        <f>G491*M491</f>
        <v>316</v>
      </c>
      <c r="O491" s="1">
        <v>45481</v>
      </c>
      <c r="P491" s="1">
        <v>45539</v>
      </c>
      <c r="Q491" s="1">
        <v>45583</v>
      </c>
      <c r="R491">
        <v>598</v>
      </c>
      <c r="S491">
        <v>540</v>
      </c>
      <c r="T491">
        <v>496</v>
      </c>
      <c r="U491" t="str">
        <f t="shared" si="14"/>
        <v>Expiring Soon</v>
      </c>
      <c r="V491" t="s">
        <v>1889</v>
      </c>
      <c r="W491">
        <v>80</v>
      </c>
      <c r="X491" s="3">
        <f t="shared" si="15"/>
        <v>25280</v>
      </c>
      <c r="Y491">
        <v>26</v>
      </c>
      <c r="Z491" t="s">
        <v>43</v>
      </c>
      <c r="AA491" s="3">
        <f>X491-Grocery_Inventory_and_Sales_Dat!N491</f>
        <v>24964</v>
      </c>
    </row>
    <row r="492" spans="1:27" x14ac:dyDescent="0.3">
      <c r="A492" t="s">
        <v>1890</v>
      </c>
      <c r="B492" t="s">
        <v>32</v>
      </c>
      <c r="C492" t="s">
        <v>33</v>
      </c>
      <c r="D492" t="s">
        <v>1891</v>
      </c>
      <c r="E492" s="13" t="s">
        <v>255</v>
      </c>
      <c r="G492" s="2">
        <v>23</v>
      </c>
      <c r="H492">
        <v>13</v>
      </c>
      <c r="I492">
        <v>15</v>
      </c>
      <c r="J492" t="s">
        <v>55</v>
      </c>
      <c r="K492">
        <v>0</v>
      </c>
      <c r="L492" t="s">
        <v>41</v>
      </c>
      <c r="M492" s="12">
        <v>20</v>
      </c>
      <c r="N492" s="3">
        <f>G492*M492</f>
        <v>460</v>
      </c>
      <c r="O492" s="1">
        <v>45378</v>
      </c>
      <c r="P492" s="1">
        <v>45433</v>
      </c>
      <c r="Q492" s="1">
        <v>45617</v>
      </c>
      <c r="R492">
        <v>701</v>
      </c>
      <c r="S492">
        <v>646</v>
      </c>
      <c r="T492">
        <v>462</v>
      </c>
      <c r="U492" t="str">
        <f t="shared" si="14"/>
        <v>Expiring Soon</v>
      </c>
      <c r="V492" t="s">
        <v>1892</v>
      </c>
      <c r="W492">
        <v>31</v>
      </c>
      <c r="X492" s="3">
        <f t="shared" si="15"/>
        <v>14260</v>
      </c>
      <c r="Y492">
        <v>28</v>
      </c>
      <c r="Z492" t="s">
        <v>43</v>
      </c>
      <c r="AA492" s="3">
        <f>X492-Grocery_Inventory_and_Sales_Dat!N492</f>
        <v>13800</v>
      </c>
    </row>
    <row r="493" spans="1:27" x14ac:dyDescent="0.3">
      <c r="A493" t="s">
        <v>1893</v>
      </c>
      <c r="B493" t="s">
        <v>1105</v>
      </c>
      <c r="C493" t="s">
        <v>70</v>
      </c>
      <c r="D493" t="s">
        <v>1894</v>
      </c>
      <c r="E493" s="13" t="s">
        <v>1895</v>
      </c>
      <c r="G493" s="2">
        <v>18</v>
      </c>
      <c r="H493">
        <v>64</v>
      </c>
      <c r="I493">
        <v>86</v>
      </c>
      <c r="J493" t="s">
        <v>27</v>
      </c>
      <c r="K493">
        <v>64</v>
      </c>
      <c r="L493" t="s">
        <v>28</v>
      </c>
      <c r="M493" s="12">
        <v>1</v>
      </c>
      <c r="N493" s="3">
        <f>G493*M493</f>
        <v>18</v>
      </c>
      <c r="O493" s="1">
        <v>45548</v>
      </c>
      <c r="P493" s="1">
        <v>45541</v>
      </c>
      <c r="Q493" s="1">
        <v>45605</v>
      </c>
      <c r="R493">
        <v>531</v>
      </c>
      <c r="S493">
        <v>538</v>
      </c>
      <c r="T493">
        <v>474</v>
      </c>
      <c r="U493" t="str">
        <f t="shared" si="14"/>
        <v>Expiring Soon</v>
      </c>
      <c r="V493" t="s">
        <v>1896</v>
      </c>
      <c r="W493">
        <v>73</v>
      </c>
      <c r="X493" s="3">
        <f t="shared" si="15"/>
        <v>1314</v>
      </c>
      <c r="Y493">
        <v>38</v>
      </c>
      <c r="Z493" t="s">
        <v>49</v>
      </c>
      <c r="AA493" s="3">
        <f>X493-Grocery_Inventory_and_Sales_Dat!N493</f>
        <v>1296</v>
      </c>
    </row>
    <row r="494" spans="1:27" x14ac:dyDescent="0.3">
      <c r="A494" t="s">
        <v>1897</v>
      </c>
      <c r="B494" t="s">
        <v>870</v>
      </c>
      <c r="C494" t="s">
        <v>64</v>
      </c>
      <c r="D494" t="s">
        <v>1898</v>
      </c>
      <c r="E494" s="13" t="s">
        <v>783</v>
      </c>
      <c r="G494" s="2">
        <v>24</v>
      </c>
      <c r="H494">
        <v>35</v>
      </c>
      <c r="I494">
        <v>14</v>
      </c>
      <c r="J494" t="s">
        <v>27</v>
      </c>
      <c r="K494">
        <v>35</v>
      </c>
      <c r="L494" t="s">
        <v>41</v>
      </c>
      <c r="M494" s="12">
        <v>2.5</v>
      </c>
      <c r="N494" s="3">
        <f>G494*M494</f>
        <v>60</v>
      </c>
      <c r="O494" s="1">
        <v>45387</v>
      </c>
      <c r="P494" s="1">
        <v>45467</v>
      </c>
      <c r="Q494" s="1">
        <v>45627</v>
      </c>
      <c r="R494">
        <v>692</v>
      </c>
      <c r="S494">
        <v>612</v>
      </c>
      <c r="T494">
        <v>452</v>
      </c>
      <c r="U494" t="str">
        <f t="shared" si="14"/>
        <v>Expiring Soon</v>
      </c>
      <c r="V494" t="s">
        <v>1899</v>
      </c>
      <c r="W494">
        <v>91</v>
      </c>
      <c r="X494" s="3">
        <f t="shared" si="15"/>
        <v>5460</v>
      </c>
      <c r="Y494">
        <v>71</v>
      </c>
      <c r="Z494" t="s">
        <v>43</v>
      </c>
      <c r="AA494" s="3">
        <f>X494-Grocery_Inventory_and_Sales_Dat!N494</f>
        <v>5400</v>
      </c>
    </row>
    <row r="495" spans="1:27" x14ac:dyDescent="0.3">
      <c r="A495" t="s">
        <v>1900</v>
      </c>
      <c r="B495" t="s">
        <v>786</v>
      </c>
      <c r="C495" t="s">
        <v>52</v>
      </c>
      <c r="D495" t="s">
        <v>1901</v>
      </c>
      <c r="E495" s="13" t="s">
        <v>615</v>
      </c>
      <c r="G495" s="2">
        <v>53</v>
      </c>
      <c r="H495">
        <v>41</v>
      </c>
      <c r="I495">
        <v>30</v>
      </c>
      <c r="J495" t="s">
        <v>55</v>
      </c>
      <c r="K495">
        <v>0</v>
      </c>
      <c r="L495" t="s">
        <v>41</v>
      </c>
      <c r="M495" s="12">
        <v>3</v>
      </c>
      <c r="N495" s="3">
        <f>G495*M495</f>
        <v>159</v>
      </c>
      <c r="O495" s="1">
        <v>45367</v>
      </c>
      <c r="P495" s="1">
        <v>45670</v>
      </c>
      <c r="Q495" s="1">
        <v>45554</v>
      </c>
      <c r="R495">
        <v>712</v>
      </c>
      <c r="S495">
        <v>409</v>
      </c>
      <c r="T495">
        <v>525</v>
      </c>
      <c r="U495" t="str">
        <f t="shared" si="14"/>
        <v>Expiring Soon</v>
      </c>
      <c r="V495" t="s">
        <v>1902</v>
      </c>
      <c r="W495">
        <v>24</v>
      </c>
      <c r="X495" s="3">
        <f t="shared" si="15"/>
        <v>3816</v>
      </c>
      <c r="Y495">
        <v>77</v>
      </c>
      <c r="Z495" t="s">
        <v>30</v>
      </c>
      <c r="AA495" s="3">
        <f>X495-Grocery_Inventory_and_Sales_Dat!N495</f>
        <v>3657</v>
      </c>
    </row>
    <row r="496" spans="1:27" x14ac:dyDescent="0.3">
      <c r="A496" t="s">
        <v>1903</v>
      </c>
      <c r="B496" t="s">
        <v>1224</v>
      </c>
      <c r="C496" t="s">
        <v>70</v>
      </c>
      <c r="D496" t="s">
        <v>1904</v>
      </c>
      <c r="E496" s="13" t="s">
        <v>434</v>
      </c>
      <c r="G496" s="2">
        <v>85</v>
      </c>
      <c r="H496">
        <v>83</v>
      </c>
      <c r="I496">
        <v>13</v>
      </c>
      <c r="J496" t="s">
        <v>55</v>
      </c>
      <c r="K496">
        <v>0</v>
      </c>
      <c r="L496" t="s">
        <v>41</v>
      </c>
      <c r="M496" s="12">
        <v>1.75</v>
      </c>
      <c r="N496" s="3">
        <f>G496*M496</f>
        <v>148.75</v>
      </c>
      <c r="O496" s="1">
        <v>45416</v>
      </c>
      <c r="P496" s="1">
        <v>45368</v>
      </c>
      <c r="Q496" s="1">
        <v>45690</v>
      </c>
      <c r="R496">
        <v>663</v>
      </c>
      <c r="S496">
        <v>711</v>
      </c>
      <c r="T496">
        <v>389</v>
      </c>
      <c r="U496" t="str">
        <f t="shared" si="14"/>
        <v>Expiring Soon</v>
      </c>
      <c r="V496" t="s">
        <v>1905</v>
      </c>
      <c r="W496">
        <v>49</v>
      </c>
      <c r="X496" s="3">
        <f t="shared" si="15"/>
        <v>7288.75</v>
      </c>
      <c r="Y496">
        <v>75</v>
      </c>
      <c r="Z496" t="s">
        <v>43</v>
      </c>
      <c r="AA496" s="3">
        <f>X496-Grocery_Inventory_and_Sales_Dat!N496</f>
        <v>7140</v>
      </c>
    </row>
    <row r="497" spans="1:27" x14ac:dyDescent="0.3">
      <c r="A497" t="s">
        <v>1906</v>
      </c>
      <c r="B497" t="s">
        <v>743</v>
      </c>
      <c r="C497" t="s">
        <v>64</v>
      </c>
      <c r="D497" t="s">
        <v>1907</v>
      </c>
      <c r="E497" s="13" t="s">
        <v>1226</v>
      </c>
      <c r="G497" s="2">
        <v>15</v>
      </c>
      <c r="H497">
        <v>34</v>
      </c>
      <c r="I497">
        <v>57</v>
      </c>
      <c r="J497" t="s">
        <v>27</v>
      </c>
      <c r="K497">
        <v>34</v>
      </c>
      <c r="L497" t="s">
        <v>41</v>
      </c>
      <c r="M497" s="12">
        <v>6.5</v>
      </c>
      <c r="N497" s="3">
        <f>G497*M497</f>
        <v>97.5</v>
      </c>
      <c r="O497" s="1">
        <v>45526</v>
      </c>
      <c r="P497" s="1">
        <v>45992</v>
      </c>
      <c r="Q497" s="1">
        <v>45673</v>
      </c>
      <c r="R497">
        <v>553</v>
      </c>
      <c r="S497">
        <v>87</v>
      </c>
      <c r="T497">
        <v>406</v>
      </c>
      <c r="U497" t="str">
        <f t="shared" si="14"/>
        <v>Expiring Soon</v>
      </c>
      <c r="V497" t="s">
        <v>1908</v>
      </c>
      <c r="W497">
        <v>49</v>
      </c>
      <c r="X497" s="3">
        <f t="shared" si="15"/>
        <v>4777.5</v>
      </c>
      <c r="Y497">
        <v>96</v>
      </c>
      <c r="Z497" t="s">
        <v>30</v>
      </c>
      <c r="AA497" s="3">
        <f>X497-Grocery_Inventory_and_Sales_Dat!N497</f>
        <v>4680</v>
      </c>
    </row>
    <row r="498" spans="1:27" x14ac:dyDescent="0.3">
      <c r="A498" t="s">
        <v>1909</v>
      </c>
      <c r="B498" t="s">
        <v>806</v>
      </c>
      <c r="C498" t="s">
        <v>138</v>
      </c>
      <c r="D498" t="s">
        <v>1910</v>
      </c>
      <c r="E498" s="13" t="s">
        <v>913</v>
      </c>
      <c r="G498" s="2">
        <v>66</v>
      </c>
      <c r="H498">
        <v>49</v>
      </c>
      <c r="I498">
        <v>41</v>
      </c>
      <c r="J498" t="s">
        <v>55</v>
      </c>
      <c r="K498">
        <v>0</v>
      </c>
      <c r="L498" t="s">
        <v>41</v>
      </c>
      <c r="M498" s="12">
        <v>10</v>
      </c>
      <c r="N498" s="3">
        <f>G498*M498</f>
        <v>660</v>
      </c>
      <c r="O498" s="1">
        <v>45470</v>
      </c>
      <c r="P498" s="1">
        <v>45514</v>
      </c>
      <c r="Q498" s="1">
        <v>45499</v>
      </c>
      <c r="R498">
        <v>609</v>
      </c>
      <c r="S498">
        <v>565</v>
      </c>
      <c r="T498">
        <v>580</v>
      </c>
      <c r="U498" t="str">
        <f t="shared" si="14"/>
        <v>Safe</v>
      </c>
      <c r="V498" t="s">
        <v>1911</v>
      </c>
      <c r="W498">
        <v>27</v>
      </c>
      <c r="X498" s="3">
        <f t="shared" si="15"/>
        <v>17820</v>
      </c>
      <c r="Y498">
        <v>37</v>
      </c>
      <c r="Z498" t="s">
        <v>30</v>
      </c>
      <c r="AA498" s="3">
        <f>X498-Grocery_Inventory_and_Sales_Dat!N498</f>
        <v>17160</v>
      </c>
    </row>
    <row r="499" spans="1:27" x14ac:dyDescent="0.3">
      <c r="A499" t="s">
        <v>1912</v>
      </c>
      <c r="B499" t="s">
        <v>63</v>
      </c>
      <c r="C499" t="s">
        <v>64</v>
      </c>
      <c r="D499" t="s">
        <v>1913</v>
      </c>
      <c r="E499" s="13" t="s">
        <v>1795</v>
      </c>
      <c r="G499" s="2">
        <v>17</v>
      </c>
      <c r="H499">
        <v>63</v>
      </c>
      <c r="I499">
        <v>66</v>
      </c>
      <c r="J499" t="s">
        <v>27</v>
      </c>
      <c r="K499">
        <v>63</v>
      </c>
      <c r="L499" t="s">
        <v>28</v>
      </c>
      <c r="M499" s="12">
        <v>2.5</v>
      </c>
      <c r="N499" s="3">
        <f>G499*M499</f>
        <v>42.5</v>
      </c>
      <c r="O499" s="1">
        <v>45682</v>
      </c>
      <c r="P499" s="1">
        <v>45681</v>
      </c>
      <c r="Q499" s="1">
        <v>45617</v>
      </c>
      <c r="R499">
        <v>397</v>
      </c>
      <c r="S499">
        <v>398</v>
      </c>
      <c r="T499">
        <v>462</v>
      </c>
      <c r="U499" t="str">
        <f t="shared" si="14"/>
        <v>Expiring Soon</v>
      </c>
      <c r="V499" t="s">
        <v>1914</v>
      </c>
      <c r="W499">
        <v>23</v>
      </c>
      <c r="X499" s="3">
        <f t="shared" si="15"/>
        <v>977.5</v>
      </c>
      <c r="Y499">
        <v>46</v>
      </c>
      <c r="Z499" t="s">
        <v>43</v>
      </c>
      <c r="AA499" s="3">
        <f>X499-Grocery_Inventory_and_Sales_Dat!N499</f>
        <v>935</v>
      </c>
    </row>
    <row r="500" spans="1:27" x14ac:dyDescent="0.3">
      <c r="A500" t="s">
        <v>1915</v>
      </c>
      <c r="B500" t="s">
        <v>1131</v>
      </c>
      <c r="C500" t="s">
        <v>52</v>
      </c>
      <c r="D500" t="s">
        <v>1916</v>
      </c>
      <c r="E500" s="13" t="s">
        <v>982</v>
      </c>
      <c r="G500" s="2">
        <v>13</v>
      </c>
      <c r="H500">
        <v>61</v>
      </c>
      <c r="I500">
        <v>77</v>
      </c>
      <c r="J500" t="s">
        <v>27</v>
      </c>
      <c r="K500">
        <v>61</v>
      </c>
      <c r="L500" t="s">
        <v>28</v>
      </c>
      <c r="M500" s="12">
        <v>5.5</v>
      </c>
      <c r="N500" s="3">
        <f>G500*M500</f>
        <v>71.5</v>
      </c>
      <c r="O500" s="1">
        <v>45495</v>
      </c>
      <c r="P500" s="1">
        <v>45709</v>
      </c>
      <c r="Q500" s="1">
        <v>45686</v>
      </c>
      <c r="R500">
        <v>584</v>
      </c>
      <c r="S500">
        <v>370</v>
      </c>
      <c r="T500">
        <v>393</v>
      </c>
      <c r="U500" t="str">
        <f t="shared" si="14"/>
        <v>Expiring Soon</v>
      </c>
      <c r="V500" t="s">
        <v>1917</v>
      </c>
      <c r="W500">
        <v>42</v>
      </c>
      <c r="X500" s="3">
        <f t="shared" si="15"/>
        <v>3003</v>
      </c>
      <c r="Y500">
        <v>18</v>
      </c>
      <c r="Z500" t="s">
        <v>43</v>
      </c>
      <c r="AA500" s="3">
        <f>X500-Grocery_Inventory_and_Sales_Dat!N500</f>
        <v>2931.5</v>
      </c>
    </row>
    <row r="501" spans="1:27" x14ac:dyDescent="0.3">
      <c r="A501" t="s">
        <v>1918</v>
      </c>
      <c r="B501" t="s">
        <v>989</v>
      </c>
      <c r="C501" t="s">
        <v>95</v>
      </c>
      <c r="D501" t="s">
        <v>1919</v>
      </c>
      <c r="E501" s="13" t="s">
        <v>1030</v>
      </c>
      <c r="G501" s="2">
        <v>34</v>
      </c>
      <c r="H501">
        <v>49</v>
      </c>
      <c r="I501">
        <v>27</v>
      </c>
      <c r="J501" t="s">
        <v>27</v>
      </c>
      <c r="K501">
        <v>49</v>
      </c>
      <c r="L501" t="s">
        <v>41</v>
      </c>
      <c r="M501" s="12">
        <v>4</v>
      </c>
      <c r="N501" s="3">
        <f>G501*M501</f>
        <v>136</v>
      </c>
      <c r="O501" s="1">
        <v>45538</v>
      </c>
      <c r="P501" s="1">
        <v>45620</v>
      </c>
      <c r="Q501" s="1">
        <v>45701</v>
      </c>
      <c r="R501">
        <v>541</v>
      </c>
      <c r="S501">
        <v>459</v>
      </c>
      <c r="T501">
        <v>378</v>
      </c>
      <c r="U501" t="str">
        <f t="shared" si="14"/>
        <v>Expiring Soon</v>
      </c>
      <c r="V501" t="s">
        <v>1920</v>
      </c>
      <c r="W501">
        <v>78</v>
      </c>
      <c r="X501" s="3">
        <f t="shared" si="15"/>
        <v>10608</v>
      </c>
      <c r="Y501">
        <v>20</v>
      </c>
      <c r="Z501" t="s">
        <v>30</v>
      </c>
      <c r="AA501" s="3">
        <f>X501-Grocery_Inventory_and_Sales_Dat!N501</f>
        <v>10472</v>
      </c>
    </row>
    <row r="502" spans="1:27" x14ac:dyDescent="0.3">
      <c r="A502" t="s">
        <v>1921</v>
      </c>
      <c r="B502" t="s">
        <v>119</v>
      </c>
      <c r="C502" t="s">
        <v>70</v>
      </c>
      <c r="D502" t="s">
        <v>1922</v>
      </c>
      <c r="E502" s="13" t="s">
        <v>1923</v>
      </c>
      <c r="G502" s="2">
        <v>85</v>
      </c>
      <c r="H502">
        <v>89</v>
      </c>
      <c r="I502">
        <v>41</v>
      </c>
      <c r="J502" t="s">
        <v>27</v>
      </c>
      <c r="K502">
        <v>89</v>
      </c>
      <c r="L502" t="s">
        <v>28</v>
      </c>
      <c r="M502" s="12">
        <v>8</v>
      </c>
      <c r="N502" s="3">
        <f>G502*M502</f>
        <v>680</v>
      </c>
      <c r="O502" s="1">
        <v>45404</v>
      </c>
      <c r="P502" s="1">
        <v>45477</v>
      </c>
      <c r="Q502" s="1">
        <v>45703</v>
      </c>
      <c r="R502">
        <v>675</v>
      </c>
      <c r="S502">
        <v>602</v>
      </c>
      <c r="T502">
        <v>376</v>
      </c>
      <c r="U502" t="str">
        <f t="shared" si="14"/>
        <v>Expiring Soon</v>
      </c>
      <c r="V502" t="s">
        <v>1924</v>
      </c>
      <c r="W502">
        <v>68</v>
      </c>
      <c r="X502" s="3">
        <f t="shared" si="15"/>
        <v>46240</v>
      </c>
      <c r="Y502">
        <v>93</v>
      </c>
      <c r="Z502" t="s">
        <v>30</v>
      </c>
      <c r="AA502" s="3">
        <f>X502-Grocery_Inventory_and_Sales_Dat!N502</f>
        <v>45560</v>
      </c>
    </row>
    <row r="503" spans="1:27" x14ac:dyDescent="0.3">
      <c r="A503" t="s">
        <v>1925</v>
      </c>
      <c r="B503" t="s">
        <v>148</v>
      </c>
      <c r="C503" t="s">
        <v>52</v>
      </c>
      <c r="D503" t="s">
        <v>1926</v>
      </c>
      <c r="E503" s="13" t="s">
        <v>771</v>
      </c>
      <c r="G503" s="2">
        <v>12</v>
      </c>
      <c r="H503">
        <v>95</v>
      </c>
      <c r="I503">
        <v>49</v>
      </c>
      <c r="J503" t="s">
        <v>27</v>
      </c>
      <c r="K503">
        <v>95</v>
      </c>
      <c r="L503" t="s">
        <v>28</v>
      </c>
      <c r="M503" s="12">
        <v>1</v>
      </c>
      <c r="N503" s="3">
        <f>G503*M503</f>
        <v>12</v>
      </c>
      <c r="O503" s="1">
        <v>45541</v>
      </c>
      <c r="P503" s="1">
        <v>45456</v>
      </c>
      <c r="Q503" s="1">
        <v>45606</v>
      </c>
      <c r="R503">
        <v>538</v>
      </c>
      <c r="S503">
        <v>623</v>
      </c>
      <c r="T503">
        <v>473</v>
      </c>
      <c r="U503" t="str">
        <f t="shared" si="14"/>
        <v>Expiring Soon</v>
      </c>
      <c r="V503" t="s">
        <v>1927</v>
      </c>
      <c r="W503">
        <v>25</v>
      </c>
      <c r="X503" s="3">
        <f t="shared" si="15"/>
        <v>300</v>
      </c>
      <c r="Y503">
        <v>23</v>
      </c>
      <c r="Z503" t="s">
        <v>43</v>
      </c>
      <c r="AA503" s="3">
        <f>X503-Grocery_Inventory_and_Sales_Dat!N503</f>
        <v>288</v>
      </c>
    </row>
    <row r="504" spans="1:27" x14ac:dyDescent="0.3">
      <c r="A504" t="s">
        <v>1928</v>
      </c>
      <c r="B504" t="s">
        <v>173</v>
      </c>
      <c r="C504" t="s">
        <v>95</v>
      </c>
      <c r="D504" t="s">
        <v>1929</v>
      </c>
      <c r="E504" s="13" t="s">
        <v>1034</v>
      </c>
      <c r="G504" s="2">
        <v>82</v>
      </c>
      <c r="H504">
        <v>6</v>
      </c>
      <c r="I504">
        <v>53</v>
      </c>
      <c r="J504" t="s">
        <v>55</v>
      </c>
      <c r="K504">
        <v>0</v>
      </c>
      <c r="L504" t="s">
        <v>41</v>
      </c>
      <c r="M504" s="12">
        <v>5</v>
      </c>
      <c r="N504" s="3">
        <f>G504*M504</f>
        <v>410</v>
      </c>
      <c r="O504" s="1">
        <v>45484</v>
      </c>
      <c r="P504" s="1">
        <v>45411</v>
      </c>
      <c r="Q504" s="1">
        <v>45421</v>
      </c>
      <c r="R504">
        <v>595</v>
      </c>
      <c r="S504">
        <v>668</v>
      </c>
      <c r="T504">
        <v>658</v>
      </c>
      <c r="U504" t="str">
        <f t="shared" si="14"/>
        <v>Safe</v>
      </c>
      <c r="V504" t="s">
        <v>1930</v>
      </c>
      <c r="W504">
        <v>21</v>
      </c>
      <c r="X504" s="3">
        <f t="shared" si="15"/>
        <v>8610</v>
      </c>
      <c r="Y504">
        <v>58</v>
      </c>
      <c r="Z504" t="s">
        <v>49</v>
      </c>
      <c r="AA504" s="3">
        <f>X504-Grocery_Inventory_and_Sales_Dat!N504</f>
        <v>8200</v>
      </c>
    </row>
    <row r="505" spans="1:27" x14ac:dyDescent="0.3">
      <c r="A505" t="s">
        <v>1931</v>
      </c>
      <c r="B505" t="s">
        <v>271</v>
      </c>
      <c r="C505" t="s">
        <v>95</v>
      </c>
      <c r="D505" t="s">
        <v>1932</v>
      </c>
      <c r="E505" s="13" t="s">
        <v>1933</v>
      </c>
      <c r="G505" s="2">
        <v>71</v>
      </c>
      <c r="H505">
        <v>97</v>
      </c>
      <c r="I505">
        <v>44</v>
      </c>
      <c r="J505" t="s">
        <v>27</v>
      </c>
      <c r="K505">
        <v>97</v>
      </c>
      <c r="L505" t="s">
        <v>28</v>
      </c>
      <c r="M505" s="12">
        <v>4</v>
      </c>
      <c r="N505" s="3">
        <f>G505*M505</f>
        <v>284</v>
      </c>
      <c r="O505" s="1">
        <v>45623</v>
      </c>
      <c r="P505" s="1">
        <v>45348</v>
      </c>
      <c r="Q505" s="1">
        <v>45480</v>
      </c>
      <c r="R505">
        <v>456</v>
      </c>
      <c r="S505">
        <v>731</v>
      </c>
      <c r="T505">
        <v>599</v>
      </c>
      <c r="U505" t="str">
        <f t="shared" si="14"/>
        <v>Safe</v>
      </c>
      <c r="V505" t="s">
        <v>1934</v>
      </c>
      <c r="W505">
        <v>58</v>
      </c>
      <c r="X505" s="3">
        <f t="shared" si="15"/>
        <v>16472</v>
      </c>
      <c r="Y505">
        <v>14</v>
      </c>
      <c r="Z505" t="s">
        <v>30</v>
      </c>
      <c r="AA505" s="3">
        <f>X505-Grocery_Inventory_and_Sales_Dat!N505</f>
        <v>16188</v>
      </c>
    </row>
    <row r="506" spans="1:27" x14ac:dyDescent="0.3">
      <c r="A506" t="s">
        <v>1935</v>
      </c>
      <c r="B506" t="s">
        <v>350</v>
      </c>
      <c r="C506" t="s">
        <v>70</v>
      </c>
      <c r="D506" t="s">
        <v>1936</v>
      </c>
      <c r="E506" s="13" t="s">
        <v>314</v>
      </c>
      <c r="G506" s="2">
        <v>58</v>
      </c>
      <c r="H506">
        <v>17</v>
      </c>
      <c r="I506">
        <v>26</v>
      </c>
      <c r="J506" t="s">
        <v>55</v>
      </c>
      <c r="K506">
        <v>0</v>
      </c>
      <c r="L506" t="s">
        <v>41</v>
      </c>
      <c r="M506" s="12">
        <v>7</v>
      </c>
      <c r="N506" s="3">
        <f>G506*M506</f>
        <v>406</v>
      </c>
      <c r="O506" s="1">
        <v>45466</v>
      </c>
      <c r="P506" s="1">
        <v>45480</v>
      </c>
      <c r="Q506" s="1">
        <v>45660</v>
      </c>
      <c r="R506">
        <v>613</v>
      </c>
      <c r="S506">
        <v>599</v>
      </c>
      <c r="T506">
        <v>419</v>
      </c>
      <c r="U506" t="str">
        <f t="shared" si="14"/>
        <v>Expiring Soon</v>
      </c>
      <c r="V506" t="s">
        <v>1937</v>
      </c>
      <c r="W506">
        <v>62</v>
      </c>
      <c r="X506" s="3">
        <f t="shared" si="15"/>
        <v>25172</v>
      </c>
      <c r="Y506">
        <v>89</v>
      </c>
      <c r="Z506" t="s">
        <v>43</v>
      </c>
      <c r="AA506" s="3">
        <f>X506-Grocery_Inventory_and_Sales_Dat!N506</f>
        <v>24766</v>
      </c>
    </row>
    <row r="507" spans="1:27" x14ac:dyDescent="0.3">
      <c r="A507" t="s">
        <v>1938</v>
      </c>
      <c r="B507" t="s">
        <v>478</v>
      </c>
      <c r="C507" t="s">
        <v>24</v>
      </c>
      <c r="D507" t="s">
        <v>1939</v>
      </c>
      <c r="E507" s="13" t="s">
        <v>491</v>
      </c>
      <c r="G507" s="2">
        <v>15</v>
      </c>
      <c r="H507">
        <v>76</v>
      </c>
      <c r="I507">
        <v>81</v>
      </c>
      <c r="J507" t="s">
        <v>27</v>
      </c>
      <c r="K507">
        <v>76</v>
      </c>
      <c r="L507" t="s">
        <v>28</v>
      </c>
      <c r="M507" s="12">
        <v>2</v>
      </c>
      <c r="N507" s="3">
        <f>G507*M507</f>
        <v>30</v>
      </c>
      <c r="O507" s="1">
        <v>45612</v>
      </c>
      <c r="P507" s="1">
        <v>45460</v>
      </c>
      <c r="Q507" s="1">
        <v>45694</v>
      </c>
      <c r="R507">
        <v>467</v>
      </c>
      <c r="S507">
        <v>619</v>
      </c>
      <c r="T507">
        <v>385</v>
      </c>
      <c r="U507" t="str">
        <f t="shared" si="14"/>
        <v>Expiring Soon</v>
      </c>
      <c r="V507" t="s">
        <v>1940</v>
      </c>
      <c r="W507">
        <v>90</v>
      </c>
      <c r="X507" s="3">
        <f t="shared" si="15"/>
        <v>2700</v>
      </c>
      <c r="Y507">
        <v>26</v>
      </c>
      <c r="Z507" t="s">
        <v>43</v>
      </c>
      <c r="AA507" s="3">
        <f>X507-Grocery_Inventory_and_Sales_Dat!N507</f>
        <v>2670</v>
      </c>
    </row>
    <row r="508" spans="1:27" x14ac:dyDescent="0.3">
      <c r="A508" t="s">
        <v>1941</v>
      </c>
      <c r="B508" t="s">
        <v>187</v>
      </c>
      <c r="C508" t="s">
        <v>52</v>
      </c>
      <c r="D508" t="s">
        <v>1942</v>
      </c>
      <c r="E508" s="13" t="s">
        <v>1121</v>
      </c>
      <c r="G508" s="2">
        <v>68</v>
      </c>
      <c r="H508">
        <v>25</v>
      </c>
      <c r="I508">
        <v>16</v>
      </c>
      <c r="J508" t="s">
        <v>55</v>
      </c>
      <c r="K508">
        <v>0</v>
      </c>
      <c r="L508" t="s">
        <v>41</v>
      </c>
      <c r="M508" s="12">
        <v>3.5</v>
      </c>
      <c r="N508" s="3">
        <f>G508*M508</f>
        <v>238</v>
      </c>
      <c r="O508" s="1">
        <v>45386</v>
      </c>
      <c r="P508" s="1">
        <v>45523</v>
      </c>
      <c r="Q508" s="1">
        <v>45470</v>
      </c>
      <c r="R508">
        <v>693</v>
      </c>
      <c r="S508">
        <v>556</v>
      </c>
      <c r="T508">
        <v>609</v>
      </c>
      <c r="U508" t="str">
        <f t="shared" si="14"/>
        <v>Safe</v>
      </c>
      <c r="V508" t="s">
        <v>1943</v>
      </c>
      <c r="W508">
        <v>25</v>
      </c>
      <c r="X508" s="3">
        <f t="shared" si="15"/>
        <v>5950</v>
      </c>
      <c r="Y508">
        <v>83</v>
      </c>
      <c r="Z508" t="s">
        <v>49</v>
      </c>
      <c r="AA508" s="3">
        <f>X508-Grocery_Inventory_and_Sales_Dat!N508</f>
        <v>5712</v>
      </c>
    </row>
    <row r="509" spans="1:27" x14ac:dyDescent="0.3">
      <c r="A509" t="s">
        <v>1944</v>
      </c>
      <c r="B509" t="s">
        <v>89</v>
      </c>
      <c r="C509" t="s">
        <v>24</v>
      </c>
      <c r="D509" t="s">
        <v>1945</v>
      </c>
      <c r="E509" s="13" t="s">
        <v>1946</v>
      </c>
      <c r="G509" s="2">
        <v>13</v>
      </c>
      <c r="H509">
        <v>32</v>
      </c>
      <c r="I509">
        <v>79</v>
      </c>
      <c r="J509" t="s">
        <v>27</v>
      </c>
      <c r="K509">
        <v>32</v>
      </c>
      <c r="L509" t="s">
        <v>41</v>
      </c>
      <c r="M509" s="12">
        <v>2</v>
      </c>
      <c r="N509" s="3">
        <f>G509*M509</f>
        <v>26</v>
      </c>
      <c r="O509" s="1">
        <v>45478</v>
      </c>
      <c r="P509" s="1">
        <v>45704</v>
      </c>
      <c r="Q509" s="1">
        <v>45576</v>
      </c>
      <c r="R509">
        <v>601</v>
      </c>
      <c r="S509">
        <v>375</v>
      </c>
      <c r="T509">
        <v>503</v>
      </c>
      <c r="U509" t="str">
        <f t="shared" si="14"/>
        <v>Expiring Soon</v>
      </c>
      <c r="V509" t="s">
        <v>1947</v>
      </c>
      <c r="W509">
        <v>38</v>
      </c>
      <c r="X509" s="3">
        <f t="shared" si="15"/>
        <v>988</v>
      </c>
      <c r="Y509">
        <v>61</v>
      </c>
      <c r="Z509" t="s">
        <v>30</v>
      </c>
      <c r="AA509" s="3">
        <f>X509-Grocery_Inventory_and_Sales_Dat!N509</f>
        <v>962</v>
      </c>
    </row>
    <row r="510" spans="1:27" x14ac:dyDescent="0.3">
      <c r="A510" t="s">
        <v>1948</v>
      </c>
      <c r="B510" t="s">
        <v>743</v>
      </c>
      <c r="C510" t="s">
        <v>64</v>
      </c>
      <c r="D510" t="s">
        <v>1949</v>
      </c>
      <c r="E510" s="13" t="s">
        <v>1706</v>
      </c>
      <c r="G510" s="2">
        <v>45</v>
      </c>
      <c r="H510">
        <v>7</v>
      </c>
      <c r="I510">
        <v>58</v>
      </c>
      <c r="J510" t="s">
        <v>55</v>
      </c>
      <c r="K510">
        <v>0</v>
      </c>
      <c r="L510" t="s">
        <v>41</v>
      </c>
      <c r="M510" s="12">
        <v>6.5</v>
      </c>
      <c r="N510" s="3">
        <f>G510*M510</f>
        <v>292.5</v>
      </c>
      <c r="O510" s="1">
        <v>45331</v>
      </c>
      <c r="P510" s="1">
        <v>45416</v>
      </c>
      <c r="Q510" s="1">
        <v>45530</v>
      </c>
      <c r="R510">
        <v>748</v>
      </c>
      <c r="S510">
        <v>663</v>
      </c>
      <c r="T510">
        <v>549</v>
      </c>
      <c r="U510" t="str">
        <f t="shared" si="14"/>
        <v>Expiring Soon</v>
      </c>
      <c r="V510" t="s">
        <v>1950</v>
      </c>
      <c r="W510">
        <v>86</v>
      </c>
      <c r="X510" s="3">
        <f t="shared" si="15"/>
        <v>25155</v>
      </c>
      <c r="Y510">
        <v>77</v>
      </c>
      <c r="Z510" t="s">
        <v>30</v>
      </c>
      <c r="AA510" s="3">
        <f>X510-Grocery_Inventory_and_Sales_Dat!N510</f>
        <v>24862.5</v>
      </c>
    </row>
    <row r="511" spans="1:27" x14ac:dyDescent="0.3">
      <c r="A511" t="s">
        <v>1951</v>
      </c>
      <c r="B511" t="s">
        <v>69</v>
      </c>
      <c r="C511" t="s">
        <v>70</v>
      </c>
      <c r="D511" t="s">
        <v>1952</v>
      </c>
      <c r="E511" s="13" t="s">
        <v>106</v>
      </c>
      <c r="G511" s="2">
        <v>40</v>
      </c>
      <c r="H511">
        <v>22</v>
      </c>
      <c r="I511">
        <v>74</v>
      </c>
      <c r="J511" t="s">
        <v>55</v>
      </c>
      <c r="K511">
        <v>0</v>
      </c>
      <c r="L511" t="s">
        <v>41</v>
      </c>
      <c r="M511" s="12">
        <v>2.4500000000000002</v>
      </c>
      <c r="N511" s="3">
        <f>G511*M511</f>
        <v>98</v>
      </c>
      <c r="O511" s="1">
        <v>45373</v>
      </c>
      <c r="P511" s="1">
        <v>45558</v>
      </c>
      <c r="Q511" s="1">
        <v>45367</v>
      </c>
      <c r="R511">
        <v>706</v>
      </c>
      <c r="S511">
        <v>521</v>
      </c>
      <c r="T511">
        <v>712</v>
      </c>
      <c r="U511" t="str">
        <f t="shared" si="14"/>
        <v>Safe</v>
      </c>
      <c r="V511" t="s">
        <v>1953</v>
      </c>
      <c r="W511">
        <v>76</v>
      </c>
      <c r="X511" s="3">
        <f t="shared" si="15"/>
        <v>7448</v>
      </c>
      <c r="Y511">
        <v>70</v>
      </c>
      <c r="Z511" t="s">
        <v>43</v>
      </c>
      <c r="AA511" s="3">
        <f>X511-Grocery_Inventory_and_Sales_Dat!N511</f>
        <v>7350</v>
      </c>
    </row>
    <row r="512" spans="1:27" x14ac:dyDescent="0.3">
      <c r="A512" t="s">
        <v>1954</v>
      </c>
      <c r="B512" t="s">
        <v>240</v>
      </c>
      <c r="C512" t="s">
        <v>33</v>
      </c>
      <c r="D512" t="s">
        <v>1955</v>
      </c>
      <c r="E512" s="13" t="s">
        <v>1956</v>
      </c>
      <c r="G512" s="2">
        <v>62</v>
      </c>
      <c r="H512">
        <v>23</v>
      </c>
      <c r="I512">
        <v>25</v>
      </c>
      <c r="J512" t="s">
        <v>55</v>
      </c>
      <c r="K512">
        <v>0</v>
      </c>
      <c r="L512" t="s">
        <v>41</v>
      </c>
      <c r="M512" s="12">
        <v>15.5</v>
      </c>
      <c r="N512" s="3">
        <f>G512*M512</f>
        <v>961</v>
      </c>
      <c r="O512" s="1">
        <v>45496</v>
      </c>
      <c r="P512" s="1">
        <v>45411</v>
      </c>
      <c r="Q512" s="1">
        <v>45359</v>
      </c>
      <c r="R512">
        <v>583</v>
      </c>
      <c r="S512">
        <v>668</v>
      </c>
      <c r="T512">
        <v>720</v>
      </c>
      <c r="U512" t="str">
        <f t="shared" si="14"/>
        <v>Safe</v>
      </c>
      <c r="V512" t="s">
        <v>1957</v>
      </c>
      <c r="W512">
        <v>34</v>
      </c>
      <c r="X512" s="3">
        <f t="shared" si="15"/>
        <v>32674</v>
      </c>
      <c r="Y512">
        <v>68</v>
      </c>
      <c r="Z512" t="s">
        <v>30</v>
      </c>
      <c r="AA512" s="3">
        <f>X512-Grocery_Inventory_and_Sales_Dat!N512</f>
        <v>31713</v>
      </c>
    </row>
    <row r="513" spans="1:27" x14ac:dyDescent="0.3">
      <c r="A513" t="s">
        <v>1958</v>
      </c>
      <c r="B513" t="s">
        <v>441</v>
      </c>
      <c r="C513" t="s">
        <v>64</v>
      </c>
      <c r="D513" t="s">
        <v>1959</v>
      </c>
      <c r="E513" s="13" t="s">
        <v>1960</v>
      </c>
      <c r="G513" s="2">
        <v>79</v>
      </c>
      <c r="H513">
        <v>3</v>
      </c>
      <c r="I513">
        <v>36</v>
      </c>
      <c r="J513" t="s">
        <v>55</v>
      </c>
      <c r="K513">
        <v>0</v>
      </c>
      <c r="L513" t="s">
        <v>41</v>
      </c>
      <c r="M513" s="12">
        <v>4</v>
      </c>
      <c r="N513" s="3">
        <f>G513*M513</f>
        <v>316</v>
      </c>
      <c r="O513" s="1">
        <v>45520</v>
      </c>
      <c r="P513" s="1">
        <v>45682</v>
      </c>
      <c r="Q513" s="1">
        <v>45534</v>
      </c>
      <c r="R513">
        <v>559</v>
      </c>
      <c r="S513">
        <v>397</v>
      </c>
      <c r="T513">
        <v>545</v>
      </c>
      <c r="U513" t="str">
        <f t="shared" si="14"/>
        <v>Expiring Soon</v>
      </c>
      <c r="V513" t="s">
        <v>1961</v>
      </c>
      <c r="W513">
        <v>46</v>
      </c>
      <c r="X513" s="3">
        <f t="shared" si="15"/>
        <v>14536</v>
      </c>
      <c r="Y513">
        <v>29</v>
      </c>
      <c r="Z513" t="s">
        <v>30</v>
      </c>
      <c r="AA513" s="3">
        <f>X513-Grocery_Inventory_and_Sales_Dat!N513</f>
        <v>14220</v>
      </c>
    </row>
    <row r="514" spans="1:27" x14ac:dyDescent="0.3">
      <c r="A514" t="s">
        <v>1962</v>
      </c>
      <c r="B514" t="s">
        <v>408</v>
      </c>
      <c r="C514" t="s">
        <v>52</v>
      </c>
      <c r="D514" t="s">
        <v>1963</v>
      </c>
      <c r="E514" s="13" t="s">
        <v>703</v>
      </c>
      <c r="G514" s="2">
        <v>75</v>
      </c>
      <c r="H514">
        <v>91</v>
      </c>
      <c r="I514">
        <v>68</v>
      </c>
      <c r="J514" t="s">
        <v>27</v>
      </c>
      <c r="K514">
        <v>91</v>
      </c>
      <c r="L514" t="s">
        <v>28</v>
      </c>
      <c r="M514" s="12">
        <v>3</v>
      </c>
      <c r="N514" s="3">
        <f>G514*M514</f>
        <v>225</v>
      </c>
      <c r="O514" s="1">
        <v>45596</v>
      </c>
      <c r="P514" s="1">
        <v>45405</v>
      </c>
      <c r="Q514" s="1">
        <v>45636</v>
      </c>
      <c r="R514">
        <v>483</v>
      </c>
      <c r="S514">
        <v>674</v>
      </c>
      <c r="T514">
        <v>443</v>
      </c>
      <c r="U514" t="str">
        <f t="shared" si="14"/>
        <v>Expiring Soon</v>
      </c>
      <c r="V514" t="s">
        <v>1964</v>
      </c>
      <c r="W514">
        <v>96</v>
      </c>
      <c r="X514" s="3">
        <f t="shared" si="15"/>
        <v>21600</v>
      </c>
      <c r="Y514">
        <v>73</v>
      </c>
      <c r="Z514" t="s">
        <v>43</v>
      </c>
      <c r="AA514" s="3">
        <f>X514-Grocery_Inventory_and_Sales_Dat!N514</f>
        <v>21375</v>
      </c>
    </row>
    <row r="515" spans="1:27" x14ac:dyDescent="0.3">
      <c r="A515" t="s">
        <v>1965</v>
      </c>
      <c r="B515" t="s">
        <v>507</v>
      </c>
      <c r="C515" t="s">
        <v>24</v>
      </c>
      <c r="D515" t="s">
        <v>1966</v>
      </c>
      <c r="E515" s="13" t="s">
        <v>1967</v>
      </c>
      <c r="G515" s="2">
        <v>76</v>
      </c>
      <c r="H515">
        <v>8</v>
      </c>
      <c r="I515">
        <v>2</v>
      </c>
      <c r="J515" t="s">
        <v>55</v>
      </c>
      <c r="K515">
        <v>0</v>
      </c>
      <c r="L515" t="s">
        <v>41</v>
      </c>
      <c r="M515" s="12">
        <v>9.5</v>
      </c>
      <c r="N515" s="3">
        <f>G515*M515</f>
        <v>722</v>
      </c>
      <c r="O515" s="1">
        <v>45392</v>
      </c>
      <c r="P515" s="1">
        <v>45515</v>
      </c>
      <c r="Q515" s="1">
        <v>45440</v>
      </c>
      <c r="R515">
        <v>687</v>
      </c>
      <c r="S515">
        <v>564</v>
      </c>
      <c r="T515">
        <v>639</v>
      </c>
      <c r="U515" t="str">
        <f t="shared" ref="U515:U578" si="16">IF(T515&lt;0,"Expired",IF(T515&lt;=550,"Expiring Soon","Safe"))</f>
        <v>Safe</v>
      </c>
      <c r="V515" t="s">
        <v>1968</v>
      </c>
      <c r="W515">
        <v>24</v>
      </c>
      <c r="X515" s="3">
        <f t="shared" ref="X515:X578" si="17">W515*N515</f>
        <v>17328</v>
      </c>
      <c r="Y515">
        <v>53</v>
      </c>
      <c r="Z515" t="s">
        <v>49</v>
      </c>
      <c r="AA515" s="3">
        <f>X515-Grocery_Inventory_and_Sales_Dat!N515</f>
        <v>16606</v>
      </c>
    </row>
    <row r="516" spans="1:27" x14ac:dyDescent="0.3">
      <c r="A516" t="s">
        <v>1969</v>
      </c>
      <c r="B516" t="s">
        <v>605</v>
      </c>
      <c r="C516" t="s">
        <v>64</v>
      </c>
      <c r="D516" t="s">
        <v>1970</v>
      </c>
      <c r="E516" s="13" t="s">
        <v>566</v>
      </c>
      <c r="G516" s="2">
        <v>96</v>
      </c>
      <c r="H516">
        <v>51</v>
      </c>
      <c r="I516">
        <v>40</v>
      </c>
      <c r="J516" t="s">
        <v>55</v>
      </c>
      <c r="K516">
        <v>0</v>
      </c>
      <c r="L516" t="s">
        <v>41</v>
      </c>
      <c r="M516" s="12">
        <v>2.2999999999999998</v>
      </c>
      <c r="N516" s="3">
        <f>G516*M516</f>
        <v>220.79999999999998</v>
      </c>
      <c r="O516" s="1">
        <v>45367</v>
      </c>
      <c r="P516" s="1">
        <v>45387</v>
      </c>
      <c r="Q516" s="1">
        <v>45622</v>
      </c>
      <c r="R516">
        <v>712</v>
      </c>
      <c r="S516">
        <v>692</v>
      </c>
      <c r="T516">
        <v>457</v>
      </c>
      <c r="U516" t="str">
        <f t="shared" si="16"/>
        <v>Expiring Soon</v>
      </c>
      <c r="V516" t="s">
        <v>1971</v>
      </c>
      <c r="W516">
        <v>61</v>
      </c>
      <c r="X516" s="3">
        <f t="shared" si="17"/>
        <v>13468.8</v>
      </c>
      <c r="Y516">
        <v>4</v>
      </c>
      <c r="Z516" t="s">
        <v>30</v>
      </c>
      <c r="AA516" s="3">
        <f>X516-Grocery_Inventory_and_Sales_Dat!N516</f>
        <v>13248</v>
      </c>
    </row>
    <row r="517" spans="1:27" x14ac:dyDescent="0.3">
      <c r="A517" t="s">
        <v>1972</v>
      </c>
      <c r="B517" t="s">
        <v>605</v>
      </c>
      <c r="C517" t="s">
        <v>64</v>
      </c>
      <c r="D517" t="s">
        <v>1973</v>
      </c>
      <c r="E517" s="13" t="s">
        <v>1974</v>
      </c>
      <c r="G517" s="2">
        <v>69</v>
      </c>
      <c r="H517">
        <v>17</v>
      </c>
      <c r="I517">
        <v>27</v>
      </c>
      <c r="J517" t="s">
        <v>55</v>
      </c>
      <c r="K517">
        <v>0</v>
      </c>
      <c r="L517" t="s">
        <v>41</v>
      </c>
      <c r="M517" s="12">
        <v>2.2999999999999998</v>
      </c>
      <c r="N517" s="3">
        <f>G517*M517</f>
        <v>158.69999999999999</v>
      </c>
      <c r="O517" s="1">
        <v>45671</v>
      </c>
      <c r="P517" s="1">
        <v>45461</v>
      </c>
      <c r="Q517" s="1">
        <v>45441</v>
      </c>
      <c r="R517">
        <v>408</v>
      </c>
      <c r="S517">
        <v>618</v>
      </c>
      <c r="T517">
        <v>638</v>
      </c>
      <c r="U517" t="str">
        <f t="shared" si="16"/>
        <v>Safe</v>
      </c>
      <c r="V517" t="s">
        <v>1975</v>
      </c>
      <c r="W517">
        <v>79</v>
      </c>
      <c r="X517" s="3">
        <f t="shared" si="17"/>
        <v>12537.3</v>
      </c>
      <c r="Y517">
        <v>75</v>
      </c>
      <c r="Z517" t="s">
        <v>43</v>
      </c>
      <c r="AA517" s="3">
        <f>X517-Grocery_Inventory_and_Sales_Dat!N517</f>
        <v>12378.599999999999</v>
      </c>
    </row>
    <row r="518" spans="1:27" x14ac:dyDescent="0.3">
      <c r="A518" t="s">
        <v>1976</v>
      </c>
      <c r="B518" t="s">
        <v>244</v>
      </c>
      <c r="C518" t="s">
        <v>70</v>
      </c>
      <c r="D518" t="s">
        <v>1977</v>
      </c>
      <c r="E518" s="13" t="s">
        <v>812</v>
      </c>
      <c r="G518" s="2">
        <v>48</v>
      </c>
      <c r="H518">
        <v>71</v>
      </c>
      <c r="I518">
        <v>86</v>
      </c>
      <c r="J518" t="s">
        <v>27</v>
      </c>
      <c r="K518">
        <v>71</v>
      </c>
      <c r="L518" t="s">
        <v>28</v>
      </c>
      <c r="M518" s="12">
        <v>3</v>
      </c>
      <c r="N518" s="3">
        <f>G518*M518</f>
        <v>144</v>
      </c>
      <c r="O518" s="1">
        <v>45411</v>
      </c>
      <c r="P518" s="1">
        <v>45329</v>
      </c>
      <c r="Q518" s="1">
        <v>45533</v>
      </c>
      <c r="R518">
        <v>668</v>
      </c>
      <c r="S518">
        <v>750</v>
      </c>
      <c r="T518">
        <v>546</v>
      </c>
      <c r="U518" t="str">
        <f t="shared" si="16"/>
        <v>Expiring Soon</v>
      </c>
      <c r="V518" t="s">
        <v>1978</v>
      </c>
      <c r="W518">
        <v>95</v>
      </c>
      <c r="X518" s="3">
        <f t="shared" si="17"/>
        <v>13680</v>
      </c>
      <c r="Y518">
        <v>3</v>
      </c>
      <c r="Z518" t="s">
        <v>30</v>
      </c>
      <c r="AA518" s="3">
        <f>X518-Grocery_Inventory_and_Sales_Dat!N518</f>
        <v>13536</v>
      </c>
    </row>
    <row r="519" spans="1:27" x14ac:dyDescent="0.3">
      <c r="A519" t="s">
        <v>1979</v>
      </c>
      <c r="B519" t="s">
        <v>413</v>
      </c>
      <c r="C519" t="s">
        <v>70</v>
      </c>
      <c r="D519" t="s">
        <v>1980</v>
      </c>
      <c r="E519" s="13" t="s">
        <v>1981</v>
      </c>
      <c r="G519" s="2">
        <v>82</v>
      </c>
      <c r="H519">
        <v>3</v>
      </c>
      <c r="I519">
        <v>82</v>
      </c>
      <c r="J519" t="s">
        <v>55</v>
      </c>
      <c r="K519">
        <v>0</v>
      </c>
      <c r="L519" t="s">
        <v>41</v>
      </c>
      <c r="M519" s="12">
        <v>2.4</v>
      </c>
      <c r="N519" s="3">
        <f>G519*M519</f>
        <v>196.79999999999998</v>
      </c>
      <c r="O519" s="1">
        <v>45361</v>
      </c>
      <c r="P519" s="1">
        <v>45577</v>
      </c>
      <c r="Q519" s="1">
        <v>45530</v>
      </c>
      <c r="R519">
        <v>718</v>
      </c>
      <c r="S519">
        <v>502</v>
      </c>
      <c r="T519">
        <v>549</v>
      </c>
      <c r="U519" t="str">
        <f t="shared" si="16"/>
        <v>Expiring Soon</v>
      </c>
      <c r="V519" t="s">
        <v>1982</v>
      </c>
      <c r="W519">
        <v>48</v>
      </c>
      <c r="X519" s="3">
        <f t="shared" si="17"/>
        <v>9446.4</v>
      </c>
      <c r="Y519">
        <v>31</v>
      </c>
      <c r="Z519" t="s">
        <v>49</v>
      </c>
      <c r="AA519" s="3">
        <f>X519-Grocery_Inventory_and_Sales_Dat!N519</f>
        <v>9249.6</v>
      </c>
    </row>
    <row r="520" spans="1:27" x14ac:dyDescent="0.3">
      <c r="A520" t="s">
        <v>1983</v>
      </c>
      <c r="B520" t="s">
        <v>220</v>
      </c>
      <c r="C520" t="s">
        <v>52</v>
      </c>
      <c r="D520" t="s">
        <v>1984</v>
      </c>
      <c r="E520" s="13" t="s">
        <v>106</v>
      </c>
      <c r="G520" s="2">
        <v>43</v>
      </c>
      <c r="H520">
        <v>21</v>
      </c>
      <c r="I520">
        <v>31</v>
      </c>
      <c r="J520" t="s">
        <v>55</v>
      </c>
      <c r="K520">
        <v>0</v>
      </c>
      <c r="L520" t="s">
        <v>41</v>
      </c>
      <c r="M520" s="12">
        <v>2.5</v>
      </c>
      <c r="N520" s="3">
        <f>G520*M520</f>
        <v>107.5</v>
      </c>
      <c r="O520" s="1">
        <v>45707</v>
      </c>
      <c r="P520" s="1">
        <v>45468</v>
      </c>
      <c r="Q520" s="1">
        <v>45674</v>
      </c>
      <c r="R520">
        <v>372</v>
      </c>
      <c r="S520">
        <v>611</v>
      </c>
      <c r="T520">
        <v>405</v>
      </c>
      <c r="U520" t="str">
        <f t="shared" si="16"/>
        <v>Expiring Soon</v>
      </c>
      <c r="V520" t="s">
        <v>1985</v>
      </c>
      <c r="W520">
        <v>22</v>
      </c>
      <c r="X520" s="3">
        <f t="shared" si="17"/>
        <v>2365</v>
      </c>
      <c r="Y520">
        <v>25</v>
      </c>
      <c r="Z520" t="s">
        <v>43</v>
      </c>
      <c r="AA520" s="3">
        <f>X520-Grocery_Inventory_and_Sales_Dat!N520</f>
        <v>2257.5</v>
      </c>
    </row>
    <row r="521" spans="1:27" x14ac:dyDescent="0.3">
      <c r="A521" t="s">
        <v>1986</v>
      </c>
      <c r="B521" t="s">
        <v>292</v>
      </c>
      <c r="C521" t="s">
        <v>33</v>
      </c>
      <c r="D521" t="s">
        <v>1987</v>
      </c>
      <c r="E521" s="13" t="s">
        <v>945</v>
      </c>
      <c r="G521" s="2">
        <v>90</v>
      </c>
      <c r="H521">
        <v>68</v>
      </c>
      <c r="I521">
        <v>74</v>
      </c>
      <c r="J521" t="s">
        <v>55</v>
      </c>
      <c r="K521">
        <v>0</v>
      </c>
      <c r="L521" t="s">
        <v>41</v>
      </c>
      <c r="M521" s="12">
        <v>12</v>
      </c>
      <c r="N521" s="3">
        <f>G521*M521</f>
        <v>1080</v>
      </c>
      <c r="O521" s="1">
        <v>45326</v>
      </c>
      <c r="P521" s="1">
        <v>45622</v>
      </c>
      <c r="Q521" s="1">
        <v>45595</v>
      </c>
      <c r="R521">
        <v>753</v>
      </c>
      <c r="S521">
        <v>457</v>
      </c>
      <c r="T521">
        <v>484</v>
      </c>
      <c r="U521" t="str">
        <f t="shared" si="16"/>
        <v>Expiring Soon</v>
      </c>
      <c r="V521" t="s">
        <v>1988</v>
      </c>
      <c r="W521">
        <v>81</v>
      </c>
      <c r="X521" s="3">
        <f t="shared" si="17"/>
        <v>87480</v>
      </c>
      <c r="Y521">
        <v>26</v>
      </c>
      <c r="Z521" t="s">
        <v>43</v>
      </c>
      <c r="AA521" s="3">
        <f>X521-Grocery_Inventory_and_Sales_Dat!N521</f>
        <v>86400</v>
      </c>
    </row>
    <row r="522" spans="1:27" x14ac:dyDescent="0.3">
      <c r="A522" t="s">
        <v>1989</v>
      </c>
      <c r="B522" t="s">
        <v>1105</v>
      </c>
      <c r="C522" t="s">
        <v>70</v>
      </c>
      <c r="D522" t="s">
        <v>1990</v>
      </c>
      <c r="E522" s="13" t="s">
        <v>1991</v>
      </c>
      <c r="G522" s="2">
        <v>13</v>
      </c>
      <c r="H522">
        <v>39</v>
      </c>
      <c r="I522">
        <v>98</v>
      </c>
      <c r="J522" t="s">
        <v>27</v>
      </c>
      <c r="K522">
        <v>39</v>
      </c>
      <c r="L522" t="s">
        <v>41</v>
      </c>
      <c r="M522" s="12">
        <v>0.9</v>
      </c>
      <c r="N522" s="3">
        <f>G522*M522</f>
        <v>11.700000000000001</v>
      </c>
      <c r="O522" s="1">
        <v>45328</v>
      </c>
      <c r="P522" s="1">
        <v>45423</v>
      </c>
      <c r="Q522" s="1">
        <v>45553</v>
      </c>
      <c r="R522">
        <v>751</v>
      </c>
      <c r="S522">
        <v>656</v>
      </c>
      <c r="T522">
        <v>526</v>
      </c>
      <c r="U522" t="str">
        <f t="shared" si="16"/>
        <v>Expiring Soon</v>
      </c>
      <c r="V522" t="s">
        <v>1992</v>
      </c>
      <c r="W522">
        <v>46</v>
      </c>
      <c r="X522" s="3">
        <f t="shared" si="17"/>
        <v>538.20000000000005</v>
      </c>
      <c r="Y522">
        <v>46</v>
      </c>
      <c r="Z522" t="s">
        <v>43</v>
      </c>
      <c r="AA522" s="3">
        <f>X522-Grocery_Inventory_and_Sales_Dat!N522</f>
        <v>526.5</v>
      </c>
    </row>
    <row r="523" spans="1:27" x14ac:dyDescent="0.3">
      <c r="A523" t="s">
        <v>1993</v>
      </c>
      <c r="B523" t="s">
        <v>148</v>
      </c>
      <c r="C523" t="s">
        <v>52</v>
      </c>
      <c r="D523" t="s">
        <v>1994</v>
      </c>
      <c r="E523" s="13" t="s">
        <v>125</v>
      </c>
      <c r="G523" s="2">
        <v>62</v>
      </c>
      <c r="H523">
        <v>79</v>
      </c>
      <c r="I523">
        <v>95</v>
      </c>
      <c r="J523" t="s">
        <v>27</v>
      </c>
      <c r="K523">
        <v>79</v>
      </c>
      <c r="L523" t="s">
        <v>28</v>
      </c>
      <c r="M523" s="12">
        <v>1</v>
      </c>
      <c r="N523" s="3">
        <f>G523*M523</f>
        <v>62</v>
      </c>
      <c r="O523" s="1">
        <v>45428</v>
      </c>
      <c r="P523" s="1">
        <v>45450</v>
      </c>
      <c r="Q523" s="1">
        <v>45656</v>
      </c>
      <c r="R523">
        <v>651</v>
      </c>
      <c r="S523">
        <v>629</v>
      </c>
      <c r="T523">
        <v>423</v>
      </c>
      <c r="U523" t="str">
        <f t="shared" si="16"/>
        <v>Expiring Soon</v>
      </c>
      <c r="V523" t="s">
        <v>1995</v>
      </c>
      <c r="W523">
        <v>34</v>
      </c>
      <c r="X523" s="3">
        <f t="shared" si="17"/>
        <v>2108</v>
      </c>
      <c r="Y523">
        <v>12</v>
      </c>
      <c r="Z523" t="s">
        <v>49</v>
      </c>
      <c r="AA523" s="3">
        <f>X523-Grocery_Inventory_and_Sales_Dat!N523</f>
        <v>2046</v>
      </c>
    </row>
    <row r="524" spans="1:27" x14ac:dyDescent="0.3">
      <c r="A524" t="s">
        <v>1996</v>
      </c>
      <c r="B524" t="s">
        <v>1270</v>
      </c>
      <c r="C524" t="s">
        <v>24</v>
      </c>
      <c r="D524" t="s">
        <v>1997</v>
      </c>
      <c r="E524" s="13" t="s">
        <v>1263</v>
      </c>
      <c r="G524" s="2">
        <v>17</v>
      </c>
      <c r="H524">
        <v>85</v>
      </c>
      <c r="I524">
        <v>74</v>
      </c>
      <c r="J524" t="s">
        <v>27</v>
      </c>
      <c r="K524">
        <v>85</v>
      </c>
      <c r="L524" t="s">
        <v>28</v>
      </c>
      <c r="M524" s="12">
        <v>5</v>
      </c>
      <c r="N524" s="3">
        <f>G524*M524</f>
        <v>85</v>
      </c>
      <c r="O524" s="1">
        <v>45296</v>
      </c>
      <c r="P524" s="1">
        <v>45686</v>
      </c>
      <c r="Q524" s="1">
        <v>45381</v>
      </c>
      <c r="R524">
        <v>783</v>
      </c>
      <c r="S524">
        <v>393</v>
      </c>
      <c r="T524">
        <v>698</v>
      </c>
      <c r="U524" t="str">
        <f t="shared" si="16"/>
        <v>Safe</v>
      </c>
      <c r="V524" t="s">
        <v>1998</v>
      </c>
      <c r="W524">
        <v>76</v>
      </c>
      <c r="X524" s="3">
        <f t="shared" si="17"/>
        <v>6460</v>
      </c>
      <c r="Y524">
        <v>89</v>
      </c>
      <c r="Z524" t="s">
        <v>49</v>
      </c>
      <c r="AA524" s="3">
        <f>X524-Grocery_Inventory_and_Sales_Dat!N524</f>
        <v>6375</v>
      </c>
    </row>
    <row r="525" spans="1:27" x14ac:dyDescent="0.3">
      <c r="A525" t="s">
        <v>1999</v>
      </c>
      <c r="B525" t="s">
        <v>743</v>
      </c>
      <c r="C525" t="s">
        <v>64</v>
      </c>
      <c r="D525" t="s">
        <v>2000</v>
      </c>
      <c r="E525" s="13" t="s">
        <v>1348</v>
      </c>
      <c r="G525" s="2">
        <v>100</v>
      </c>
      <c r="H525">
        <v>86</v>
      </c>
      <c r="I525">
        <v>94</v>
      </c>
      <c r="J525" t="s">
        <v>55</v>
      </c>
      <c r="K525">
        <v>0</v>
      </c>
      <c r="L525" t="s">
        <v>41</v>
      </c>
      <c r="M525" s="12">
        <v>6.5</v>
      </c>
      <c r="N525" s="3">
        <f>G525*M525</f>
        <v>650</v>
      </c>
      <c r="O525" s="1">
        <v>45604</v>
      </c>
      <c r="P525" s="1">
        <v>45630</v>
      </c>
      <c r="Q525" s="1">
        <v>45447</v>
      </c>
      <c r="R525">
        <v>475</v>
      </c>
      <c r="S525">
        <v>449</v>
      </c>
      <c r="T525">
        <v>632</v>
      </c>
      <c r="U525" t="str">
        <f t="shared" si="16"/>
        <v>Safe</v>
      </c>
      <c r="V525" t="s">
        <v>2001</v>
      </c>
      <c r="W525">
        <v>77</v>
      </c>
      <c r="X525" s="3">
        <f t="shared" si="17"/>
        <v>50050</v>
      </c>
      <c r="Y525">
        <v>57</v>
      </c>
      <c r="Z525" t="s">
        <v>49</v>
      </c>
      <c r="AA525" s="3">
        <f>X525-Grocery_Inventory_and_Sales_Dat!N525</f>
        <v>49400</v>
      </c>
    </row>
    <row r="526" spans="1:27" x14ac:dyDescent="0.3">
      <c r="A526" t="s">
        <v>2002</v>
      </c>
      <c r="B526" t="s">
        <v>58</v>
      </c>
      <c r="C526" t="s">
        <v>24</v>
      </c>
      <c r="D526" t="s">
        <v>2003</v>
      </c>
      <c r="E526" s="13" t="s">
        <v>1397</v>
      </c>
      <c r="G526" s="2">
        <v>54</v>
      </c>
      <c r="H526">
        <v>69</v>
      </c>
      <c r="I526">
        <v>68</v>
      </c>
      <c r="J526" t="s">
        <v>27</v>
      </c>
      <c r="K526">
        <v>69</v>
      </c>
      <c r="L526" t="s">
        <v>28</v>
      </c>
      <c r="M526" s="12">
        <v>1.75</v>
      </c>
      <c r="N526" s="3">
        <f>G526*M526</f>
        <v>94.5</v>
      </c>
      <c r="O526" s="1">
        <v>45497</v>
      </c>
      <c r="P526" s="1">
        <v>45423</v>
      </c>
      <c r="Q526" s="1">
        <v>45425</v>
      </c>
      <c r="R526">
        <v>582</v>
      </c>
      <c r="S526">
        <v>656</v>
      </c>
      <c r="T526">
        <v>654</v>
      </c>
      <c r="U526" t="str">
        <f t="shared" si="16"/>
        <v>Safe</v>
      </c>
      <c r="V526" t="s">
        <v>2004</v>
      </c>
      <c r="W526">
        <v>77</v>
      </c>
      <c r="X526" s="3">
        <f t="shared" si="17"/>
        <v>7276.5</v>
      </c>
      <c r="Y526">
        <v>56</v>
      </c>
      <c r="Z526" t="s">
        <v>30</v>
      </c>
      <c r="AA526" s="3">
        <f>X526-Grocery_Inventory_and_Sales_Dat!N526</f>
        <v>7182</v>
      </c>
    </row>
    <row r="527" spans="1:27" x14ac:dyDescent="0.3">
      <c r="A527" t="s">
        <v>2005</v>
      </c>
      <c r="B527" t="s">
        <v>502</v>
      </c>
      <c r="C527" t="s">
        <v>70</v>
      </c>
      <c r="D527" t="s">
        <v>2006</v>
      </c>
      <c r="E527" s="13" t="s">
        <v>731</v>
      </c>
      <c r="G527" s="2">
        <v>98</v>
      </c>
      <c r="H527">
        <v>24</v>
      </c>
      <c r="I527">
        <v>4</v>
      </c>
      <c r="J527" t="s">
        <v>55</v>
      </c>
      <c r="K527">
        <v>0</v>
      </c>
      <c r="L527" t="s">
        <v>41</v>
      </c>
      <c r="M527" s="12">
        <v>4.0999999999999996</v>
      </c>
      <c r="N527" s="3">
        <f>G527*M527</f>
        <v>401.79999999999995</v>
      </c>
      <c r="O527" s="1">
        <v>45507</v>
      </c>
      <c r="P527" s="1">
        <v>45647</v>
      </c>
      <c r="Q527" s="1">
        <v>45435</v>
      </c>
      <c r="R527">
        <v>572</v>
      </c>
      <c r="S527">
        <v>432</v>
      </c>
      <c r="T527">
        <v>644</v>
      </c>
      <c r="U527" t="str">
        <f t="shared" si="16"/>
        <v>Safe</v>
      </c>
      <c r="V527" t="s">
        <v>2007</v>
      </c>
      <c r="W527">
        <v>89</v>
      </c>
      <c r="X527" s="3">
        <f t="shared" si="17"/>
        <v>35760.199999999997</v>
      </c>
      <c r="Y527">
        <v>80</v>
      </c>
      <c r="Z527" t="s">
        <v>49</v>
      </c>
      <c r="AA527" s="3">
        <f>X527-Grocery_Inventory_and_Sales_Dat!N527</f>
        <v>35358.399999999994</v>
      </c>
    </row>
    <row r="528" spans="1:27" x14ac:dyDescent="0.3">
      <c r="A528" t="s">
        <v>2008</v>
      </c>
      <c r="B528" t="s">
        <v>197</v>
      </c>
      <c r="C528" t="s">
        <v>33</v>
      </c>
      <c r="D528" t="s">
        <v>2009</v>
      </c>
      <c r="E528" s="13" t="s">
        <v>2010</v>
      </c>
      <c r="G528" s="2">
        <v>20</v>
      </c>
      <c r="H528">
        <v>9</v>
      </c>
      <c r="I528">
        <v>12</v>
      </c>
      <c r="J528" t="s">
        <v>55</v>
      </c>
      <c r="K528">
        <v>0</v>
      </c>
      <c r="L528" t="s">
        <v>41</v>
      </c>
      <c r="M528" s="12">
        <v>30.5</v>
      </c>
      <c r="N528" s="3">
        <f>G528*M528</f>
        <v>610</v>
      </c>
      <c r="O528" s="1">
        <v>45469</v>
      </c>
      <c r="P528" s="1">
        <v>45710</v>
      </c>
      <c r="Q528" s="1">
        <v>45367</v>
      </c>
      <c r="R528">
        <v>610</v>
      </c>
      <c r="S528">
        <v>369</v>
      </c>
      <c r="T528">
        <v>712</v>
      </c>
      <c r="U528" t="str">
        <f t="shared" si="16"/>
        <v>Safe</v>
      </c>
      <c r="V528" t="s">
        <v>2011</v>
      </c>
      <c r="W528">
        <v>46</v>
      </c>
      <c r="X528" s="3">
        <f t="shared" si="17"/>
        <v>28060</v>
      </c>
      <c r="Y528">
        <v>32</v>
      </c>
      <c r="Z528" t="s">
        <v>30</v>
      </c>
      <c r="AA528" s="3">
        <f>X528-Grocery_Inventory_and_Sales_Dat!N528</f>
        <v>27450</v>
      </c>
    </row>
    <row r="529" spans="1:27" x14ac:dyDescent="0.3">
      <c r="A529" t="s">
        <v>2012</v>
      </c>
      <c r="B529" t="s">
        <v>202</v>
      </c>
      <c r="C529" t="s">
        <v>138</v>
      </c>
      <c r="D529" t="s">
        <v>2013</v>
      </c>
      <c r="E529" s="13" t="s">
        <v>938</v>
      </c>
      <c r="G529" s="2">
        <v>43</v>
      </c>
      <c r="H529">
        <v>7</v>
      </c>
      <c r="I529">
        <v>63</v>
      </c>
      <c r="J529" t="s">
        <v>55</v>
      </c>
      <c r="K529">
        <v>0</v>
      </c>
      <c r="L529" t="s">
        <v>41</v>
      </c>
      <c r="M529" s="12">
        <v>9</v>
      </c>
      <c r="N529" s="3">
        <f>G529*M529</f>
        <v>387</v>
      </c>
      <c r="O529" s="1">
        <v>45561</v>
      </c>
      <c r="P529" s="1">
        <v>45497</v>
      </c>
      <c r="Q529" s="1">
        <v>45359</v>
      </c>
      <c r="R529">
        <v>518</v>
      </c>
      <c r="S529">
        <v>582</v>
      </c>
      <c r="T529">
        <v>720</v>
      </c>
      <c r="U529" t="str">
        <f t="shared" si="16"/>
        <v>Safe</v>
      </c>
      <c r="V529" t="s">
        <v>2014</v>
      </c>
      <c r="W529">
        <v>66</v>
      </c>
      <c r="X529" s="3">
        <f t="shared" si="17"/>
        <v>25542</v>
      </c>
      <c r="Y529">
        <v>71</v>
      </c>
      <c r="Z529" t="s">
        <v>49</v>
      </c>
      <c r="AA529" s="3">
        <f>X529-Grocery_Inventory_and_Sales_Dat!N529</f>
        <v>25155</v>
      </c>
    </row>
    <row r="530" spans="1:27" x14ac:dyDescent="0.3">
      <c r="A530" t="s">
        <v>2015</v>
      </c>
      <c r="B530" t="s">
        <v>292</v>
      </c>
      <c r="C530" t="s">
        <v>33</v>
      </c>
      <c r="D530" t="s">
        <v>2016</v>
      </c>
      <c r="E530" s="13" t="s">
        <v>427</v>
      </c>
      <c r="G530" s="2">
        <v>29</v>
      </c>
      <c r="H530">
        <v>91</v>
      </c>
      <c r="I530">
        <v>48</v>
      </c>
      <c r="J530" t="s">
        <v>27</v>
      </c>
      <c r="K530">
        <v>91</v>
      </c>
      <c r="L530" t="s">
        <v>28</v>
      </c>
      <c r="M530" s="12">
        <v>12</v>
      </c>
      <c r="N530" s="3">
        <f>G530*M530</f>
        <v>348</v>
      </c>
      <c r="O530" s="1">
        <v>45422</v>
      </c>
      <c r="P530" s="1">
        <v>45572</v>
      </c>
      <c r="Q530" s="1">
        <v>45520</v>
      </c>
      <c r="R530">
        <v>657</v>
      </c>
      <c r="S530">
        <v>507</v>
      </c>
      <c r="T530">
        <v>559</v>
      </c>
      <c r="U530" t="str">
        <f t="shared" si="16"/>
        <v>Safe</v>
      </c>
      <c r="V530" t="s">
        <v>2017</v>
      </c>
      <c r="W530">
        <v>28</v>
      </c>
      <c r="X530" s="3">
        <f t="shared" si="17"/>
        <v>9744</v>
      </c>
      <c r="Y530">
        <v>40</v>
      </c>
      <c r="Z530" t="s">
        <v>49</v>
      </c>
      <c r="AA530" s="3">
        <f>X530-Grocery_Inventory_and_Sales_Dat!N530</f>
        <v>9396</v>
      </c>
    </row>
    <row r="531" spans="1:27" x14ac:dyDescent="0.3">
      <c r="A531" t="s">
        <v>2018</v>
      </c>
      <c r="B531" t="s">
        <v>1131</v>
      </c>
      <c r="C531" t="s">
        <v>52</v>
      </c>
      <c r="D531" t="s">
        <v>2019</v>
      </c>
      <c r="E531" s="13" t="s">
        <v>644</v>
      </c>
      <c r="G531" s="2">
        <v>37</v>
      </c>
      <c r="H531">
        <v>45</v>
      </c>
      <c r="I531">
        <v>62</v>
      </c>
      <c r="J531" t="s">
        <v>27</v>
      </c>
      <c r="K531">
        <v>45</v>
      </c>
      <c r="L531" t="s">
        <v>41</v>
      </c>
      <c r="M531" s="12">
        <v>5.5</v>
      </c>
      <c r="N531" s="3">
        <f>G531*M531</f>
        <v>203.5</v>
      </c>
      <c r="O531" s="1">
        <v>45516</v>
      </c>
      <c r="P531" s="1">
        <v>45992</v>
      </c>
      <c r="Q531" s="1">
        <v>45402</v>
      </c>
      <c r="R531">
        <v>563</v>
      </c>
      <c r="S531">
        <v>87</v>
      </c>
      <c r="T531">
        <v>677</v>
      </c>
      <c r="U531" t="str">
        <f t="shared" si="16"/>
        <v>Safe</v>
      </c>
      <c r="V531" t="s">
        <v>2020</v>
      </c>
      <c r="W531">
        <v>34</v>
      </c>
      <c r="X531" s="3">
        <f t="shared" si="17"/>
        <v>6919</v>
      </c>
      <c r="Y531">
        <v>23</v>
      </c>
      <c r="Z531" t="s">
        <v>43</v>
      </c>
      <c r="AA531" s="3">
        <f>X531-Grocery_Inventory_and_Sales_Dat!N531</f>
        <v>6715.5</v>
      </c>
    </row>
    <row r="532" spans="1:27" x14ac:dyDescent="0.3">
      <c r="A532" t="s">
        <v>2021</v>
      </c>
      <c r="B532" t="s">
        <v>725</v>
      </c>
      <c r="C532" t="s">
        <v>70</v>
      </c>
      <c r="D532" t="s">
        <v>2022</v>
      </c>
      <c r="E532" s="13" t="s">
        <v>2023</v>
      </c>
      <c r="G532" s="2">
        <v>85</v>
      </c>
      <c r="H532">
        <v>28</v>
      </c>
      <c r="I532">
        <v>32</v>
      </c>
      <c r="J532" t="s">
        <v>55</v>
      </c>
      <c r="K532">
        <v>0</v>
      </c>
      <c r="L532" t="s">
        <v>41</v>
      </c>
      <c r="M532" s="12">
        <v>8.9</v>
      </c>
      <c r="N532" s="3">
        <f>G532*M532</f>
        <v>756.5</v>
      </c>
      <c r="O532" s="1">
        <v>45674</v>
      </c>
      <c r="P532" s="1">
        <v>45468</v>
      </c>
      <c r="Q532" s="1">
        <v>45685</v>
      </c>
      <c r="R532">
        <v>405</v>
      </c>
      <c r="S532">
        <v>611</v>
      </c>
      <c r="T532">
        <v>394</v>
      </c>
      <c r="U532" t="str">
        <f t="shared" si="16"/>
        <v>Expiring Soon</v>
      </c>
      <c r="V532" t="s">
        <v>2024</v>
      </c>
      <c r="W532">
        <v>57</v>
      </c>
      <c r="X532" s="3">
        <f t="shared" si="17"/>
        <v>43120.5</v>
      </c>
      <c r="Y532">
        <v>41</v>
      </c>
      <c r="Z532" t="s">
        <v>43</v>
      </c>
      <c r="AA532" s="3">
        <f>X532-Grocery_Inventory_and_Sales_Dat!N532</f>
        <v>42364</v>
      </c>
    </row>
    <row r="533" spans="1:27" x14ac:dyDescent="0.3">
      <c r="A533" t="s">
        <v>2025</v>
      </c>
      <c r="B533" t="s">
        <v>834</v>
      </c>
      <c r="C533" t="s">
        <v>24</v>
      </c>
      <c r="D533" t="s">
        <v>2026</v>
      </c>
      <c r="E533" s="13" t="s">
        <v>699</v>
      </c>
      <c r="G533" s="2">
        <v>26</v>
      </c>
      <c r="H533">
        <v>67</v>
      </c>
      <c r="I533">
        <v>46</v>
      </c>
      <c r="J533" t="s">
        <v>27</v>
      </c>
      <c r="K533">
        <v>67</v>
      </c>
      <c r="L533" t="s">
        <v>28</v>
      </c>
      <c r="M533" s="12">
        <v>4.4000000000000004</v>
      </c>
      <c r="N533" s="3">
        <f>G533*M533</f>
        <v>114.4</v>
      </c>
      <c r="O533" s="1">
        <v>45516</v>
      </c>
      <c r="P533" s="1">
        <v>45635</v>
      </c>
      <c r="Q533" s="1">
        <v>45386</v>
      </c>
      <c r="R533">
        <v>563</v>
      </c>
      <c r="S533">
        <v>444</v>
      </c>
      <c r="T533">
        <v>693</v>
      </c>
      <c r="U533" t="str">
        <f t="shared" si="16"/>
        <v>Safe</v>
      </c>
      <c r="V533" t="s">
        <v>2027</v>
      </c>
      <c r="W533">
        <v>54</v>
      </c>
      <c r="X533" s="3">
        <f t="shared" si="17"/>
        <v>6177.6</v>
      </c>
      <c r="Y533">
        <v>46</v>
      </c>
      <c r="Z533" t="s">
        <v>43</v>
      </c>
      <c r="AA533" s="3">
        <f>X533-Grocery_Inventory_and_Sales_Dat!N533</f>
        <v>6063.2000000000007</v>
      </c>
    </row>
    <row r="534" spans="1:27" x14ac:dyDescent="0.3">
      <c r="A534" t="s">
        <v>2028</v>
      </c>
      <c r="B534" t="s">
        <v>342</v>
      </c>
      <c r="C534" t="s">
        <v>33</v>
      </c>
      <c r="D534" t="s">
        <v>2029</v>
      </c>
      <c r="E534" s="13" t="s">
        <v>47</v>
      </c>
      <c r="G534" s="2">
        <v>91</v>
      </c>
      <c r="H534">
        <v>78</v>
      </c>
      <c r="I534">
        <v>61</v>
      </c>
      <c r="J534" t="s">
        <v>55</v>
      </c>
      <c r="K534">
        <v>0</v>
      </c>
      <c r="L534" t="s">
        <v>41</v>
      </c>
      <c r="M534" s="12">
        <v>25</v>
      </c>
      <c r="N534" s="3">
        <f>G534*M534</f>
        <v>2275</v>
      </c>
      <c r="O534" s="1">
        <v>45417</v>
      </c>
      <c r="P534" s="1">
        <v>45592</v>
      </c>
      <c r="Q534" s="1">
        <v>45514</v>
      </c>
      <c r="R534">
        <v>662</v>
      </c>
      <c r="S534">
        <v>487</v>
      </c>
      <c r="T534">
        <v>565</v>
      </c>
      <c r="U534" t="str">
        <f t="shared" si="16"/>
        <v>Safe</v>
      </c>
      <c r="V534" t="s">
        <v>2030</v>
      </c>
      <c r="W534">
        <v>63</v>
      </c>
      <c r="X534" s="3">
        <f t="shared" si="17"/>
        <v>143325</v>
      </c>
      <c r="Y534">
        <v>15</v>
      </c>
      <c r="Z534" t="s">
        <v>43</v>
      </c>
      <c r="AA534" s="3">
        <f>X534-Grocery_Inventory_and_Sales_Dat!N534</f>
        <v>141050</v>
      </c>
    </row>
    <row r="535" spans="1:27" x14ac:dyDescent="0.3">
      <c r="A535" t="s">
        <v>2031</v>
      </c>
      <c r="B535" t="s">
        <v>334</v>
      </c>
      <c r="C535" t="s">
        <v>70</v>
      </c>
      <c r="D535" t="s">
        <v>2032</v>
      </c>
      <c r="E535" s="13" t="s">
        <v>668</v>
      </c>
      <c r="G535" s="2">
        <v>50</v>
      </c>
      <c r="H535">
        <v>46</v>
      </c>
      <c r="I535">
        <v>38</v>
      </c>
      <c r="J535" t="s">
        <v>55</v>
      </c>
      <c r="K535">
        <v>0</v>
      </c>
      <c r="L535" t="s">
        <v>41</v>
      </c>
      <c r="M535" s="12">
        <v>6.2</v>
      </c>
      <c r="N535" s="3">
        <f>G535*M535</f>
        <v>310</v>
      </c>
      <c r="O535" s="1">
        <v>45301</v>
      </c>
      <c r="P535" s="1">
        <v>45358</v>
      </c>
      <c r="Q535" s="1">
        <v>45504</v>
      </c>
      <c r="R535">
        <v>778</v>
      </c>
      <c r="S535">
        <v>721</v>
      </c>
      <c r="T535">
        <v>575</v>
      </c>
      <c r="U535" t="str">
        <f t="shared" si="16"/>
        <v>Safe</v>
      </c>
      <c r="V535" t="s">
        <v>2033</v>
      </c>
      <c r="W535">
        <v>88</v>
      </c>
      <c r="X535" s="3">
        <f t="shared" si="17"/>
        <v>27280</v>
      </c>
      <c r="Y535">
        <v>70</v>
      </c>
      <c r="Z535" t="s">
        <v>49</v>
      </c>
      <c r="AA535" s="3">
        <f>X535-Grocery_Inventory_and_Sales_Dat!N535</f>
        <v>26970</v>
      </c>
    </row>
    <row r="536" spans="1:27" x14ac:dyDescent="0.3">
      <c r="A536" t="s">
        <v>2034</v>
      </c>
      <c r="B536" t="s">
        <v>137</v>
      </c>
      <c r="C536" t="s">
        <v>138</v>
      </c>
      <c r="D536" t="s">
        <v>2035</v>
      </c>
      <c r="E536" s="13" t="s">
        <v>827</v>
      </c>
      <c r="G536" s="2">
        <v>98</v>
      </c>
      <c r="H536">
        <v>65</v>
      </c>
      <c r="I536">
        <v>76</v>
      </c>
      <c r="J536" t="s">
        <v>55</v>
      </c>
      <c r="K536">
        <v>0</v>
      </c>
      <c r="L536" t="s">
        <v>41</v>
      </c>
      <c r="M536" s="12">
        <v>12</v>
      </c>
      <c r="N536" s="3">
        <f>G536*M536</f>
        <v>1176</v>
      </c>
      <c r="O536" s="1">
        <v>45562</v>
      </c>
      <c r="P536" s="1">
        <v>45492</v>
      </c>
      <c r="Q536" s="1">
        <v>45470</v>
      </c>
      <c r="R536">
        <v>517</v>
      </c>
      <c r="S536">
        <v>587</v>
      </c>
      <c r="T536">
        <v>609</v>
      </c>
      <c r="U536" t="str">
        <f t="shared" si="16"/>
        <v>Safe</v>
      </c>
      <c r="V536" t="s">
        <v>2036</v>
      </c>
      <c r="W536">
        <v>62</v>
      </c>
      <c r="X536" s="3">
        <f t="shared" si="17"/>
        <v>72912</v>
      </c>
      <c r="Y536">
        <v>47</v>
      </c>
      <c r="Z536" t="s">
        <v>49</v>
      </c>
      <c r="AA536" s="3">
        <f>X536-Grocery_Inventory_and_Sales_Dat!N536</f>
        <v>71736</v>
      </c>
    </row>
    <row r="537" spans="1:27" x14ac:dyDescent="0.3">
      <c r="A537" t="s">
        <v>2037</v>
      </c>
      <c r="B537" t="s">
        <v>80</v>
      </c>
      <c r="C537" t="s">
        <v>70</v>
      </c>
      <c r="D537" t="s">
        <v>2038</v>
      </c>
      <c r="E537" s="13" t="s">
        <v>277</v>
      </c>
      <c r="G537" s="2">
        <v>37</v>
      </c>
      <c r="H537">
        <v>53</v>
      </c>
      <c r="I537">
        <v>61</v>
      </c>
      <c r="J537" t="s">
        <v>27</v>
      </c>
      <c r="K537">
        <v>53</v>
      </c>
      <c r="L537" t="s">
        <v>41</v>
      </c>
      <c r="M537" s="12">
        <v>1</v>
      </c>
      <c r="N537" s="3">
        <f>G537*M537</f>
        <v>37</v>
      </c>
      <c r="O537" s="1">
        <v>45355</v>
      </c>
      <c r="P537" s="1">
        <v>45490</v>
      </c>
      <c r="Q537" s="1">
        <v>45372</v>
      </c>
      <c r="R537">
        <v>724</v>
      </c>
      <c r="S537">
        <v>589</v>
      </c>
      <c r="T537">
        <v>707</v>
      </c>
      <c r="U537" t="str">
        <f t="shared" si="16"/>
        <v>Safe</v>
      </c>
      <c r="V537" t="s">
        <v>2039</v>
      </c>
      <c r="W537">
        <v>90</v>
      </c>
      <c r="X537" s="3">
        <f t="shared" si="17"/>
        <v>3330</v>
      </c>
      <c r="Y537">
        <v>89</v>
      </c>
      <c r="Z537" t="s">
        <v>43</v>
      </c>
      <c r="AA537" s="3">
        <f>X537-Grocery_Inventory_and_Sales_Dat!N537</f>
        <v>3293</v>
      </c>
    </row>
    <row r="538" spans="1:27" x14ac:dyDescent="0.3">
      <c r="A538" t="s">
        <v>2040</v>
      </c>
      <c r="B538" t="s">
        <v>288</v>
      </c>
      <c r="C538" t="s">
        <v>95</v>
      </c>
      <c r="D538" t="s">
        <v>2041</v>
      </c>
      <c r="E538" s="13" t="s">
        <v>759</v>
      </c>
      <c r="G538" s="2">
        <v>78</v>
      </c>
      <c r="H538">
        <v>68</v>
      </c>
      <c r="I538">
        <v>68</v>
      </c>
      <c r="J538" t="s">
        <v>55</v>
      </c>
      <c r="K538">
        <v>0</v>
      </c>
      <c r="L538" t="s">
        <v>41</v>
      </c>
      <c r="M538" s="12">
        <v>2.5</v>
      </c>
      <c r="N538" s="3">
        <f>G538*M538</f>
        <v>195</v>
      </c>
      <c r="O538" s="1">
        <v>45635</v>
      </c>
      <c r="P538" s="1">
        <v>45415</v>
      </c>
      <c r="Q538" s="1">
        <v>45651</v>
      </c>
      <c r="R538">
        <v>444</v>
      </c>
      <c r="S538">
        <v>664</v>
      </c>
      <c r="T538">
        <v>428</v>
      </c>
      <c r="U538" t="str">
        <f t="shared" si="16"/>
        <v>Expiring Soon</v>
      </c>
      <c r="V538" t="s">
        <v>2042</v>
      </c>
      <c r="W538">
        <v>89</v>
      </c>
      <c r="X538" s="3">
        <f t="shared" si="17"/>
        <v>17355</v>
      </c>
      <c r="Y538">
        <v>24</v>
      </c>
      <c r="Z538" t="s">
        <v>43</v>
      </c>
      <c r="AA538" s="3">
        <f>X538-Grocery_Inventory_and_Sales_Dat!N538</f>
        <v>17160</v>
      </c>
    </row>
    <row r="539" spans="1:27" x14ac:dyDescent="0.3">
      <c r="A539" t="s">
        <v>2043</v>
      </c>
      <c r="B539" t="s">
        <v>600</v>
      </c>
      <c r="C539" t="s">
        <v>52</v>
      </c>
      <c r="D539" t="s">
        <v>2044</v>
      </c>
      <c r="E539" s="13" t="s">
        <v>165</v>
      </c>
      <c r="G539" s="2">
        <v>48</v>
      </c>
      <c r="H539">
        <v>27</v>
      </c>
      <c r="I539">
        <v>73</v>
      </c>
      <c r="J539" t="s">
        <v>55</v>
      </c>
      <c r="K539">
        <v>0</v>
      </c>
      <c r="L539" t="s">
        <v>41</v>
      </c>
      <c r="M539" s="12">
        <v>2.5499999999999998</v>
      </c>
      <c r="N539" s="3">
        <f>G539*M539</f>
        <v>122.39999999999999</v>
      </c>
      <c r="O539" s="1">
        <v>45670</v>
      </c>
      <c r="P539" s="1">
        <v>45630</v>
      </c>
      <c r="Q539" s="1">
        <v>45442</v>
      </c>
      <c r="R539">
        <v>409</v>
      </c>
      <c r="S539">
        <v>449</v>
      </c>
      <c r="T539">
        <v>637</v>
      </c>
      <c r="U539" t="str">
        <f t="shared" si="16"/>
        <v>Safe</v>
      </c>
      <c r="V539" t="s">
        <v>2045</v>
      </c>
      <c r="W539">
        <v>52</v>
      </c>
      <c r="X539" s="3">
        <f t="shared" si="17"/>
        <v>6364.7999999999993</v>
      </c>
      <c r="Y539">
        <v>97</v>
      </c>
      <c r="Z539" t="s">
        <v>30</v>
      </c>
      <c r="AA539" s="3">
        <f>X539-Grocery_Inventory_and_Sales_Dat!N539</f>
        <v>6242.4</v>
      </c>
    </row>
    <row r="540" spans="1:27" x14ac:dyDescent="0.3">
      <c r="A540" t="s">
        <v>2046</v>
      </c>
      <c r="B540" t="s">
        <v>32</v>
      </c>
      <c r="C540" t="s">
        <v>33</v>
      </c>
      <c r="D540" t="s">
        <v>2047</v>
      </c>
      <c r="E540" s="13" t="s">
        <v>2048</v>
      </c>
      <c r="G540" s="2">
        <v>74</v>
      </c>
      <c r="H540">
        <v>10</v>
      </c>
      <c r="I540">
        <v>74</v>
      </c>
      <c r="J540" t="s">
        <v>55</v>
      </c>
      <c r="K540">
        <v>0</v>
      </c>
      <c r="L540" t="s">
        <v>41</v>
      </c>
      <c r="M540" s="12">
        <v>20</v>
      </c>
      <c r="N540" s="3">
        <f>G540*M540</f>
        <v>1480</v>
      </c>
      <c r="O540" s="1">
        <v>45500</v>
      </c>
      <c r="P540" s="1">
        <v>45332</v>
      </c>
      <c r="Q540" s="1">
        <v>45371</v>
      </c>
      <c r="R540">
        <v>579</v>
      </c>
      <c r="S540">
        <v>747</v>
      </c>
      <c r="T540">
        <v>708</v>
      </c>
      <c r="U540" t="str">
        <f t="shared" si="16"/>
        <v>Safe</v>
      </c>
      <c r="V540" t="s">
        <v>2049</v>
      </c>
      <c r="W540">
        <v>100</v>
      </c>
      <c r="X540" s="3">
        <f t="shared" si="17"/>
        <v>148000</v>
      </c>
      <c r="Y540">
        <v>66</v>
      </c>
      <c r="Z540" t="s">
        <v>43</v>
      </c>
      <c r="AA540" s="3">
        <f>X540-Grocery_Inventory_and_Sales_Dat!N540</f>
        <v>146520</v>
      </c>
    </row>
    <row r="541" spans="1:27" x14ac:dyDescent="0.3">
      <c r="A541" t="s">
        <v>2050</v>
      </c>
      <c r="B541" t="s">
        <v>187</v>
      </c>
      <c r="C541" t="s">
        <v>52</v>
      </c>
      <c r="D541" t="s">
        <v>2051</v>
      </c>
      <c r="E541" s="13" t="s">
        <v>1099</v>
      </c>
      <c r="G541" s="2">
        <v>18</v>
      </c>
      <c r="H541">
        <v>7</v>
      </c>
      <c r="I541">
        <v>58</v>
      </c>
      <c r="J541" t="s">
        <v>55</v>
      </c>
      <c r="K541">
        <v>0</v>
      </c>
      <c r="L541" t="s">
        <v>41</v>
      </c>
      <c r="M541" s="12">
        <v>3.5</v>
      </c>
      <c r="N541" s="3">
        <f>G541*M541</f>
        <v>63</v>
      </c>
      <c r="O541" s="1">
        <v>45622</v>
      </c>
      <c r="P541" s="1">
        <v>45420</v>
      </c>
      <c r="Q541" s="1">
        <v>45469</v>
      </c>
      <c r="R541">
        <v>457</v>
      </c>
      <c r="S541">
        <v>659</v>
      </c>
      <c r="T541">
        <v>610</v>
      </c>
      <c r="U541" t="str">
        <f t="shared" si="16"/>
        <v>Safe</v>
      </c>
      <c r="V541" t="s">
        <v>2052</v>
      </c>
      <c r="W541">
        <v>88</v>
      </c>
      <c r="X541" s="3">
        <f t="shared" si="17"/>
        <v>5544</v>
      </c>
      <c r="Y541">
        <v>96</v>
      </c>
      <c r="Z541" t="s">
        <v>30</v>
      </c>
      <c r="AA541" s="3">
        <f>X541-Grocery_Inventory_and_Sales_Dat!N541</f>
        <v>5481</v>
      </c>
    </row>
    <row r="542" spans="1:27" x14ac:dyDescent="0.3">
      <c r="A542" t="s">
        <v>2053</v>
      </c>
      <c r="B542" t="s">
        <v>600</v>
      </c>
      <c r="C542" t="s">
        <v>52</v>
      </c>
      <c r="D542" t="s">
        <v>2054</v>
      </c>
      <c r="E542" s="13" t="s">
        <v>491</v>
      </c>
      <c r="G542" s="2">
        <v>95</v>
      </c>
      <c r="H542">
        <v>66</v>
      </c>
      <c r="I542">
        <v>69</v>
      </c>
      <c r="J542" t="s">
        <v>55</v>
      </c>
      <c r="K542">
        <v>0</v>
      </c>
      <c r="L542" t="s">
        <v>41</v>
      </c>
      <c r="M542" s="12">
        <v>2.48</v>
      </c>
      <c r="N542" s="3">
        <f>G542*M542</f>
        <v>235.6</v>
      </c>
      <c r="O542" s="1">
        <v>45510</v>
      </c>
      <c r="P542" s="1">
        <v>45379</v>
      </c>
      <c r="Q542" s="1">
        <v>45692</v>
      </c>
      <c r="R542">
        <v>569</v>
      </c>
      <c r="S542">
        <v>700</v>
      </c>
      <c r="T542">
        <v>387</v>
      </c>
      <c r="U542" t="str">
        <f t="shared" si="16"/>
        <v>Expiring Soon</v>
      </c>
      <c r="V542" t="s">
        <v>2055</v>
      </c>
      <c r="W542">
        <v>92</v>
      </c>
      <c r="X542" s="3">
        <f t="shared" si="17"/>
        <v>21675.200000000001</v>
      </c>
      <c r="Y542">
        <v>72</v>
      </c>
      <c r="Z542" t="s">
        <v>43</v>
      </c>
      <c r="AA542" s="3">
        <f>X542-Grocery_Inventory_and_Sales_Dat!N542</f>
        <v>21439.600000000002</v>
      </c>
    </row>
    <row r="543" spans="1:27" x14ac:dyDescent="0.3">
      <c r="A543" t="s">
        <v>2056</v>
      </c>
      <c r="B543" t="s">
        <v>734</v>
      </c>
      <c r="C543" t="s">
        <v>70</v>
      </c>
      <c r="D543" t="s">
        <v>2057</v>
      </c>
      <c r="E543" s="13" t="s">
        <v>1121</v>
      </c>
      <c r="G543" s="2">
        <v>39</v>
      </c>
      <c r="H543">
        <v>93</v>
      </c>
      <c r="I543">
        <v>57</v>
      </c>
      <c r="J543" t="s">
        <v>27</v>
      </c>
      <c r="K543">
        <v>93</v>
      </c>
      <c r="L543" t="s">
        <v>28</v>
      </c>
      <c r="M543" s="12">
        <v>2.5</v>
      </c>
      <c r="N543" s="3">
        <f>G543*M543</f>
        <v>97.5</v>
      </c>
      <c r="O543" s="1">
        <v>45388</v>
      </c>
      <c r="P543" s="1">
        <v>45440</v>
      </c>
      <c r="Q543" s="1">
        <v>45660</v>
      </c>
      <c r="R543">
        <v>691</v>
      </c>
      <c r="S543">
        <v>639</v>
      </c>
      <c r="T543">
        <v>419</v>
      </c>
      <c r="U543" t="str">
        <f t="shared" si="16"/>
        <v>Expiring Soon</v>
      </c>
      <c r="V543" t="s">
        <v>2058</v>
      </c>
      <c r="W543">
        <v>26</v>
      </c>
      <c r="X543" s="3">
        <f t="shared" si="17"/>
        <v>2535</v>
      </c>
      <c r="Y543">
        <v>44</v>
      </c>
      <c r="Z543" t="s">
        <v>43</v>
      </c>
      <c r="AA543" s="3">
        <f>X543-Grocery_Inventory_and_Sales_Dat!N543</f>
        <v>2437.5</v>
      </c>
    </row>
    <row r="544" spans="1:27" x14ac:dyDescent="0.3">
      <c r="A544" t="s">
        <v>2059</v>
      </c>
      <c r="B544" t="s">
        <v>408</v>
      </c>
      <c r="C544" t="s">
        <v>52</v>
      </c>
      <c r="D544" t="s">
        <v>2060</v>
      </c>
      <c r="E544" s="13" t="s">
        <v>2061</v>
      </c>
      <c r="G544" s="2">
        <v>48</v>
      </c>
      <c r="H544">
        <v>72</v>
      </c>
      <c r="I544">
        <v>55</v>
      </c>
      <c r="J544" t="s">
        <v>27</v>
      </c>
      <c r="K544">
        <v>72</v>
      </c>
      <c r="L544" t="s">
        <v>28</v>
      </c>
      <c r="M544" s="12">
        <v>3</v>
      </c>
      <c r="N544" s="3">
        <f>G544*M544</f>
        <v>144</v>
      </c>
      <c r="O544" s="1">
        <v>45553</v>
      </c>
      <c r="P544" s="1">
        <v>45631</v>
      </c>
      <c r="Q544" s="1">
        <v>45473</v>
      </c>
      <c r="R544">
        <v>526</v>
      </c>
      <c r="S544">
        <v>448</v>
      </c>
      <c r="T544">
        <v>606</v>
      </c>
      <c r="U544" t="str">
        <f t="shared" si="16"/>
        <v>Safe</v>
      </c>
      <c r="V544" t="s">
        <v>2062</v>
      </c>
      <c r="W544">
        <v>51</v>
      </c>
      <c r="X544" s="3">
        <f t="shared" si="17"/>
        <v>7344</v>
      </c>
      <c r="Y544">
        <v>41</v>
      </c>
      <c r="Z544" t="s">
        <v>49</v>
      </c>
      <c r="AA544" s="3">
        <f>X544-Grocery_Inventory_and_Sales_Dat!N544</f>
        <v>7200</v>
      </c>
    </row>
    <row r="545" spans="1:27" x14ac:dyDescent="0.3">
      <c r="A545" t="s">
        <v>2063</v>
      </c>
      <c r="B545" t="s">
        <v>104</v>
      </c>
      <c r="C545" t="s">
        <v>52</v>
      </c>
      <c r="D545" t="s">
        <v>2064</v>
      </c>
      <c r="E545" s="13" t="s">
        <v>771</v>
      </c>
      <c r="G545" s="2">
        <v>58</v>
      </c>
      <c r="H545">
        <v>15</v>
      </c>
      <c r="I545">
        <v>87</v>
      </c>
      <c r="J545" t="s">
        <v>55</v>
      </c>
      <c r="K545">
        <v>0</v>
      </c>
      <c r="L545" t="s">
        <v>41</v>
      </c>
      <c r="M545" s="12">
        <v>5.9</v>
      </c>
      <c r="N545" s="3">
        <f>G545*M545</f>
        <v>342.20000000000005</v>
      </c>
      <c r="O545" s="1">
        <v>45572</v>
      </c>
      <c r="P545" s="1">
        <v>45473</v>
      </c>
      <c r="Q545" s="1">
        <v>45502</v>
      </c>
      <c r="R545">
        <v>507</v>
      </c>
      <c r="S545">
        <v>606</v>
      </c>
      <c r="T545">
        <v>577</v>
      </c>
      <c r="U545" t="str">
        <f t="shared" si="16"/>
        <v>Safe</v>
      </c>
      <c r="V545" t="s">
        <v>2065</v>
      </c>
      <c r="W545">
        <v>52</v>
      </c>
      <c r="X545" s="3">
        <f t="shared" si="17"/>
        <v>17794.400000000001</v>
      </c>
      <c r="Y545">
        <v>81</v>
      </c>
      <c r="Z545" t="s">
        <v>43</v>
      </c>
      <c r="AA545" s="3">
        <f>X545-Grocery_Inventory_and_Sales_Dat!N545</f>
        <v>17452.2</v>
      </c>
    </row>
    <row r="546" spans="1:27" x14ac:dyDescent="0.3">
      <c r="A546" t="s">
        <v>2066</v>
      </c>
      <c r="B546" t="s">
        <v>75</v>
      </c>
      <c r="C546" t="s">
        <v>70</v>
      </c>
      <c r="D546" t="s">
        <v>2067</v>
      </c>
      <c r="E546" s="13" t="s">
        <v>602</v>
      </c>
      <c r="G546" s="2">
        <v>39</v>
      </c>
      <c r="H546">
        <v>55</v>
      </c>
      <c r="I546">
        <v>39</v>
      </c>
      <c r="J546" t="s">
        <v>27</v>
      </c>
      <c r="K546">
        <v>55</v>
      </c>
      <c r="L546" t="s">
        <v>41</v>
      </c>
      <c r="M546" s="12">
        <v>3</v>
      </c>
      <c r="N546" s="3">
        <f>G546*M546</f>
        <v>117</v>
      </c>
      <c r="O546" s="1">
        <v>45519</v>
      </c>
      <c r="P546" s="1">
        <v>45480</v>
      </c>
      <c r="Q546" s="1">
        <v>45463</v>
      </c>
      <c r="R546">
        <v>560</v>
      </c>
      <c r="S546">
        <v>599</v>
      </c>
      <c r="T546">
        <v>616</v>
      </c>
      <c r="U546" t="str">
        <f t="shared" si="16"/>
        <v>Safe</v>
      </c>
      <c r="V546" t="s">
        <v>2068</v>
      </c>
      <c r="W546">
        <v>47</v>
      </c>
      <c r="X546" s="3">
        <f t="shared" si="17"/>
        <v>5499</v>
      </c>
      <c r="Y546">
        <v>59</v>
      </c>
      <c r="Z546" t="s">
        <v>43</v>
      </c>
      <c r="AA546" s="3">
        <f>X546-Grocery_Inventory_and_Sales_Dat!N546</f>
        <v>5382</v>
      </c>
    </row>
    <row r="547" spans="1:27" x14ac:dyDescent="0.3">
      <c r="A547" t="s">
        <v>2069</v>
      </c>
      <c r="B547" t="s">
        <v>1211</v>
      </c>
      <c r="C547" t="s">
        <v>52</v>
      </c>
      <c r="D547" t="s">
        <v>2070</v>
      </c>
      <c r="E547" s="13" t="s">
        <v>310</v>
      </c>
      <c r="G547" s="2">
        <v>84</v>
      </c>
      <c r="H547">
        <v>28</v>
      </c>
      <c r="I547">
        <v>29</v>
      </c>
      <c r="J547" t="s">
        <v>55</v>
      </c>
      <c r="K547">
        <v>0</v>
      </c>
      <c r="L547" t="s">
        <v>41</v>
      </c>
      <c r="M547" s="12">
        <v>4.4000000000000004</v>
      </c>
      <c r="N547" s="3">
        <f>G547*M547</f>
        <v>369.6</v>
      </c>
      <c r="O547" s="1">
        <v>45902</v>
      </c>
      <c r="P547" s="1">
        <v>45703</v>
      </c>
      <c r="Q547" s="1">
        <v>45640</v>
      </c>
      <c r="R547">
        <v>177</v>
      </c>
      <c r="S547">
        <v>376</v>
      </c>
      <c r="T547">
        <v>439</v>
      </c>
      <c r="U547" t="str">
        <f t="shared" si="16"/>
        <v>Expiring Soon</v>
      </c>
      <c r="V547" t="s">
        <v>2071</v>
      </c>
      <c r="W547">
        <v>54</v>
      </c>
      <c r="X547" s="3">
        <f t="shared" si="17"/>
        <v>19958.400000000001</v>
      </c>
      <c r="Y547">
        <v>32</v>
      </c>
      <c r="Z547" t="s">
        <v>30</v>
      </c>
      <c r="AA547" s="3">
        <f>X547-Grocery_Inventory_and_Sales_Dat!N547</f>
        <v>19588.800000000003</v>
      </c>
    </row>
    <row r="548" spans="1:27" x14ac:dyDescent="0.3">
      <c r="A548" t="s">
        <v>2072</v>
      </c>
      <c r="B548" t="s">
        <v>308</v>
      </c>
      <c r="C548" t="s">
        <v>138</v>
      </c>
      <c r="D548" t="s">
        <v>2073</v>
      </c>
      <c r="E548" s="13" t="s">
        <v>213</v>
      </c>
      <c r="G548" s="2">
        <v>30</v>
      </c>
      <c r="H548">
        <v>55</v>
      </c>
      <c r="I548">
        <v>4</v>
      </c>
      <c r="J548" t="s">
        <v>27</v>
      </c>
      <c r="K548">
        <v>55</v>
      </c>
      <c r="L548" t="s">
        <v>41</v>
      </c>
      <c r="M548" s="12">
        <v>6</v>
      </c>
      <c r="N548" s="3">
        <f>G548*M548</f>
        <v>180</v>
      </c>
      <c r="O548" s="1">
        <v>45529</v>
      </c>
      <c r="P548" s="1">
        <v>45501</v>
      </c>
      <c r="Q548" s="1">
        <v>45688</v>
      </c>
      <c r="R548">
        <v>550</v>
      </c>
      <c r="S548">
        <v>578</v>
      </c>
      <c r="T548">
        <v>391</v>
      </c>
      <c r="U548" t="str">
        <f t="shared" si="16"/>
        <v>Expiring Soon</v>
      </c>
      <c r="V548" t="s">
        <v>2074</v>
      </c>
      <c r="W548">
        <v>56</v>
      </c>
      <c r="X548" s="3">
        <f t="shared" si="17"/>
        <v>10080</v>
      </c>
      <c r="Y548">
        <v>31</v>
      </c>
      <c r="Z548" t="s">
        <v>49</v>
      </c>
      <c r="AA548" s="3">
        <f>X548-Grocery_Inventory_and_Sales_Dat!N548</f>
        <v>9900</v>
      </c>
    </row>
    <row r="549" spans="1:27" x14ac:dyDescent="0.3">
      <c r="A549" t="s">
        <v>2075</v>
      </c>
      <c r="B549" t="s">
        <v>743</v>
      </c>
      <c r="C549" t="s">
        <v>64</v>
      </c>
      <c r="D549" t="s">
        <v>2076</v>
      </c>
      <c r="E549" s="13" t="s">
        <v>722</v>
      </c>
      <c r="G549" s="2">
        <v>14</v>
      </c>
      <c r="H549">
        <v>84</v>
      </c>
      <c r="I549">
        <v>15</v>
      </c>
      <c r="J549" t="s">
        <v>27</v>
      </c>
      <c r="K549">
        <v>84</v>
      </c>
      <c r="L549" t="s">
        <v>28</v>
      </c>
      <c r="M549" s="12">
        <v>6.5</v>
      </c>
      <c r="N549" s="3">
        <f>G549*M549</f>
        <v>91</v>
      </c>
      <c r="O549" s="1">
        <v>45685</v>
      </c>
      <c r="P549" s="1">
        <v>45840</v>
      </c>
      <c r="Q549" s="1">
        <v>45638</v>
      </c>
      <c r="R549">
        <v>394</v>
      </c>
      <c r="S549">
        <v>239</v>
      </c>
      <c r="T549">
        <v>441</v>
      </c>
      <c r="U549" t="str">
        <f t="shared" si="16"/>
        <v>Expiring Soon</v>
      </c>
      <c r="V549" t="s">
        <v>2077</v>
      </c>
      <c r="W549">
        <v>51</v>
      </c>
      <c r="X549" s="3">
        <f t="shared" si="17"/>
        <v>4641</v>
      </c>
      <c r="Y549">
        <v>73</v>
      </c>
      <c r="Z549" t="s">
        <v>49</v>
      </c>
      <c r="AA549" s="3">
        <f>X549-Grocery_Inventory_and_Sales_Dat!N549</f>
        <v>4550</v>
      </c>
    </row>
    <row r="550" spans="1:27" x14ac:dyDescent="0.3">
      <c r="A550" t="s">
        <v>2078</v>
      </c>
      <c r="B550" t="s">
        <v>693</v>
      </c>
      <c r="C550" t="s">
        <v>24</v>
      </c>
      <c r="D550" t="s">
        <v>2079</v>
      </c>
      <c r="E550" s="13" t="s">
        <v>699</v>
      </c>
      <c r="G550" s="2">
        <v>21</v>
      </c>
      <c r="H550">
        <v>15</v>
      </c>
      <c r="I550">
        <v>27</v>
      </c>
      <c r="J550" t="s">
        <v>55</v>
      </c>
      <c r="K550">
        <v>0</v>
      </c>
      <c r="L550" t="s">
        <v>41</v>
      </c>
      <c r="M550" s="12">
        <v>2.5</v>
      </c>
      <c r="N550" s="3">
        <f>G550*M550</f>
        <v>52.5</v>
      </c>
      <c r="O550" s="1">
        <v>45779</v>
      </c>
      <c r="P550" s="1">
        <v>45606</v>
      </c>
      <c r="Q550" s="1">
        <v>45512</v>
      </c>
      <c r="R550">
        <v>300</v>
      </c>
      <c r="S550">
        <v>473</v>
      </c>
      <c r="T550">
        <v>567</v>
      </c>
      <c r="U550" t="str">
        <f t="shared" si="16"/>
        <v>Safe</v>
      </c>
      <c r="V550" t="s">
        <v>2080</v>
      </c>
      <c r="W550">
        <v>37</v>
      </c>
      <c r="X550" s="3">
        <f t="shared" si="17"/>
        <v>1942.5</v>
      </c>
      <c r="Y550">
        <v>41</v>
      </c>
      <c r="Z550" t="s">
        <v>49</v>
      </c>
      <c r="AA550" s="3">
        <f>X550-Grocery_Inventory_and_Sales_Dat!N550</f>
        <v>1890</v>
      </c>
    </row>
    <row r="551" spans="1:27" x14ac:dyDescent="0.3">
      <c r="A551" t="s">
        <v>2081</v>
      </c>
      <c r="B551" t="s">
        <v>473</v>
      </c>
      <c r="C551" t="s">
        <v>24</v>
      </c>
      <c r="D551" t="s">
        <v>2082</v>
      </c>
      <c r="E551" s="13" t="s">
        <v>2083</v>
      </c>
      <c r="G551" s="2">
        <v>17</v>
      </c>
      <c r="H551">
        <v>19</v>
      </c>
      <c r="I551">
        <v>74</v>
      </c>
      <c r="J551" t="s">
        <v>27</v>
      </c>
      <c r="K551">
        <v>19</v>
      </c>
      <c r="L551" t="s">
        <v>41</v>
      </c>
      <c r="M551" s="12">
        <v>4.75</v>
      </c>
      <c r="N551" s="3">
        <f>G551*M551</f>
        <v>80.75</v>
      </c>
      <c r="O551" s="1">
        <v>45392</v>
      </c>
      <c r="P551" s="1">
        <v>45516</v>
      </c>
      <c r="Q551" s="1">
        <v>45496</v>
      </c>
      <c r="R551">
        <v>687</v>
      </c>
      <c r="S551">
        <v>563</v>
      </c>
      <c r="T551">
        <v>583</v>
      </c>
      <c r="U551" t="str">
        <f t="shared" si="16"/>
        <v>Safe</v>
      </c>
      <c r="V551" t="s">
        <v>2084</v>
      </c>
      <c r="W551">
        <v>58</v>
      </c>
      <c r="X551" s="3">
        <f t="shared" si="17"/>
        <v>4683.5</v>
      </c>
      <c r="Y551">
        <v>27</v>
      </c>
      <c r="Z551" t="s">
        <v>30</v>
      </c>
      <c r="AA551" s="3">
        <f>X551-Grocery_Inventory_and_Sales_Dat!N551</f>
        <v>4602.75</v>
      </c>
    </row>
    <row r="552" spans="1:27" x14ac:dyDescent="0.3">
      <c r="A552" t="s">
        <v>2085</v>
      </c>
      <c r="B552" t="s">
        <v>600</v>
      </c>
      <c r="C552" t="s">
        <v>52</v>
      </c>
      <c r="D552" t="s">
        <v>2086</v>
      </c>
      <c r="E552" s="13" t="s">
        <v>438</v>
      </c>
      <c r="G552" s="2">
        <v>34</v>
      </c>
      <c r="H552">
        <v>92</v>
      </c>
      <c r="I552">
        <v>26</v>
      </c>
      <c r="J552" t="s">
        <v>27</v>
      </c>
      <c r="K552">
        <v>92</v>
      </c>
      <c r="L552" t="s">
        <v>28</v>
      </c>
      <c r="M552" s="12">
        <v>2.5</v>
      </c>
      <c r="N552" s="3">
        <f>G552*M552</f>
        <v>85</v>
      </c>
      <c r="O552" s="1">
        <v>45300</v>
      </c>
      <c r="P552" s="1">
        <v>45569</v>
      </c>
      <c r="Q552" s="1">
        <v>45653</v>
      </c>
      <c r="R552">
        <v>779</v>
      </c>
      <c r="S552">
        <v>510</v>
      </c>
      <c r="T552">
        <v>426</v>
      </c>
      <c r="U552" t="str">
        <f t="shared" si="16"/>
        <v>Expiring Soon</v>
      </c>
      <c r="V552" t="s">
        <v>2087</v>
      </c>
      <c r="W552">
        <v>28</v>
      </c>
      <c r="X552" s="3">
        <f t="shared" si="17"/>
        <v>2380</v>
      </c>
      <c r="Y552">
        <v>71</v>
      </c>
      <c r="Z552" t="s">
        <v>49</v>
      </c>
      <c r="AA552" s="3">
        <f>X552-Grocery_Inventory_and_Sales_Dat!N552</f>
        <v>2295</v>
      </c>
    </row>
    <row r="553" spans="1:27" x14ac:dyDescent="0.3">
      <c r="A553" t="s">
        <v>2088</v>
      </c>
      <c r="B553" t="s">
        <v>473</v>
      </c>
      <c r="C553" t="s">
        <v>24</v>
      </c>
      <c r="D553" t="s">
        <v>2089</v>
      </c>
      <c r="E553" s="13" t="s">
        <v>106</v>
      </c>
      <c r="G553" s="2">
        <v>56</v>
      </c>
      <c r="H553">
        <v>48</v>
      </c>
      <c r="I553">
        <v>82</v>
      </c>
      <c r="J553" t="s">
        <v>55</v>
      </c>
      <c r="K553">
        <v>0</v>
      </c>
      <c r="L553" t="s">
        <v>41</v>
      </c>
      <c r="M553" s="12">
        <v>4.75</v>
      </c>
      <c r="N553" s="3">
        <f>G553*M553</f>
        <v>266</v>
      </c>
      <c r="O553" s="1">
        <v>45583</v>
      </c>
      <c r="P553" s="1">
        <v>45647</v>
      </c>
      <c r="Q553" s="1">
        <v>45668</v>
      </c>
      <c r="R553">
        <v>496</v>
      </c>
      <c r="S553">
        <v>432</v>
      </c>
      <c r="T553">
        <v>411</v>
      </c>
      <c r="U553" t="str">
        <f t="shared" si="16"/>
        <v>Expiring Soon</v>
      </c>
      <c r="V553" t="s">
        <v>2090</v>
      </c>
      <c r="W553">
        <v>71</v>
      </c>
      <c r="X553" s="3">
        <f t="shared" si="17"/>
        <v>18886</v>
      </c>
      <c r="Y553">
        <v>65</v>
      </c>
      <c r="Z553" t="s">
        <v>43</v>
      </c>
      <c r="AA553" s="3">
        <f>X553-Grocery_Inventory_and_Sales_Dat!N553</f>
        <v>18620</v>
      </c>
    </row>
    <row r="554" spans="1:27" x14ac:dyDescent="0.3">
      <c r="A554" t="s">
        <v>2091</v>
      </c>
      <c r="B554" t="s">
        <v>51</v>
      </c>
      <c r="C554" t="s">
        <v>52</v>
      </c>
      <c r="D554" t="s">
        <v>2092</v>
      </c>
      <c r="E554" s="13" t="s">
        <v>1779</v>
      </c>
      <c r="G554" s="2">
        <v>64</v>
      </c>
      <c r="H554">
        <v>71</v>
      </c>
      <c r="I554">
        <v>69</v>
      </c>
      <c r="J554" t="s">
        <v>27</v>
      </c>
      <c r="K554">
        <v>71</v>
      </c>
      <c r="L554" t="s">
        <v>28</v>
      </c>
      <c r="M554" s="12">
        <v>3.9</v>
      </c>
      <c r="N554" s="3">
        <f>G554*M554</f>
        <v>249.6</v>
      </c>
      <c r="O554" s="1">
        <v>45575</v>
      </c>
      <c r="P554" s="1">
        <v>45457</v>
      </c>
      <c r="Q554" s="1">
        <v>45575</v>
      </c>
      <c r="R554">
        <v>504</v>
      </c>
      <c r="S554">
        <v>622</v>
      </c>
      <c r="T554">
        <v>504</v>
      </c>
      <c r="U554" t="str">
        <f t="shared" si="16"/>
        <v>Expiring Soon</v>
      </c>
      <c r="V554" t="s">
        <v>2093</v>
      </c>
      <c r="W554">
        <v>60</v>
      </c>
      <c r="X554" s="3">
        <f t="shared" si="17"/>
        <v>14976</v>
      </c>
      <c r="Y554">
        <v>67</v>
      </c>
      <c r="Z554" t="s">
        <v>49</v>
      </c>
      <c r="AA554" s="3">
        <f>X554-Grocery_Inventory_and_Sales_Dat!N554</f>
        <v>14726.4</v>
      </c>
    </row>
    <row r="555" spans="1:27" x14ac:dyDescent="0.3">
      <c r="A555" t="s">
        <v>2094</v>
      </c>
      <c r="B555" t="s">
        <v>1131</v>
      </c>
      <c r="C555" t="s">
        <v>52</v>
      </c>
      <c r="D555" t="s">
        <v>2095</v>
      </c>
      <c r="E555" s="13" t="s">
        <v>1285</v>
      </c>
      <c r="G555" s="2">
        <v>87</v>
      </c>
      <c r="H555">
        <v>62</v>
      </c>
      <c r="I555">
        <v>2</v>
      </c>
      <c r="J555" t="s">
        <v>55</v>
      </c>
      <c r="K555">
        <v>0</v>
      </c>
      <c r="L555" t="s">
        <v>41</v>
      </c>
      <c r="M555" s="12">
        <v>5.5</v>
      </c>
      <c r="N555" s="3">
        <f>G555*M555</f>
        <v>478.5</v>
      </c>
      <c r="O555" s="1">
        <v>45542</v>
      </c>
      <c r="P555" s="1">
        <v>45376</v>
      </c>
      <c r="Q555" s="1">
        <v>45565</v>
      </c>
      <c r="R555">
        <v>537</v>
      </c>
      <c r="S555">
        <v>703</v>
      </c>
      <c r="T555">
        <v>514</v>
      </c>
      <c r="U555" t="str">
        <f t="shared" si="16"/>
        <v>Expiring Soon</v>
      </c>
      <c r="V555" t="s">
        <v>2096</v>
      </c>
      <c r="W555">
        <v>22</v>
      </c>
      <c r="X555" s="3">
        <f t="shared" si="17"/>
        <v>10527</v>
      </c>
      <c r="Y555">
        <v>38</v>
      </c>
      <c r="Z555" t="s">
        <v>43</v>
      </c>
      <c r="AA555" s="3">
        <f>X555-Grocery_Inventory_and_Sales_Dat!N555</f>
        <v>10048.5</v>
      </c>
    </row>
    <row r="556" spans="1:27" x14ac:dyDescent="0.3">
      <c r="A556" t="s">
        <v>2097</v>
      </c>
      <c r="B556" t="s">
        <v>1211</v>
      </c>
      <c r="C556" t="s">
        <v>52</v>
      </c>
      <c r="D556" t="s">
        <v>2098</v>
      </c>
      <c r="E556" s="13" t="s">
        <v>294</v>
      </c>
      <c r="G556" s="2">
        <v>24</v>
      </c>
      <c r="H556">
        <v>25</v>
      </c>
      <c r="I556">
        <v>52</v>
      </c>
      <c r="J556" t="s">
        <v>27</v>
      </c>
      <c r="K556">
        <v>25</v>
      </c>
      <c r="L556" t="s">
        <v>41</v>
      </c>
      <c r="M556" s="12">
        <v>4.5</v>
      </c>
      <c r="N556" s="3">
        <f>G556*M556</f>
        <v>108</v>
      </c>
      <c r="O556" s="1">
        <v>45437</v>
      </c>
      <c r="P556" s="1">
        <v>45435</v>
      </c>
      <c r="Q556" s="1">
        <v>45552</v>
      </c>
      <c r="R556">
        <v>642</v>
      </c>
      <c r="S556">
        <v>644</v>
      </c>
      <c r="T556">
        <v>527</v>
      </c>
      <c r="U556" t="str">
        <f t="shared" si="16"/>
        <v>Expiring Soon</v>
      </c>
      <c r="V556" t="s">
        <v>2099</v>
      </c>
      <c r="W556">
        <v>24</v>
      </c>
      <c r="X556" s="3">
        <f t="shared" si="17"/>
        <v>2592</v>
      </c>
      <c r="Y556">
        <v>77</v>
      </c>
      <c r="Z556" t="s">
        <v>43</v>
      </c>
      <c r="AA556" s="3">
        <f>X556-Grocery_Inventory_and_Sales_Dat!N556</f>
        <v>2484</v>
      </c>
    </row>
    <row r="557" spans="1:27" x14ac:dyDescent="0.3">
      <c r="A557" t="s">
        <v>2100</v>
      </c>
      <c r="B557" t="s">
        <v>23</v>
      </c>
      <c r="C557" t="s">
        <v>24</v>
      </c>
      <c r="D557" t="s">
        <v>2101</v>
      </c>
      <c r="E557" s="13" t="s">
        <v>491</v>
      </c>
      <c r="G557" s="2">
        <v>47</v>
      </c>
      <c r="H557">
        <v>1</v>
      </c>
      <c r="I557">
        <v>60</v>
      </c>
      <c r="J557" t="s">
        <v>55</v>
      </c>
      <c r="K557">
        <v>0</v>
      </c>
      <c r="L557" t="s">
        <v>41</v>
      </c>
      <c r="M557" s="12">
        <v>4.2</v>
      </c>
      <c r="N557" s="3">
        <f>G557*M557</f>
        <v>197.4</v>
      </c>
      <c r="O557" s="1">
        <v>45686</v>
      </c>
      <c r="P557" s="1">
        <v>45431</v>
      </c>
      <c r="Q557" s="1">
        <v>45400</v>
      </c>
      <c r="R557">
        <v>393</v>
      </c>
      <c r="S557">
        <v>648</v>
      </c>
      <c r="T557">
        <v>679</v>
      </c>
      <c r="U557" t="str">
        <f t="shared" si="16"/>
        <v>Safe</v>
      </c>
      <c r="V557" t="s">
        <v>2102</v>
      </c>
      <c r="W557">
        <v>32</v>
      </c>
      <c r="X557" s="3">
        <f t="shared" si="17"/>
        <v>6316.8</v>
      </c>
      <c r="Y557">
        <v>87</v>
      </c>
      <c r="Z557" t="s">
        <v>30</v>
      </c>
      <c r="AA557" s="3">
        <f>X557-Grocery_Inventory_and_Sales_Dat!N557</f>
        <v>6119.4000000000005</v>
      </c>
    </row>
    <row r="558" spans="1:27" x14ac:dyDescent="0.3">
      <c r="A558" t="s">
        <v>2103</v>
      </c>
      <c r="B558" t="s">
        <v>989</v>
      </c>
      <c r="C558" t="s">
        <v>95</v>
      </c>
      <c r="D558" t="s">
        <v>2104</v>
      </c>
      <c r="E558" s="13" t="s">
        <v>913</v>
      </c>
      <c r="G558" s="2">
        <v>61</v>
      </c>
      <c r="H558">
        <v>8</v>
      </c>
      <c r="I558">
        <v>45</v>
      </c>
      <c r="J558" t="s">
        <v>55</v>
      </c>
      <c r="K558">
        <v>0</v>
      </c>
      <c r="L558" t="s">
        <v>41</v>
      </c>
      <c r="M558" s="12">
        <v>4</v>
      </c>
      <c r="N558" s="3">
        <f>G558*M558</f>
        <v>244</v>
      </c>
      <c r="O558" s="1">
        <v>45463</v>
      </c>
      <c r="P558" s="1">
        <v>45562</v>
      </c>
      <c r="Q558" s="1">
        <v>45552</v>
      </c>
      <c r="R558">
        <v>616</v>
      </c>
      <c r="S558">
        <v>517</v>
      </c>
      <c r="T558">
        <v>527</v>
      </c>
      <c r="U558" t="str">
        <f t="shared" si="16"/>
        <v>Expiring Soon</v>
      </c>
      <c r="V558" t="s">
        <v>2105</v>
      </c>
      <c r="W558">
        <v>73</v>
      </c>
      <c r="X558" s="3">
        <f t="shared" si="17"/>
        <v>17812</v>
      </c>
      <c r="Y558">
        <v>64</v>
      </c>
      <c r="Z558" t="s">
        <v>30</v>
      </c>
      <c r="AA558" s="3">
        <f>X558-Grocery_Inventory_and_Sales_Dat!N558</f>
        <v>17568</v>
      </c>
    </row>
    <row r="559" spans="1:27" x14ac:dyDescent="0.3">
      <c r="A559" t="s">
        <v>2106</v>
      </c>
      <c r="B559" t="s">
        <v>94</v>
      </c>
      <c r="C559" t="s">
        <v>95</v>
      </c>
      <c r="D559" t="s">
        <v>2107</v>
      </c>
      <c r="E559" s="13" t="s">
        <v>357</v>
      </c>
      <c r="G559" s="2">
        <v>48</v>
      </c>
      <c r="H559">
        <v>2</v>
      </c>
      <c r="I559">
        <v>16</v>
      </c>
      <c r="J559" t="s">
        <v>55</v>
      </c>
      <c r="K559">
        <v>0</v>
      </c>
      <c r="L559" t="s">
        <v>41</v>
      </c>
      <c r="M559" s="12">
        <v>2.8</v>
      </c>
      <c r="N559" s="3">
        <f>G559*M559</f>
        <v>134.39999999999998</v>
      </c>
      <c r="O559" s="1">
        <v>45377</v>
      </c>
      <c r="P559" s="1">
        <v>45620</v>
      </c>
      <c r="Q559" s="1">
        <v>45451</v>
      </c>
      <c r="R559">
        <v>702</v>
      </c>
      <c r="S559">
        <v>459</v>
      </c>
      <c r="T559">
        <v>628</v>
      </c>
      <c r="U559" t="str">
        <f t="shared" si="16"/>
        <v>Safe</v>
      </c>
      <c r="V559" t="s">
        <v>2108</v>
      </c>
      <c r="W559">
        <v>27</v>
      </c>
      <c r="X559" s="3">
        <f t="shared" si="17"/>
        <v>3628.7999999999993</v>
      </c>
      <c r="Y559">
        <v>1</v>
      </c>
      <c r="Z559" t="s">
        <v>30</v>
      </c>
      <c r="AA559" s="3">
        <f>X559-Grocery_Inventory_and_Sales_Dat!N559</f>
        <v>3494.3999999999992</v>
      </c>
    </row>
    <row r="560" spans="1:27" x14ac:dyDescent="0.3">
      <c r="A560" t="s">
        <v>2109</v>
      </c>
      <c r="B560" t="s">
        <v>451</v>
      </c>
      <c r="C560" t="s">
        <v>95</v>
      </c>
      <c r="D560" t="s">
        <v>2110</v>
      </c>
      <c r="E560" s="13" t="s">
        <v>427</v>
      </c>
      <c r="G560" s="2">
        <v>37</v>
      </c>
      <c r="H560">
        <v>96</v>
      </c>
      <c r="I560">
        <v>82</v>
      </c>
      <c r="J560" t="s">
        <v>27</v>
      </c>
      <c r="K560">
        <v>96</v>
      </c>
      <c r="L560" t="s">
        <v>28</v>
      </c>
      <c r="M560" s="12">
        <v>5</v>
      </c>
      <c r="N560" s="3">
        <f>G560*M560</f>
        <v>185</v>
      </c>
      <c r="O560" s="1">
        <v>45453</v>
      </c>
      <c r="P560" s="1">
        <v>45671</v>
      </c>
      <c r="Q560" s="1">
        <v>45632</v>
      </c>
      <c r="R560">
        <v>626</v>
      </c>
      <c r="S560">
        <v>408</v>
      </c>
      <c r="T560">
        <v>447</v>
      </c>
      <c r="U560" t="str">
        <f t="shared" si="16"/>
        <v>Expiring Soon</v>
      </c>
      <c r="V560" t="s">
        <v>2111</v>
      </c>
      <c r="W560">
        <v>35</v>
      </c>
      <c r="X560" s="3">
        <f t="shared" si="17"/>
        <v>6475</v>
      </c>
      <c r="Y560">
        <v>23</v>
      </c>
      <c r="Z560" t="s">
        <v>43</v>
      </c>
      <c r="AA560" s="3">
        <f>X560-Grocery_Inventory_and_Sales_Dat!N560</f>
        <v>6290</v>
      </c>
    </row>
    <row r="561" spans="1:27" x14ac:dyDescent="0.3">
      <c r="A561" t="s">
        <v>2112</v>
      </c>
      <c r="B561" t="s">
        <v>32</v>
      </c>
      <c r="C561" t="s">
        <v>33</v>
      </c>
      <c r="D561" t="s">
        <v>2113</v>
      </c>
      <c r="E561" s="13" t="s">
        <v>1594</v>
      </c>
      <c r="G561" s="2">
        <v>45</v>
      </c>
      <c r="H561">
        <v>36</v>
      </c>
      <c r="I561">
        <v>97</v>
      </c>
      <c r="J561" t="s">
        <v>55</v>
      </c>
      <c r="K561">
        <v>0</v>
      </c>
      <c r="L561" t="s">
        <v>41</v>
      </c>
      <c r="M561" s="12">
        <v>20</v>
      </c>
      <c r="N561" s="3">
        <f>G561*M561</f>
        <v>900</v>
      </c>
      <c r="O561" s="1">
        <v>45653</v>
      </c>
      <c r="P561" s="1">
        <v>45438</v>
      </c>
      <c r="Q561" s="1">
        <v>45682</v>
      </c>
      <c r="R561">
        <v>426</v>
      </c>
      <c r="S561">
        <v>641</v>
      </c>
      <c r="T561">
        <v>397</v>
      </c>
      <c r="U561" t="str">
        <f t="shared" si="16"/>
        <v>Expiring Soon</v>
      </c>
      <c r="V561" t="s">
        <v>2114</v>
      </c>
      <c r="W561">
        <v>36</v>
      </c>
      <c r="X561" s="3">
        <f t="shared" si="17"/>
        <v>32400</v>
      </c>
      <c r="Y561">
        <v>6</v>
      </c>
      <c r="Z561" t="s">
        <v>49</v>
      </c>
      <c r="AA561" s="3">
        <f>X561-Grocery_Inventory_and_Sales_Dat!N561</f>
        <v>31500</v>
      </c>
    </row>
    <row r="562" spans="1:27" x14ac:dyDescent="0.3">
      <c r="A562" t="s">
        <v>2115</v>
      </c>
      <c r="B562" t="s">
        <v>114</v>
      </c>
      <c r="C562" t="s">
        <v>24</v>
      </c>
      <c r="D562" t="s">
        <v>2116</v>
      </c>
      <c r="E562" s="13" t="s">
        <v>854</v>
      </c>
      <c r="G562" s="2">
        <v>87</v>
      </c>
      <c r="H562">
        <v>97</v>
      </c>
      <c r="I562">
        <v>28</v>
      </c>
      <c r="J562" t="s">
        <v>27</v>
      </c>
      <c r="K562">
        <v>97</v>
      </c>
      <c r="L562" t="s">
        <v>28</v>
      </c>
      <c r="M562" s="12">
        <v>1.5</v>
      </c>
      <c r="N562" s="3">
        <f>G562*M562</f>
        <v>130.5</v>
      </c>
      <c r="O562" s="1">
        <v>45632</v>
      </c>
      <c r="P562" s="1">
        <v>45558</v>
      </c>
      <c r="Q562" s="1">
        <v>45400</v>
      </c>
      <c r="R562">
        <v>447</v>
      </c>
      <c r="S562">
        <v>521</v>
      </c>
      <c r="T562">
        <v>679</v>
      </c>
      <c r="U562" t="str">
        <f t="shared" si="16"/>
        <v>Safe</v>
      </c>
      <c r="V562" t="s">
        <v>2117</v>
      </c>
      <c r="W562">
        <v>58</v>
      </c>
      <c r="X562" s="3">
        <f t="shared" si="17"/>
        <v>7569</v>
      </c>
      <c r="Y562">
        <v>21</v>
      </c>
      <c r="Z562" t="s">
        <v>49</v>
      </c>
      <c r="AA562" s="3">
        <f>X562-Grocery_Inventory_and_Sales_Dat!N562</f>
        <v>7438.5</v>
      </c>
    </row>
    <row r="563" spans="1:27" x14ac:dyDescent="0.3">
      <c r="A563" t="s">
        <v>2118</v>
      </c>
      <c r="B563" t="s">
        <v>507</v>
      </c>
      <c r="C563" t="s">
        <v>24</v>
      </c>
      <c r="D563" t="s">
        <v>2119</v>
      </c>
      <c r="E563" s="13" t="s">
        <v>836</v>
      </c>
      <c r="G563" s="2">
        <v>37</v>
      </c>
      <c r="H563">
        <v>47</v>
      </c>
      <c r="I563">
        <v>34</v>
      </c>
      <c r="J563" t="s">
        <v>27</v>
      </c>
      <c r="K563">
        <v>47</v>
      </c>
      <c r="L563" t="s">
        <v>41</v>
      </c>
      <c r="M563" s="12">
        <v>9.5</v>
      </c>
      <c r="N563" s="3">
        <f>G563*M563</f>
        <v>351.5</v>
      </c>
      <c r="O563" s="1">
        <v>45503</v>
      </c>
      <c r="P563" s="1">
        <v>45596</v>
      </c>
      <c r="Q563" s="1">
        <v>45493</v>
      </c>
      <c r="R563">
        <v>576</v>
      </c>
      <c r="S563">
        <v>483</v>
      </c>
      <c r="T563">
        <v>586</v>
      </c>
      <c r="U563" t="str">
        <f t="shared" si="16"/>
        <v>Safe</v>
      </c>
      <c r="V563" t="s">
        <v>2120</v>
      </c>
      <c r="W563">
        <v>38</v>
      </c>
      <c r="X563" s="3">
        <f t="shared" si="17"/>
        <v>13357</v>
      </c>
      <c r="Y563">
        <v>89</v>
      </c>
      <c r="Z563" t="s">
        <v>43</v>
      </c>
      <c r="AA563" s="3">
        <f>X563-Grocery_Inventory_and_Sales_Dat!N563</f>
        <v>13005.5</v>
      </c>
    </row>
    <row r="564" spans="1:27" x14ac:dyDescent="0.3">
      <c r="A564" t="s">
        <v>2121</v>
      </c>
      <c r="B564" t="s">
        <v>781</v>
      </c>
      <c r="C564" t="s">
        <v>33</v>
      </c>
      <c r="D564" t="s">
        <v>2122</v>
      </c>
      <c r="E564" s="13" t="s">
        <v>277</v>
      </c>
      <c r="G564" s="2">
        <v>59</v>
      </c>
      <c r="H564">
        <v>62</v>
      </c>
      <c r="I564">
        <v>57</v>
      </c>
      <c r="J564" t="s">
        <v>27</v>
      </c>
      <c r="K564">
        <v>62</v>
      </c>
      <c r="L564" t="s">
        <v>28</v>
      </c>
      <c r="M564" s="12">
        <v>10.3</v>
      </c>
      <c r="N564" s="3">
        <f>G564*M564</f>
        <v>607.70000000000005</v>
      </c>
      <c r="O564" s="1">
        <v>45605</v>
      </c>
      <c r="P564" s="1">
        <v>45489</v>
      </c>
      <c r="Q564" s="1">
        <v>45347</v>
      </c>
      <c r="R564">
        <v>474</v>
      </c>
      <c r="S564">
        <v>590</v>
      </c>
      <c r="T564">
        <v>732</v>
      </c>
      <c r="U564" t="str">
        <f t="shared" si="16"/>
        <v>Safe</v>
      </c>
      <c r="V564" t="s">
        <v>2123</v>
      </c>
      <c r="W564">
        <v>90</v>
      </c>
      <c r="X564" s="3">
        <f t="shared" si="17"/>
        <v>54693.000000000007</v>
      </c>
      <c r="Y564">
        <v>94</v>
      </c>
      <c r="Z564" t="s">
        <v>43</v>
      </c>
      <c r="AA564" s="3">
        <f>X564-Grocery_Inventory_and_Sales_Dat!N564</f>
        <v>54085.30000000001</v>
      </c>
    </row>
    <row r="565" spans="1:27" x14ac:dyDescent="0.3">
      <c r="A565" t="s">
        <v>2124</v>
      </c>
      <c r="B565" t="s">
        <v>551</v>
      </c>
      <c r="C565" t="s">
        <v>52</v>
      </c>
      <c r="D565" t="s">
        <v>2125</v>
      </c>
      <c r="E565" s="13" t="s">
        <v>2126</v>
      </c>
      <c r="G565" s="2">
        <v>62</v>
      </c>
      <c r="H565">
        <v>40</v>
      </c>
      <c r="I565">
        <v>86</v>
      </c>
      <c r="J565" t="s">
        <v>55</v>
      </c>
      <c r="K565">
        <v>0</v>
      </c>
      <c r="L565" t="s">
        <v>41</v>
      </c>
      <c r="M565" s="12">
        <v>6</v>
      </c>
      <c r="N565" s="3">
        <f>G565*M565</f>
        <v>372</v>
      </c>
      <c r="O565" s="1">
        <v>45488</v>
      </c>
      <c r="P565" s="1">
        <v>45612</v>
      </c>
      <c r="Q565" s="1">
        <v>45448</v>
      </c>
      <c r="R565">
        <v>591</v>
      </c>
      <c r="S565">
        <v>467</v>
      </c>
      <c r="T565">
        <v>631</v>
      </c>
      <c r="U565" t="str">
        <f t="shared" si="16"/>
        <v>Safe</v>
      </c>
      <c r="V565" t="s">
        <v>2127</v>
      </c>
      <c r="W565">
        <v>45</v>
      </c>
      <c r="X565" s="3">
        <f t="shared" si="17"/>
        <v>16740</v>
      </c>
      <c r="Y565">
        <v>86</v>
      </c>
      <c r="Z565" t="s">
        <v>43</v>
      </c>
      <c r="AA565" s="3">
        <f>X565-Grocery_Inventory_and_Sales_Dat!N565</f>
        <v>16368</v>
      </c>
    </row>
    <row r="566" spans="1:27" x14ac:dyDescent="0.3">
      <c r="A566" t="s">
        <v>2128</v>
      </c>
      <c r="B566" t="s">
        <v>1224</v>
      </c>
      <c r="C566" t="s">
        <v>70</v>
      </c>
      <c r="D566" t="s">
        <v>2129</v>
      </c>
      <c r="E566" s="13" t="s">
        <v>1611</v>
      </c>
      <c r="G566" s="2">
        <v>63</v>
      </c>
      <c r="H566">
        <v>12</v>
      </c>
      <c r="I566">
        <v>82</v>
      </c>
      <c r="J566" t="s">
        <v>55</v>
      </c>
      <c r="K566">
        <v>0</v>
      </c>
      <c r="L566" t="s">
        <v>41</v>
      </c>
      <c r="M566" s="12">
        <v>1.7</v>
      </c>
      <c r="N566" s="3">
        <f>G566*M566</f>
        <v>107.1</v>
      </c>
      <c r="O566" s="1">
        <v>45558</v>
      </c>
      <c r="P566" s="1">
        <v>45298</v>
      </c>
      <c r="Q566" s="1">
        <v>45435</v>
      </c>
      <c r="R566">
        <v>521</v>
      </c>
      <c r="S566">
        <v>781</v>
      </c>
      <c r="T566">
        <v>644</v>
      </c>
      <c r="U566" t="str">
        <f t="shared" si="16"/>
        <v>Safe</v>
      </c>
      <c r="V566" t="s">
        <v>2130</v>
      </c>
      <c r="W566">
        <v>56</v>
      </c>
      <c r="X566" s="3">
        <f t="shared" si="17"/>
        <v>5997.5999999999995</v>
      </c>
      <c r="Y566">
        <v>31</v>
      </c>
      <c r="Z566" t="s">
        <v>43</v>
      </c>
      <c r="AA566" s="3">
        <f>X566-Grocery_Inventory_and_Sales_Dat!N566</f>
        <v>5890.4999999999991</v>
      </c>
    </row>
    <row r="567" spans="1:27" x14ac:dyDescent="0.3">
      <c r="A567" t="s">
        <v>2131</v>
      </c>
      <c r="B567" t="s">
        <v>1131</v>
      </c>
      <c r="C567" t="s">
        <v>52</v>
      </c>
      <c r="D567" t="s">
        <v>2132</v>
      </c>
      <c r="E567" s="13" t="s">
        <v>237</v>
      </c>
      <c r="G567" s="2">
        <v>38</v>
      </c>
      <c r="H567">
        <v>72</v>
      </c>
      <c r="I567">
        <v>39</v>
      </c>
      <c r="J567" t="s">
        <v>27</v>
      </c>
      <c r="K567">
        <v>72</v>
      </c>
      <c r="L567" t="s">
        <v>28</v>
      </c>
      <c r="M567" s="12">
        <v>5.5</v>
      </c>
      <c r="N567" s="3">
        <f>G567*M567</f>
        <v>209</v>
      </c>
      <c r="O567" s="1">
        <v>45572</v>
      </c>
      <c r="P567" s="1">
        <v>45467</v>
      </c>
      <c r="Q567" s="1">
        <v>45575</v>
      </c>
      <c r="R567">
        <v>507</v>
      </c>
      <c r="S567">
        <v>612</v>
      </c>
      <c r="T567">
        <v>504</v>
      </c>
      <c r="U567" t="str">
        <f t="shared" si="16"/>
        <v>Expiring Soon</v>
      </c>
      <c r="V567" t="s">
        <v>2133</v>
      </c>
      <c r="W567">
        <v>59</v>
      </c>
      <c r="X567" s="3">
        <f t="shared" si="17"/>
        <v>12331</v>
      </c>
      <c r="Y567">
        <v>8</v>
      </c>
      <c r="Z567" t="s">
        <v>49</v>
      </c>
      <c r="AA567" s="3">
        <f>X567-Grocery_Inventory_and_Sales_Dat!N567</f>
        <v>12122</v>
      </c>
    </row>
    <row r="568" spans="1:27" x14ac:dyDescent="0.3">
      <c r="A568" t="s">
        <v>2134</v>
      </c>
      <c r="B568" t="s">
        <v>1048</v>
      </c>
      <c r="C568" t="s">
        <v>138</v>
      </c>
      <c r="D568" t="s">
        <v>2135</v>
      </c>
      <c r="E568" s="13" t="s">
        <v>2136</v>
      </c>
      <c r="G568" s="2">
        <v>76</v>
      </c>
      <c r="H568">
        <v>21</v>
      </c>
      <c r="I568">
        <v>3</v>
      </c>
      <c r="J568" t="s">
        <v>55</v>
      </c>
      <c r="K568">
        <v>0</v>
      </c>
      <c r="L568" t="s">
        <v>41</v>
      </c>
      <c r="M568" s="12">
        <v>7.5</v>
      </c>
      <c r="N568" s="3">
        <f>G568*M568</f>
        <v>570</v>
      </c>
      <c r="O568" s="1">
        <v>45678</v>
      </c>
      <c r="P568" s="1">
        <v>45573</v>
      </c>
      <c r="Q568" s="1">
        <v>45365</v>
      </c>
      <c r="R568">
        <v>401</v>
      </c>
      <c r="S568">
        <v>506</v>
      </c>
      <c r="T568">
        <v>714</v>
      </c>
      <c r="U568" t="str">
        <f t="shared" si="16"/>
        <v>Safe</v>
      </c>
      <c r="V568" t="s">
        <v>2137</v>
      </c>
      <c r="W568">
        <v>31</v>
      </c>
      <c r="X568" s="3">
        <f t="shared" si="17"/>
        <v>17670</v>
      </c>
      <c r="Y568">
        <v>47</v>
      </c>
      <c r="Z568" t="s">
        <v>30</v>
      </c>
      <c r="AA568" s="3">
        <f>X568-Grocery_Inventory_and_Sales_Dat!N568</f>
        <v>17100</v>
      </c>
    </row>
    <row r="569" spans="1:27" x14ac:dyDescent="0.3">
      <c r="A569" t="s">
        <v>2138</v>
      </c>
      <c r="B569" t="s">
        <v>163</v>
      </c>
      <c r="C569" t="s">
        <v>70</v>
      </c>
      <c r="D569" t="s">
        <v>2139</v>
      </c>
      <c r="E569" s="13" t="s">
        <v>668</v>
      </c>
      <c r="G569" s="2">
        <v>34</v>
      </c>
      <c r="H569">
        <v>94</v>
      </c>
      <c r="I569">
        <v>69</v>
      </c>
      <c r="J569" t="s">
        <v>27</v>
      </c>
      <c r="K569">
        <v>94</v>
      </c>
      <c r="L569" t="s">
        <v>28</v>
      </c>
      <c r="M569" s="12">
        <v>0.8</v>
      </c>
      <c r="N569" s="3">
        <f>G569*M569</f>
        <v>27.200000000000003</v>
      </c>
      <c r="O569" s="1">
        <v>45717</v>
      </c>
      <c r="P569" s="1">
        <v>45629</v>
      </c>
      <c r="Q569" s="1">
        <v>45490</v>
      </c>
      <c r="R569">
        <v>362</v>
      </c>
      <c r="S569">
        <v>450</v>
      </c>
      <c r="T569">
        <v>589</v>
      </c>
      <c r="U569" t="str">
        <f t="shared" si="16"/>
        <v>Safe</v>
      </c>
      <c r="V569" t="s">
        <v>2140</v>
      </c>
      <c r="W569">
        <v>96</v>
      </c>
      <c r="X569" s="3">
        <f t="shared" si="17"/>
        <v>2611.2000000000003</v>
      </c>
      <c r="Y569">
        <v>30</v>
      </c>
      <c r="Z569" t="s">
        <v>43</v>
      </c>
      <c r="AA569" s="3">
        <f>X569-Grocery_Inventory_and_Sales_Dat!N569</f>
        <v>2584.0000000000005</v>
      </c>
    </row>
    <row r="570" spans="1:27" x14ac:dyDescent="0.3">
      <c r="A570" t="s">
        <v>2141</v>
      </c>
      <c r="B570" t="s">
        <v>360</v>
      </c>
      <c r="C570" t="s">
        <v>52</v>
      </c>
      <c r="D570" t="s">
        <v>2142</v>
      </c>
      <c r="E570" s="13" t="s">
        <v>2143</v>
      </c>
      <c r="G570" s="2">
        <v>25</v>
      </c>
      <c r="H570">
        <v>62</v>
      </c>
      <c r="I570">
        <v>11</v>
      </c>
      <c r="J570" t="s">
        <v>27</v>
      </c>
      <c r="K570">
        <v>62</v>
      </c>
      <c r="L570" t="s">
        <v>28</v>
      </c>
      <c r="M570" s="12">
        <v>3</v>
      </c>
      <c r="N570" s="3">
        <f>G570*M570</f>
        <v>75</v>
      </c>
      <c r="O570" s="1">
        <v>45301</v>
      </c>
      <c r="P570" s="1">
        <v>45303</v>
      </c>
      <c r="Q570" s="1">
        <v>45542</v>
      </c>
      <c r="R570">
        <v>778</v>
      </c>
      <c r="S570">
        <v>776</v>
      </c>
      <c r="T570">
        <v>537</v>
      </c>
      <c r="U570" t="str">
        <f t="shared" si="16"/>
        <v>Expiring Soon</v>
      </c>
      <c r="V570" t="s">
        <v>2144</v>
      </c>
      <c r="W570">
        <v>57</v>
      </c>
      <c r="X570" s="3">
        <f t="shared" si="17"/>
        <v>4275</v>
      </c>
      <c r="Y570">
        <v>98</v>
      </c>
      <c r="Z570" t="s">
        <v>43</v>
      </c>
      <c r="AA570" s="3">
        <f>X570-Grocery_Inventory_and_Sales_Dat!N570</f>
        <v>4200</v>
      </c>
    </row>
    <row r="571" spans="1:27" x14ac:dyDescent="0.3">
      <c r="A571" t="s">
        <v>2145</v>
      </c>
      <c r="B571" t="s">
        <v>734</v>
      </c>
      <c r="C571" t="s">
        <v>70</v>
      </c>
      <c r="D571" t="s">
        <v>2146</v>
      </c>
      <c r="E571" s="13" t="s">
        <v>2147</v>
      </c>
      <c r="G571" s="2">
        <v>86</v>
      </c>
      <c r="H571">
        <v>16</v>
      </c>
      <c r="I571">
        <v>37</v>
      </c>
      <c r="J571" t="s">
        <v>55</v>
      </c>
      <c r="K571">
        <v>0</v>
      </c>
      <c r="L571" t="s">
        <v>41</v>
      </c>
      <c r="M571" s="12">
        <v>2.5</v>
      </c>
      <c r="N571" s="3">
        <f>G571*M571</f>
        <v>215</v>
      </c>
      <c r="O571" s="1">
        <v>45378</v>
      </c>
      <c r="P571" s="1">
        <v>45540</v>
      </c>
      <c r="Q571" s="1">
        <v>45646</v>
      </c>
      <c r="R571">
        <v>701</v>
      </c>
      <c r="S571">
        <v>539</v>
      </c>
      <c r="T571">
        <v>433</v>
      </c>
      <c r="U571" t="str">
        <f t="shared" si="16"/>
        <v>Expiring Soon</v>
      </c>
      <c r="V571" t="s">
        <v>2148</v>
      </c>
      <c r="W571">
        <v>34</v>
      </c>
      <c r="X571" s="3">
        <f t="shared" si="17"/>
        <v>7310</v>
      </c>
      <c r="Y571">
        <v>66</v>
      </c>
      <c r="Z571" t="s">
        <v>49</v>
      </c>
      <c r="AA571" s="3">
        <f>X571-Grocery_Inventory_and_Sales_Dat!N571</f>
        <v>7095</v>
      </c>
    </row>
    <row r="572" spans="1:27" x14ac:dyDescent="0.3">
      <c r="A572" t="s">
        <v>2149</v>
      </c>
      <c r="B572" t="s">
        <v>173</v>
      </c>
      <c r="C572" t="s">
        <v>95</v>
      </c>
      <c r="D572" t="s">
        <v>2150</v>
      </c>
      <c r="E572" s="13" t="s">
        <v>1679</v>
      </c>
      <c r="G572" s="2">
        <v>41</v>
      </c>
      <c r="H572">
        <v>21</v>
      </c>
      <c r="I572">
        <v>47</v>
      </c>
      <c r="J572" t="s">
        <v>55</v>
      </c>
      <c r="K572">
        <v>0</v>
      </c>
      <c r="L572" t="s">
        <v>41</v>
      </c>
      <c r="M572" s="12">
        <v>5</v>
      </c>
      <c r="N572" s="3">
        <f>G572*M572</f>
        <v>205</v>
      </c>
      <c r="O572" s="1">
        <v>45476</v>
      </c>
      <c r="P572" s="1">
        <v>45658</v>
      </c>
      <c r="Q572" s="1">
        <v>45408</v>
      </c>
      <c r="R572">
        <v>603</v>
      </c>
      <c r="S572">
        <v>421</v>
      </c>
      <c r="T572">
        <v>671</v>
      </c>
      <c r="U572" t="str">
        <f t="shared" si="16"/>
        <v>Safe</v>
      </c>
      <c r="V572" t="s">
        <v>2151</v>
      </c>
      <c r="W572">
        <v>50</v>
      </c>
      <c r="X572" s="3">
        <f t="shared" si="17"/>
        <v>10250</v>
      </c>
      <c r="Y572">
        <v>99</v>
      </c>
      <c r="Z572" t="s">
        <v>49</v>
      </c>
      <c r="AA572" s="3">
        <f>X572-Grocery_Inventory_and_Sales_Dat!N572</f>
        <v>10045</v>
      </c>
    </row>
    <row r="573" spans="1:27" x14ac:dyDescent="0.3">
      <c r="A573" t="s">
        <v>2152</v>
      </c>
      <c r="B573" t="s">
        <v>600</v>
      </c>
      <c r="C573" t="s">
        <v>52</v>
      </c>
      <c r="D573" t="s">
        <v>2153</v>
      </c>
      <c r="E573" s="13" t="s">
        <v>2154</v>
      </c>
      <c r="G573" s="2">
        <v>77</v>
      </c>
      <c r="H573">
        <v>54</v>
      </c>
      <c r="I573">
        <v>10</v>
      </c>
      <c r="J573" t="s">
        <v>55</v>
      </c>
      <c r="K573">
        <v>0</v>
      </c>
      <c r="L573" t="s">
        <v>41</v>
      </c>
      <c r="M573" s="12">
        <v>2.5</v>
      </c>
      <c r="N573" s="3">
        <f>G573*M573</f>
        <v>192.5</v>
      </c>
      <c r="O573" s="1">
        <v>45500</v>
      </c>
      <c r="P573" s="1">
        <v>45332</v>
      </c>
      <c r="Q573" s="1">
        <v>45648</v>
      </c>
      <c r="R573">
        <v>579</v>
      </c>
      <c r="S573">
        <v>747</v>
      </c>
      <c r="T573">
        <v>431</v>
      </c>
      <c r="U573" t="str">
        <f t="shared" si="16"/>
        <v>Expiring Soon</v>
      </c>
      <c r="V573" t="s">
        <v>2155</v>
      </c>
      <c r="W573">
        <v>64</v>
      </c>
      <c r="X573" s="3">
        <f t="shared" si="17"/>
        <v>12320</v>
      </c>
      <c r="Y573">
        <v>73</v>
      </c>
      <c r="Z573" t="s">
        <v>49</v>
      </c>
      <c r="AA573" s="3">
        <f>X573-Grocery_Inventory_and_Sales_Dat!N573</f>
        <v>12127.5</v>
      </c>
    </row>
    <row r="574" spans="1:27" x14ac:dyDescent="0.3">
      <c r="A574" t="s">
        <v>2156</v>
      </c>
      <c r="B574" t="s">
        <v>80</v>
      </c>
      <c r="C574" t="s">
        <v>70</v>
      </c>
      <c r="D574" t="s">
        <v>2157</v>
      </c>
      <c r="E574" s="13" t="s">
        <v>2010</v>
      </c>
      <c r="G574" s="2">
        <v>41</v>
      </c>
      <c r="H574">
        <v>61</v>
      </c>
      <c r="I574">
        <v>69</v>
      </c>
      <c r="J574" t="s">
        <v>27</v>
      </c>
      <c r="K574">
        <v>61</v>
      </c>
      <c r="L574" t="s">
        <v>28</v>
      </c>
      <c r="M574" s="12">
        <v>1</v>
      </c>
      <c r="N574" s="3">
        <f>G574*M574</f>
        <v>41</v>
      </c>
      <c r="O574" s="1">
        <v>45499</v>
      </c>
      <c r="P574" s="1">
        <v>45718</v>
      </c>
      <c r="Q574" s="1">
        <v>45500</v>
      </c>
      <c r="R574">
        <v>580</v>
      </c>
      <c r="S574">
        <v>361</v>
      </c>
      <c r="T574">
        <v>579</v>
      </c>
      <c r="U574" t="str">
        <f t="shared" si="16"/>
        <v>Safe</v>
      </c>
      <c r="V574" t="s">
        <v>2158</v>
      </c>
      <c r="W574">
        <v>30</v>
      </c>
      <c r="X574" s="3">
        <f t="shared" si="17"/>
        <v>1230</v>
      </c>
      <c r="Y574">
        <v>100</v>
      </c>
      <c r="Z574" t="s">
        <v>30</v>
      </c>
      <c r="AA574" s="3">
        <f>X574-Grocery_Inventory_and_Sales_Dat!N574</f>
        <v>1189</v>
      </c>
    </row>
    <row r="575" spans="1:27" x14ac:dyDescent="0.3">
      <c r="A575" t="s">
        <v>2159</v>
      </c>
      <c r="B575" t="s">
        <v>280</v>
      </c>
      <c r="C575" t="s">
        <v>52</v>
      </c>
      <c r="D575" t="s">
        <v>2160</v>
      </c>
      <c r="E575" s="13" t="s">
        <v>415</v>
      </c>
      <c r="G575" s="2">
        <v>44</v>
      </c>
      <c r="H575">
        <v>8</v>
      </c>
      <c r="I575">
        <v>52</v>
      </c>
      <c r="J575" t="s">
        <v>55</v>
      </c>
      <c r="K575">
        <v>0</v>
      </c>
      <c r="L575" t="s">
        <v>41</v>
      </c>
      <c r="M575" s="12">
        <v>2.95</v>
      </c>
      <c r="N575" s="3">
        <f>G575*M575</f>
        <v>129.80000000000001</v>
      </c>
      <c r="O575" s="1">
        <v>45601</v>
      </c>
      <c r="P575" s="1">
        <v>45577</v>
      </c>
      <c r="Q575" s="1">
        <v>45508</v>
      </c>
      <c r="R575">
        <v>478</v>
      </c>
      <c r="S575">
        <v>502</v>
      </c>
      <c r="T575">
        <v>571</v>
      </c>
      <c r="U575" t="str">
        <f t="shared" si="16"/>
        <v>Safe</v>
      </c>
      <c r="V575" t="s">
        <v>2161</v>
      </c>
      <c r="W575">
        <v>42</v>
      </c>
      <c r="X575" s="3">
        <f t="shared" si="17"/>
        <v>5451.6</v>
      </c>
      <c r="Y575">
        <v>66</v>
      </c>
      <c r="Z575" t="s">
        <v>49</v>
      </c>
      <c r="AA575" s="3">
        <f>X575-Grocery_Inventory_and_Sales_Dat!N575</f>
        <v>5321.8</v>
      </c>
    </row>
    <row r="576" spans="1:27" x14ac:dyDescent="0.3">
      <c r="A576" t="s">
        <v>2162</v>
      </c>
      <c r="B576" t="s">
        <v>609</v>
      </c>
      <c r="C576" t="s">
        <v>64</v>
      </c>
      <c r="D576" t="s">
        <v>2163</v>
      </c>
      <c r="E576" s="13" t="s">
        <v>1706</v>
      </c>
      <c r="G576" s="2">
        <v>53</v>
      </c>
      <c r="H576">
        <v>89</v>
      </c>
      <c r="I576">
        <v>100</v>
      </c>
      <c r="J576" t="s">
        <v>27</v>
      </c>
      <c r="K576">
        <v>89</v>
      </c>
      <c r="L576" t="s">
        <v>28</v>
      </c>
      <c r="M576" s="12">
        <v>10</v>
      </c>
      <c r="N576" s="3">
        <f>G576*M576</f>
        <v>530</v>
      </c>
      <c r="O576" s="1">
        <v>45298</v>
      </c>
      <c r="P576" s="1">
        <v>45447</v>
      </c>
      <c r="Q576" s="1">
        <v>45571</v>
      </c>
      <c r="R576">
        <v>781</v>
      </c>
      <c r="S576">
        <v>632</v>
      </c>
      <c r="T576">
        <v>508</v>
      </c>
      <c r="U576" t="str">
        <f t="shared" si="16"/>
        <v>Expiring Soon</v>
      </c>
      <c r="V576" t="s">
        <v>2164</v>
      </c>
      <c r="W576">
        <v>22</v>
      </c>
      <c r="X576" s="3">
        <f t="shared" si="17"/>
        <v>11660</v>
      </c>
      <c r="Y576">
        <v>83</v>
      </c>
      <c r="Z576" t="s">
        <v>43</v>
      </c>
      <c r="AA576" s="3">
        <f>X576-Grocery_Inventory_and_Sales_Dat!N576</f>
        <v>11130</v>
      </c>
    </row>
    <row r="577" spans="1:27" x14ac:dyDescent="0.3">
      <c r="A577" t="s">
        <v>2165</v>
      </c>
      <c r="B577" t="s">
        <v>451</v>
      </c>
      <c r="C577" t="s">
        <v>95</v>
      </c>
      <c r="D577" t="s">
        <v>2166</v>
      </c>
      <c r="E577" s="13" t="s">
        <v>150</v>
      </c>
      <c r="G577" s="2">
        <v>68</v>
      </c>
      <c r="H577">
        <v>29</v>
      </c>
      <c r="I577">
        <v>100</v>
      </c>
      <c r="J577" t="s">
        <v>55</v>
      </c>
      <c r="K577">
        <v>0</v>
      </c>
      <c r="L577" t="s">
        <v>41</v>
      </c>
      <c r="M577" s="12">
        <v>5</v>
      </c>
      <c r="N577" s="3">
        <f>G577*M577</f>
        <v>340</v>
      </c>
      <c r="O577" s="1">
        <v>45609</v>
      </c>
      <c r="P577" s="1">
        <v>45562</v>
      </c>
      <c r="Q577" s="1">
        <v>45489</v>
      </c>
      <c r="R577">
        <v>470</v>
      </c>
      <c r="S577">
        <v>517</v>
      </c>
      <c r="T577">
        <v>590</v>
      </c>
      <c r="U577" t="str">
        <f t="shared" si="16"/>
        <v>Safe</v>
      </c>
      <c r="V577" t="s">
        <v>2167</v>
      </c>
      <c r="W577">
        <v>70</v>
      </c>
      <c r="X577" s="3">
        <f t="shared" si="17"/>
        <v>23800</v>
      </c>
      <c r="Y577">
        <v>26</v>
      </c>
      <c r="Z577" t="s">
        <v>43</v>
      </c>
      <c r="AA577" s="3">
        <f>X577-Grocery_Inventory_and_Sales_Dat!N577</f>
        <v>23460</v>
      </c>
    </row>
    <row r="578" spans="1:27" x14ac:dyDescent="0.3">
      <c r="A578" t="s">
        <v>2168</v>
      </c>
      <c r="B578" t="s">
        <v>119</v>
      </c>
      <c r="C578" t="s">
        <v>70</v>
      </c>
      <c r="D578" t="s">
        <v>2169</v>
      </c>
      <c r="E578" s="13" t="s">
        <v>597</v>
      </c>
      <c r="G578" s="2">
        <v>96</v>
      </c>
      <c r="H578">
        <v>34</v>
      </c>
      <c r="I578">
        <v>57</v>
      </c>
      <c r="J578" t="s">
        <v>55</v>
      </c>
      <c r="K578">
        <v>0</v>
      </c>
      <c r="L578" t="s">
        <v>41</v>
      </c>
      <c r="M578" s="12">
        <v>8</v>
      </c>
      <c r="N578" s="3">
        <f>G578*M578</f>
        <v>768</v>
      </c>
      <c r="O578" s="1">
        <v>45619</v>
      </c>
      <c r="P578" s="1">
        <v>45585</v>
      </c>
      <c r="Q578" s="1">
        <v>45462</v>
      </c>
      <c r="R578">
        <v>460</v>
      </c>
      <c r="S578">
        <v>494</v>
      </c>
      <c r="T578">
        <v>617</v>
      </c>
      <c r="U578" t="str">
        <f t="shared" si="16"/>
        <v>Safe</v>
      </c>
      <c r="V578" t="s">
        <v>2170</v>
      </c>
      <c r="W578">
        <v>71</v>
      </c>
      <c r="X578" s="3">
        <f t="shared" si="17"/>
        <v>54528</v>
      </c>
      <c r="Y578">
        <v>17</v>
      </c>
      <c r="Z578" t="s">
        <v>30</v>
      </c>
      <c r="AA578" s="3">
        <f>X578-Grocery_Inventory_and_Sales_Dat!N578</f>
        <v>53760</v>
      </c>
    </row>
    <row r="579" spans="1:27" x14ac:dyDescent="0.3">
      <c r="A579" t="s">
        <v>2171</v>
      </c>
      <c r="B579" t="s">
        <v>469</v>
      </c>
      <c r="C579" t="s">
        <v>52</v>
      </c>
      <c r="D579" t="s">
        <v>2172</v>
      </c>
      <c r="E579" s="13" t="s">
        <v>237</v>
      </c>
      <c r="G579" s="2">
        <v>33</v>
      </c>
      <c r="H579">
        <v>4</v>
      </c>
      <c r="I579">
        <v>31</v>
      </c>
      <c r="J579" t="s">
        <v>55</v>
      </c>
      <c r="K579">
        <v>0</v>
      </c>
      <c r="L579" t="s">
        <v>41</v>
      </c>
      <c r="M579" s="12">
        <v>7</v>
      </c>
      <c r="N579" s="3">
        <f>G579*M579</f>
        <v>231</v>
      </c>
      <c r="O579" s="1">
        <v>45364</v>
      </c>
      <c r="P579" s="1">
        <v>45992</v>
      </c>
      <c r="Q579" s="1">
        <v>45457</v>
      </c>
      <c r="R579">
        <v>715</v>
      </c>
      <c r="S579">
        <v>87</v>
      </c>
      <c r="T579">
        <v>622</v>
      </c>
      <c r="U579" t="str">
        <f t="shared" ref="U579:U642" si="18">IF(T579&lt;0,"Expired",IF(T579&lt;=550,"Expiring Soon","Safe"))</f>
        <v>Safe</v>
      </c>
      <c r="V579" t="s">
        <v>2173</v>
      </c>
      <c r="W579">
        <v>46</v>
      </c>
      <c r="X579" s="3">
        <f t="shared" ref="X579:X642" si="19">W579*N579</f>
        <v>10626</v>
      </c>
      <c r="Y579">
        <v>92</v>
      </c>
      <c r="Z579" t="s">
        <v>49</v>
      </c>
      <c r="AA579" s="3">
        <f>X579-Grocery_Inventory_and_Sales_Dat!N579</f>
        <v>10395</v>
      </c>
    </row>
    <row r="580" spans="1:27" x14ac:dyDescent="0.3">
      <c r="A580" t="s">
        <v>2174</v>
      </c>
      <c r="B580" t="s">
        <v>600</v>
      </c>
      <c r="C580" t="s">
        <v>52</v>
      </c>
      <c r="D580" t="s">
        <v>2175</v>
      </c>
      <c r="E580" s="13" t="s">
        <v>1456</v>
      </c>
      <c r="G580" s="2">
        <v>33</v>
      </c>
      <c r="H580">
        <v>89</v>
      </c>
      <c r="I580">
        <v>15</v>
      </c>
      <c r="J580" t="s">
        <v>27</v>
      </c>
      <c r="K580">
        <v>89</v>
      </c>
      <c r="L580" t="s">
        <v>28</v>
      </c>
      <c r="M580" s="12">
        <v>2.5</v>
      </c>
      <c r="N580" s="3">
        <f>G580*M580</f>
        <v>82.5</v>
      </c>
      <c r="O580" s="1">
        <v>45531</v>
      </c>
      <c r="P580" s="1">
        <v>45463</v>
      </c>
      <c r="Q580" s="1">
        <v>45593</v>
      </c>
      <c r="R580">
        <v>548</v>
      </c>
      <c r="S580">
        <v>616</v>
      </c>
      <c r="T580">
        <v>486</v>
      </c>
      <c r="U580" t="str">
        <f t="shared" si="18"/>
        <v>Expiring Soon</v>
      </c>
      <c r="V580" t="s">
        <v>2176</v>
      </c>
      <c r="W580">
        <v>90</v>
      </c>
      <c r="X580" s="3">
        <f t="shared" si="19"/>
        <v>7425</v>
      </c>
      <c r="Y580">
        <v>52</v>
      </c>
      <c r="Z580" t="s">
        <v>30</v>
      </c>
      <c r="AA580" s="3">
        <f>X580-Grocery_Inventory_and_Sales_Dat!N580</f>
        <v>7342.5</v>
      </c>
    </row>
    <row r="581" spans="1:27" x14ac:dyDescent="0.3">
      <c r="A581" t="s">
        <v>2177</v>
      </c>
      <c r="B581" t="s">
        <v>786</v>
      </c>
      <c r="C581" t="s">
        <v>52</v>
      </c>
      <c r="D581" t="s">
        <v>2178</v>
      </c>
      <c r="E581" s="13" t="s">
        <v>2179</v>
      </c>
      <c r="G581" s="2">
        <v>90</v>
      </c>
      <c r="H581">
        <v>17</v>
      </c>
      <c r="I581">
        <v>17</v>
      </c>
      <c r="J581" t="s">
        <v>55</v>
      </c>
      <c r="K581">
        <v>0</v>
      </c>
      <c r="L581" t="s">
        <v>41</v>
      </c>
      <c r="M581" s="12">
        <v>3</v>
      </c>
      <c r="N581" s="3">
        <f>G581*M581</f>
        <v>270</v>
      </c>
      <c r="O581" s="1">
        <v>45382</v>
      </c>
      <c r="P581" s="1">
        <v>45360</v>
      </c>
      <c r="Q581" s="1">
        <v>45361</v>
      </c>
      <c r="R581">
        <v>697</v>
      </c>
      <c r="S581">
        <v>719</v>
      </c>
      <c r="T581">
        <v>718</v>
      </c>
      <c r="U581" t="str">
        <f t="shared" si="18"/>
        <v>Safe</v>
      </c>
      <c r="V581" t="s">
        <v>2180</v>
      </c>
      <c r="W581">
        <v>82</v>
      </c>
      <c r="X581" s="3">
        <f t="shared" si="19"/>
        <v>22140</v>
      </c>
      <c r="Y581">
        <v>84</v>
      </c>
      <c r="Z581" t="s">
        <v>43</v>
      </c>
      <c r="AA581" s="3">
        <f>X581-Grocery_Inventory_and_Sales_Dat!N581</f>
        <v>21870</v>
      </c>
    </row>
    <row r="582" spans="1:27" x14ac:dyDescent="0.3">
      <c r="A582" t="s">
        <v>2181</v>
      </c>
      <c r="B582" t="s">
        <v>1151</v>
      </c>
      <c r="C582" t="s">
        <v>24</v>
      </c>
      <c r="D582" t="s">
        <v>2182</v>
      </c>
      <c r="E582" s="13" t="s">
        <v>483</v>
      </c>
      <c r="G582" s="2">
        <v>31</v>
      </c>
      <c r="H582">
        <v>29</v>
      </c>
      <c r="I582">
        <v>57</v>
      </c>
      <c r="J582" t="s">
        <v>55</v>
      </c>
      <c r="K582">
        <v>0</v>
      </c>
      <c r="L582" t="s">
        <v>41</v>
      </c>
      <c r="M582" s="12">
        <v>2.5</v>
      </c>
      <c r="N582" s="3">
        <f>G582*M582</f>
        <v>77.5</v>
      </c>
      <c r="O582" s="1">
        <v>45591</v>
      </c>
      <c r="P582" s="1">
        <v>45461</v>
      </c>
      <c r="Q582" s="1">
        <v>45576</v>
      </c>
      <c r="R582">
        <v>488</v>
      </c>
      <c r="S582">
        <v>618</v>
      </c>
      <c r="T582">
        <v>503</v>
      </c>
      <c r="U582" t="str">
        <f t="shared" si="18"/>
        <v>Expiring Soon</v>
      </c>
      <c r="V582" t="s">
        <v>2183</v>
      </c>
      <c r="W582">
        <v>25</v>
      </c>
      <c r="X582" s="3">
        <f t="shared" si="19"/>
        <v>1937.5</v>
      </c>
      <c r="Y582">
        <v>22</v>
      </c>
      <c r="Z582" t="s">
        <v>49</v>
      </c>
      <c r="AA582" s="3">
        <f>X582-Grocery_Inventory_and_Sales_Dat!N582</f>
        <v>1860</v>
      </c>
    </row>
    <row r="583" spans="1:27" x14ac:dyDescent="0.3">
      <c r="A583" t="s">
        <v>2184</v>
      </c>
      <c r="B583" t="s">
        <v>757</v>
      </c>
      <c r="C583" t="s">
        <v>52</v>
      </c>
      <c r="D583" t="s">
        <v>2185</v>
      </c>
      <c r="E583" s="13" t="s">
        <v>2186</v>
      </c>
      <c r="G583" s="2">
        <v>92</v>
      </c>
      <c r="H583">
        <v>3</v>
      </c>
      <c r="I583">
        <v>81</v>
      </c>
      <c r="J583" t="s">
        <v>55</v>
      </c>
      <c r="K583">
        <v>0</v>
      </c>
      <c r="L583" t="s">
        <v>41</v>
      </c>
      <c r="M583" s="12">
        <v>5</v>
      </c>
      <c r="N583" s="3">
        <f>G583*M583</f>
        <v>460</v>
      </c>
      <c r="O583" s="1">
        <v>45416</v>
      </c>
      <c r="P583" s="1">
        <v>45347</v>
      </c>
      <c r="Q583" s="1">
        <v>45645</v>
      </c>
      <c r="R583">
        <v>663</v>
      </c>
      <c r="S583">
        <v>732</v>
      </c>
      <c r="T583">
        <v>434</v>
      </c>
      <c r="U583" t="str">
        <f t="shared" si="18"/>
        <v>Expiring Soon</v>
      </c>
      <c r="V583" t="s">
        <v>2187</v>
      </c>
      <c r="W583">
        <v>62</v>
      </c>
      <c r="X583" s="3">
        <f t="shared" si="19"/>
        <v>28520</v>
      </c>
      <c r="Y583">
        <v>20</v>
      </c>
      <c r="Z583" t="s">
        <v>43</v>
      </c>
      <c r="AA583" s="3">
        <f>X583-Grocery_Inventory_and_Sales_Dat!N583</f>
        <v>28060</v>
      </c>
    </row>
    <row r="584" spans="1:27" x14ac:dyDescent="0.3">
      <c r="A584" t="s">
        <v>2188</v>
      </c>
      <c r="B584" t="s">
        <v>600</v>
      </c>
      <c r="C584" t="s">
        <v>52</v>
      </c>
      <c r="D584" t="s">
        <v>2189</v>
      </c>
      <c r="E584" s="13" t="s">
        <v>1133</v>
      </c>
      <c r="G584" s="2">
        <v>66</v>
      </c>
      <c r="H584">
        <v>31</v>
      </c>
      <c r="I584">
        <v>18</v>
      </c>
      <c r="J584" t="s">
        <v>55</v>
      </c>
      <c r="K584">
        <v>0</v>
      </c>
      <c r="L584" t="s">
        <v>41</v>
      </c>
      <c r="M584" s="12">
        <v>2.5</v>
      </c>
      <c r="N584" s="3">
        <f>G584*M584</f>
        <v>165</v>
      </c>
      <c r="O584" s="1">
        <v>45447</v>
      </c>
      <c r="P584" s="1">
        <v>45654</v>
      </c>
      <c r="Q584" s="1">
        <v>45390</v>
      </c>
      <c r="R584">
        <v>632</v>
      </c>
      <c r="S584">
        <v>425</v>
      </c>
      <c r="T584">
        <v>689</v>
      </c>
      <c r="U584" t="str">
        <f t="shared" si="18"/>
        <v>Safe</v>
      </c>
      <c r="V584" t="s">
        <v>2190</v>
      </c>
      <c r="W584">
        <v>85</v>
      </c>
      <c r="X584" s="3">
        <f t="shared" si="19"/>
        <v>14025</v>
      </c>
      <c r="Y584">
        <v>39</v>
      </c>
      <c r="Z584" t="s">
        <v>43</v>
      </c>
      <c r="AA584" s="3">
        <f>X584-Grocery_Inventory_and_Sales_Dat!N584</f>
        <v>13860</v>
      </c>
    </row>
    <row r="585" spans="1:27" x14ac:dyDescent="0.3">
      <c r="A585" t="s">
        <v>2191</v>
      </c>
      <c r="B585" t="s">
        <v>806</v>
      </c>
      <c r="C585" t="s">
        <v>138</v>
      </c>
      <c r="D585" t="s">
        <v>2192</v>
      </c>
      <c r="E585" s="13" t="s">
        <v>1289</v>
      </c>
      <c r="G585" s="2">
        <v>83</v>
      </c>
      <c r="H585">
        <v>17</v>
      </c>
      <c r="I585">
        <v>39</v>
      </c>
      <c r="J585" t="s">
        <v>55</v>
      </c>
      <c r="K585">
        <v>0</v>
      </c>
      <c r="L585" t="s">
        <v>41</v>
      </c>
      <c r="M585" s="12">
        <v>10</v>
      </c>
      <c r="N585" s="3">
        <f>G585*M585</f>
        <v>830</v>
      </c>
      <c r="O585" s="1">
        <v>45357</v>
      </c>
      <c r="P585" s="1">
        <v>45603</v>
      </c>
      <c r="Q585" s="1">
        <v>45382</v>
      </c>
      <c r="R585">
        <v>722</v>
      </c>
      <c r="S585">
        <v>476</v>
      </c>
      <c r="T585">
        <v>697</v>
      </c>
      <c r="U585" t="str">
        <f t="shared" si="18"/>
        <v>Safe</v>
      </c>
      <c r="V585" t="s">
        <v>2193</v>
      </c>
      <c r="W585">
        <v>33</v>
      </c>
      <c r="X585" s="3">
        <f t="shared" si="19"/>
        <v>27390</v>
      </c>
      <c r="Y585">
        <v>20</v>
      </c>
      <c r="Z585" t="s">
        <v>49</v>
      </c>
      <c r="AA585" s="3">
        <f>X585-Grocery_Inventory_and_Sales_Dat!N585</f>
        <v>26560</v>
      </c>
    </row>
    <row r="586" spans="1:27" x14ac:dyDescent="0.3">
      <c r="A586" t="s">
        <v>2194</v>
      </c>
      <c r="B586" t="s">
        <v>230</v>
      </c>
      <c r="C586" t="s">
        <v>52</v>
      </c>
      <c r="D586" t="s">
        <v>2195</v>
      </c>
      <c r="E586" s="13" t="s">
        <v>1946</v>
      </c>
      <c r="G586" s="2">
        <v>84</v>
      </c>
      <c r="H586">
        <v>9</v>
      </c>
      <c r="I586">
        <v>46</v>
      </c>
      <c r="J586" t="s">
        <v>55</v>
      </c>
      <c r="K586">
        <v>0</v>
      </c>
      <c r="L586" t="s">
        <v>41</v>
      </c>
      <c r="M586" s="12">
        <v>5</v>
      </c>
      <c r="N586" s="3">
        <f>G586*M586</f>
        <v>420</v>
      </c>
      <c r="O586" s="1">
        <v>45510</v>
      </c>
      <c r="P586" s="1">
        <v>45431</v>
      </c>
      <c r="Q586" s="1">
        <v>45636</v>
      </c>
      <c r="R586">
        <v>569</v>
      </c>
      <c r="S586">
        <v>648</v>
      </c>
      <c r="T586">
        <v>443</v>
      </c>
      <c r="U586" t="str">
        <f t="shared" si="18"/>
        <v>Expiring Soon</v>
      </c>
      <c r="V586" t="s">
        <v>2196</v>
      </c>
      <c r="W586">
        <v>30</v>
      </c>
      <c r="X586" s="3">
        <f t="shared" si="19"/>
        <v>12600</v>
      </c>
      <c r="Y586">
        <v>68</v>
      </c>
      <c r="Z586" t="s">
        <v>43</v>
      </c>
      <c r="AA586" s="3">
        <f>X586-Grocery_Inventory_and_Sales_Dat!N586</f>
        <v>12180</v>
      </c>
    </row>
    <row r="587" spans="1:27" x14ac:dyDescent="0.3">
      <c r="A587" t="s">
        <v>2197</v>
      </c>
      <c r="B587" t="s">
        <v>202</v>
      </c>
      <c r="C587" t="s">
        <v>138</v>
      </c>
      <c r="D587" t="s">
        <v>2198</v>
      </c>
      <c r="E587" s="13" t="s">
        <v>2186</v>
      </c>
      <c r="G587" s="2">
        <v>76</v>
      </c>
      <c r="H587">
        <v>57</v>
      </c>
      <c r="I587">
        <v>78</v>
      </c>
      <c r="J587" t="s">
        <v>55</v>
      </c>
      <c r="K587">
        <v>0</v>
      </c>
      <c r="L587" t="s">
        <v>41</v>
      </c>
      <c r="M587" s="12">
        <v>9</v>
      </c>
      <c r="N587" s="3">
        <f>G587*M587</f>
        <v>684</v>
      </c>
      <c r="O587" s="1">
        <v>45461</v>
      </c>
      <c r="P587" s="1">
        <v>45470</v>
      </c>
      <c r="Q587" s="1">
        <v>45410</v>
      </c>
      <c r="R587">
        <v>618</v>
      </c>
      <c r="S587">
        <v>609</v>
      </c>
      <c r="T587">
        <v>669</v>
      </c>
      <c r="U587" t="str">
        <f t="shared" si="18"/>
        <v>Safe</v>
      </c>
      <c r="V587" t="s">
        <v>2199</v>
      </c>
      <c r="W587">
        <v>52</v>
      </c>
      <c r="X587" s="3">
        <f t="shared" si="19"/>
        <v>35568</v>
      </c>
      <c r="Y587">
        <v>86</v>
      </c>
      <c r="Z587" t="s">
        <v>30</v>
      </c>
      <c r="AA587" s="3">
        <f>X587-Grocery_Inventory_and_Sales_Dat!N587</f>
        <v>34884</v>
      </c>
    </row>
    <row r="588" spans="1:27" x14ac:dyDescent="0.3">
      <c r="A588" t="s">
        <v>2200</v>
      </c>
      <c r="B588" t="s">
        <v>551</v>
      </c>
      <c r="C588" t="s">
        <v>52</v>
      </c>
      <c r="D588" t="s">
        <v>2201</v>
      </c>
      <c r="E588" s="13" t="s">
        <v>771</v>
      </c>
      <c r="G588" s="2">
        <v>26</v>
      </c>
      <c r="H588">
        <v>1</v>
      </c>
      <c r="I588">
        <v>9</v>
      </c>
      <c r="J588" t="s">
        <v>55</v>
      </c>
      <c r="K588">
        <v>0</v>
      </c>
      <c r="L588" t="s">
        <v>41</v>
      </c>
      <c r="M588" s="12">
        <v>6</v>
      </c>
      <c r="N588" s="3">
        <f>G588*M588</f>
        <v>156</v>
      </c>
      <c r="O588" s="1">
        <v>45932</v>
      </c>
      <c r="P588" s="1">
        <v>45416</v>
      </c>
      <c r="Q588" s="1">
        <v>45628</v>
      </c>
      <c r="R588">
        <v>147</v>
      </c>
      <c r="S588">
        <v>663</v>
      </c>
      <c r="T588">
        <v>451</v>
      </c>
      <c r="U588" t="str">
        <f t="shared" si="18"/>
        <v>Expiring Soon</v>
      </c>
      <c r="V588" t="s">
        <v>2202</v>
      </c>
      <c r="W588">
        <v>82</v>
      </c>
      <c r="X588" s="3">
        <f t="shared" si="19"/>
        <v>12792</v>
      </c>
      <c r="Y588">
        <v>8</v>
      </c>
      <c r="Z588" t="s">
        <v>43</v>
      </c>
      <c r="AA588" s="3">
        <f>X588-Grocery_Inventory_and_Sales_Dat!N588</f>
        <v>12636</v>
      </c>
    </row>
    <row r="589" spans="1:27" x14ac:dyDescent="0.3">
      <c r="A589" t="s">
        <v>2203</v>
      </c>
      <c r="B589" t="s">
        <v>292</v>
      </c>
      <c r="C589" t="s">
        <v>33</v>
      </c>
      <c r="D589" t="s">
        <v>2204</v>
      </c>
      <c r="E589" s="13" t="s">
        <v>2205</v>
      </c>
      <c r="G589" s="2">
        <v>61</v>
      </c>
      <c r="H589">
        <v>31</v>
      </c>
      <c r="I589">
        <v>100</v>
      </c>
      <c r="J589" t="s">
        <v>55</v>
      </c>
      <c r="K589">
        <v>0</v>
      </c>
      <c r="L589" t="s">
        <v>41</v>
      </c>
      <c r="M589" s="12">
        <v>12.5</v>
      </c>
      <c r="N589" s="3">
        <f>G589*M589</f>
        <v>762.5</v>
      </c>
      <c r="O589" s="1">
        <v>45656</v>
      </c>
      <c r="P589" s="1">
        <v>45367</v>
      </c>
      <c r="Q589" s="1">
        <v>45561</v>
      </c>
      <c r="R589">
        <v>423</v>
      </c>
      <c r="S589">
        <v>712</v>
      </c>
      <c r="T589">
        <v>518</v>
      </c>
      <c r="U589" t="str">
        <f t="shared" si="18"/>
        <v>Expiring Soon</v>
      </c>
      <c r="V589" t="s">
        <v>2206</v>
      </c>
      <c r="W589">
        <v>95</v>
      </c>
      <c r="X589" s="3">
        <f t="shared" si="19"/>
        <v>72437.5</v>
      </c>
      <c r="Y589">
        <v>61</v>
      </c>
      <c r="Z589" t="s">
        <v>49</v>
      </c>
      <c r="AA589" s="3">
        <f>X589-Grocery_Inventory_and_Sales_Dat!N589</f>
        <v>71675</v>
      </c>
    </row>
    <row r="590" spans="1:27" x14ac:dyDescent="0.3">
      <c r="A590" t="s">
        <v>2207</v>
      </c>
      <c r="B590" t="s">
        <v>1198</v>
      </c>
      <c r="C590" t="s">
        <v>70</v>
      </c>
      <c r="D590" t="s">
        <v>2208</v>
      </c>
      <c r="E590" s="13" t="s">
        <v>566</v>
      </c>
      <c r="G590" s="2">
        <v>15</v>
      </c>
      <c r="H590">
        <v>75</v>
      </c>
      <c r="I590">
        <v>78</v>
      </c>
      <c r="J590" t="s">
        <v>27</v>
      </c>
      <c r="K590">
        <v>75</v>
      </c>
      <c r="L590" t="s">
        <v>28</v>
      </c>
      <c r="M590" s="12">
        <v>1.9</v>
      </c>
      <c r="N590" s="3">
        <f>G590*M590</f>
        <v>28.5</v>
      </c>
      <c r="O590" s="1">
        <v>45659</v>
      </c>
      <c r="P590" s="1">
        <v>45993</v>
      </c>
      <c r="Q590" s="1">
        <v>45702</v>
      </c>
      <c r="R590">
        <v>420</v>
      </c>
      <c r="S590">
        <v>86</v>
      </c>
      <c r="T590">
        <v>377</v>
      </c>
      <c r="U590" t="str">
        <f t="shared" si="18"/>
        <v>Expiring Soon</v>
      </c>
      <c r="V590" t="s">
        <v>2209</v>
      </c>
      <c r="W590">
        <v>71</v>
      </c>
      <c r="X590" s="3">
        <f t="shared" si="19"/>
        <v>2023.5</v>
      </c>
      <c r="Y590">
        <v>21</v>
      </c>
      <c r="Z590" t="s">
        <v>30</v>
      </c>
      <c r="AA590" s="3">
        <f>X590-Grocery_Inventory_and_Sales_Dat!N590</f>
        <v>1995</v>
      </c>
    </row>
    <row r="591" spans="1:27" x14ac:dyDescent="0.3">
      <c r="A591" t="s">
        <v>2210</v>
      </c>
      <c r="B591" t="s">
        <v>1190</v>
      </c>
      <c r="C591" t="s">
        <v>52</v>
      </c>
      <c r="D591" t="s">
        <v>2211</v>
      </c>
      <c r="E591" s="13" t="s">
        <v>2212</v>
      </c>
      <c r="G591" s="2">
        <v>73</v>
      </c>
      <c r="H591">
        <v>83</v>
      </c>
      <c r="I591">
        <v>74</v>
      </c>
      <c r="J591" t="s">
        <v>27</v>
      </c>
      <c r="K591">
        <v>83</v>
      </c>
      <c r="L591" t="s">
        <v>28</v>
      </c>
      <c r="M591" s="12">
        <v>5</v>
      </c>
      <c r="N591" s="3">
        <f>G591*M591</f>
        <v>365</v>
      </c>
      <c r="O591" s="1">
        <v>45380</v>
      </c>
      <c r="P591" s="1">
        <v>45779</v>
      </c>
      <c r="Q591" s="1">
        <v>45495</v>
      </c>
      <c r="R591">
        <v>699</v>
      </c>
      <c r="S591">
        <v>300</v>
      </c>
      <c r="T591">
        <v>584</v>
      </c>
      <c r="U591" t="str">
        <f t="shared" si="18"/>
        <v>Safe</v>
      </c>
      <c r="V591" t="s">
        <v>2213</v>
      </c>
      <c r="W591">
        <v>87</v>
      </c>
      <c r="X591" s="3">
        <f t="shared" si="19"/>
        <v>31755</v>
      </c>
      <c r="Y591">
        <v>10</v>
      </c>
      <c r="Z591" t="s">
        <v>30</v>
      </c>
      <c r="AA591" s="3">
        <f>X591-Grocery_Inventory_and_Sales_Dat!N591</f>
        <v>31390</v>
      </c>
    </row>
    <row r="592" spans="1:27" x14ac:dyDescent="0.3">
      <c r="A592" t="s">
        <v>2214</v>
      </c>
      <c r="B592" t="s">
        <v>777</v>
      </c>
      <c r="C592" t="s">
        <v>24</v>
      </c>
      <c r="D592" t="s">
        <v>2215</v>
      </c>
      <c r="E592" s="13" t="s">
        <v>199</v>
      </c>
      <c r="G592" s="2">
        <v>41</v>
      </c>
      <c r="H592">
        <v>76</v>
      </c>
      <c r="I592">
        <v>47</v>
      </c>
      <c r="J592" t="s">
        <v>27</v>
      </c>
      <c r="K592">
        <v>76</v>
      </c>
      <c r="L592" t="s">
        <v>28</v>
      </c>
      <c r="M592" s="12">
        <v>2.65</v>
      </c>
      <c r="N592" s="3">
        <f>G592*M592</f>
        <v>108.64999999999999</v>
      </c>
      <c r="O592" s="1">
        <v>45550</v>
      </c>
      <c r="P592" s="1">
        <v>45402</v>
      </c>
      <c r="Q592" s="1">
        <v>45449</v>
      </c>
      <c r="R592">
        <v>529</v>
      </c>
      <c r="S592">
        <v>677</v>
      </c>
      <c r="T592">
        <v>630</v>
      </c>
      <c r="U592" t="str">
        <f t="shared" si="18"/>
        <v>Safe</v>
      </c>
      <c r="V592" t="s">
        <v>2216</v>
      </c>
      <c r="W592">
        <v>50</v>
      </c>
      <c r="X592" s="3">
        <f t="shared" si="19"/>
        <v>5432.5</v>
      </c>
      <c r="Y592">
        <v>50</v>
      </c>
      <c r="Z592" t="s">
        <v>43</v>
      </c>
      <c r="AA592" s="3">
        <f>X592-Grocery_Inventory_and_Sales_Dat!N592</f>
        <v>5323.85</v>
      </c>
    </row>
    <row r="593" spans="1:27" x14ac:dyDescent="0.3">
      <c r="A593" t="s">
        <v>2217</v>
      </c>
      <c r="B593" t="s">
        <v>609</v>
      </c>
      <c r="C593" t="s">
        <v>64</v>
      </c>
      <c r="D593" t="s">
        <v>2218</v>
      </c>
      <c r="E593" s="13" t="s">
        <v>60</v>
      </c>
      <c r="G593" s="2">
        <v>14</v>
      </c>
      <c r="H593">
        <v>75</v>
      </c>
      <c r="I593">
        <v>10</v>
      </c>
      <c r="J593" t="s">
        <v>27</v>
      </c>
      <c r="K593">
        <v>75</v>
      </c>
      <c r="L593" t="s">
        <v>28</v>
      </c>
      <c r="M593" s="12">
        <v>10</v>
      </c>
      <c r="N593" s="3">
        <f>G593*M593</f>
        <v>140</v>
      </c>
      <c r="O593" s="1">
        <v>45392</v>
      </c>
      <c r="P593" s="1">
        <v>45682</v>
      </c>
      <c r="Q593" s="1">
        <v>45474</v>
      </c>
      <c r="R593">
        <v>687</v>
      </c>
      <c r="S593">
        <v>397</v>
      </c>
      <c r="T593">
        <v>605</v>
      </c>
      <c r="U593" t="str">
        <f t="shared" si="18"/>
        <v>Safe</v>
      </c>
      <c r="V593" t="s">
        <v>2219</v>
      </c>
      <c r="W593">
        <v>65</v>
      </c>
      <c r="X593" s="3">
        <f t="shared" si="19"/>
        <v>9100</v>
      </c>
      <c r="Y593">
        <v>62</v>
      </c>
      <c r="Z593" t="s">
        <v>49</v>
      </c>
      <c r="AA593" s="3">
        <f>X593-Grocery_Inventory_and_Sales_Dat!N593</f>
        <v>8960</v>
      </c>
    </row>
    <row r="594" spans="1:27" x14ac:dyDescent="0.3">
      <c r="A594" t="s">
        <v>2220</v>
      </c>
      <c r="B594" t="s">
        <v>230</v>
      </c>
      <c r="C594" t="s">
        <v>52</v>
      </c>
      <c r="D594" t="s">
        <v>2221</v>
      </c>
      <c r="E594" s="13" t="s">
        <v>771</v>
      </c>
      <c r="G594" s="2">
        <v>99</v>
      </c>
      <c r="H594">
        <v>59</v>
      </c>
      <c r="I594">
        <v>12</v>
      </c>
      <c r="J594" t="s">
        <v>55</v>
      </c>
      <c r="K594">
        <v>0</v>
      </c>
      <c r="L594" t="s">
        <v>41</v>
      </c>
      <c r="M594" s="12">
        <v>5</v>
      </c>
      <c r="N594" s="3">
        <f>G594*M594</f>
        <v>495</v>
      </c>
      <c r="O594" s="1">
        <v>45467</v>
      </c>
      <c r="P594" s="1">
        <v>45555</v>
      </c>
      <c r="Q594" s="1">
        <v>45700</v>
      </c>
      <c r="R594">
        <v>612</v>
      </c>
      <c r="S594">
        <v>524</v>
      </c>
      <c r="T594">
        <v>379</v>
      </c>
      <c r="U594" t="str">
        <f t="shared" si="18"/>
        <v>Expiring Soon</v>
      </c>
      <c r="V594" t="s">
        <v>2222</v>
      </c>
      <c r="W594">
        <v>52</v>
      </c>
      <c r="X594" s="3">
        <f t="shared" si="19"/>
        <v>25740</v>
      </c>
      <c r="Y594">
        <v>57</v>
      </c>
      <c r="Z594" t="s">
        <v>43</v>
      </c>
      <c r="AA594" s="3">
        <f>X594-Grocery_Inventory_and_Sales_Dat!N594</f>
        <v>25245</v>
      </c>
    </row>
    <row r="595" spans="1:27" x14ac:dyDescent="0.3">
      <c r="A595" t="s">
        <v>2223</v>
      </c>
      <c r="B595" t="s">
        <v>757</v>
      </c>
      <c r="C595" t="s">
        <v>52</v>
      </c>
      <c r="D595" t="s">
        <v>2224</v>
      </c>
      <c r="E595" s="13" t="s">
        <v>2225</v>
      </c>
      <c r="G595" s="2">
        <v>80</v>
      </c>
      <c r="H595">
        <v>6</v>
      </c>
      <c r="I595">
        <v>92</v>
      </c>
      <c r="J595" t="s">
        <v>55</v>
      </c>
      <c r="K595">
        <v>0</v>
      </c>
      <c r="L595" t="s">
        <v>41</v>
      </c>
      <c r="M595" s="12">
        <v>5</v>
      </c>
      <c r="N595" s="3">
        <f>G595*M595</f>
        <v>400</v>
      </c>
      <c r="O595" s="1">
        <v>45671</v>
      </c>
      <c r="P595" s="1">
        <v>45677</v>
      </c>
      <c r="Q595" s="1">
        <v>45551</v>
      </c>
      <c r="R595">
        <v>408</v>
      </c>
      <c r="S595">
        <v>402</v>
      </c>
      <c r="T595">
        <v>528</v>
      </c>
      <c r="U595" t="str">
        <f t="shared" si="18"/>
        <v>Expiring Soon</v>
      </c>
      <c r="V595" t="s">
        <v>2226</v>
      </c>
      <c r="W595">
        <v>26</v>
      </c>
      <c r="X595" s="3">
        <f t="shared" si="19"/>
        <v>10400</v>
      </c>
      <c r="Y595">
        <v>71</v>
      </c>
      <c r="Z595" t="s">
        <v>30</v>
      </c>
      <c r="AA595" s="3">
        <f>X595-Grocery_Inventory_and_Sales_Dat!N595</f>
        <v>10000</v>
      </c>
    </row>
    <row r="596" spans="1:27" x14ac:dyDescent="0.3">
      <c r="A596" t="s">
        <v>2227</v>
      </c>
      <c r="B596" t="s">
        <v>360</v>
      </c>
      <c r="C596" t="s">
        <v>52</v>
      </c>
      <c r="D596" t="s">
        <v>2228</v>
      </c>
      <c r="E596" s="13" t="s">
        <v>1180</v>
      </c>
      <c r="G596" s="2">
        <v>49</v>
      </c>
      <c r="H596">
        <v>89</v>
      </c>
      <c r="I596">
        <v>65</v>
      </c>
      <c r="J596" t="s">
        <v>27</v>
      </c>
      <c r="K596">
        <v>89</v>
      </c>
      <c r="L596" t="s">
        <v>28</v>
      </c>
      <c r="M596" s="12">
        <v>3</v>
      </c>
      <c r="N596" s="3">
        <f>G596*M596</f>
        <v>147</v>
      </c>
      <c r="O596" s="1">
        <v>45436</v>
      </c>
      <c r="P596" s="1">
        <v>45604</v>
      </c>
      <c r="Q596" s="1">
        <v>45429</v>
      </c>
      <c r="R596">
        <v>643</v>
      </c>
      <c r="S596">
        <v>475</v>
      </c>
      <c r="T596">
        <v>650</v>
      </c>
      <c r="U596" t="str">
        <f t="shared" si="18"/>
        <v>Safe</v>
      </c>
      <c r="V596" t="s">
        <v>2229</v>
      </c>
      <c r="W596">
        <v>37</v>
      </c>
      <c r="X596" s="3">
        <f t="shared" si="19"/>
        <v>5439</v>
      </c>
      <c r="Y596">
        <v>48</v>
      </c>
      <c r="Z596" t="s">
        <v>49</v>
      </c>
      <c r="AA596" s="3">
        <f>X596-Grocery_Inventory_and_Sales_Dat!N596</f>
        <v>5292</v>
      </c>
    </row>
    <row r="597" spans="1:27" x14ac:dyDescent="0.3">
      <c r="A597" t="s">
        <v>2230</v>
      </c>
      <c r="B597" t="s">
        <v>1131</v>
      </c>
      <c r="C597" t="s">
        <v>52</v>
      </c>
      <c r="D597" t="s">
        <v>2231</v>
      </c>
      <c r="E597" s="13" t="s">
        <v>581</v>
      </c>
      <c r="G597" s="2">
        <v>25</v>
      </c>
      <c r="H597">
        <v>74</v>
      </c>
      <c r="I597">
        <v>100</v>
      </c>
      <c r="J597" t="s">
        <v>27</v>
      </c>
      <c r="K597">
        <v>74</v>
      </c>
      <c r="L597" t="s">
        <v>28</v>
      </c>
      <c r="M597" s="12">
        <v>5.5</v>
      </c>
      <c r="N597" s="3">
        <f>G597*M597</f>
        <v>137.5</v>
      </c>
      <c r="O597" s="1">
        <v>45479</v>
      </c>
      <c r="P597" s="1">
        <v>45485</v>
      </c>
      <c r="Q597" s="1">
        <v>45630</v>
      </c>
      <c r="R597">
        <v>600</v>
      </c>
      <c r="S597">
        <v>594</v>
      </c>
      <c r="T597">
        <v>449</v>
      </c>
      <c r="U597" t="str">
        <f t="shared" si="18"/>
        <v>Expiring Soon</v>
      </c>
      <c r="V597" t="s">
        <v>2232</v>
      </c>
      <c r="W597">
        <v>41</v>
      </c>
      <c r="X597" s="3">
        <f t="shared" si="19"/>
        <v>5637.5</v>
      </c>
      <c r="Y597">
        <v>59</v>
      </c>
      <c r="Z597" t="s">
        <v>30</v>
      </c>
      <c r="AA597" s="3">
        <f>X597-Grocery_Inventory_and_Sales_Dat!N597</f>
        <v>5500</v>
      </c>
    </row>
    <row r="598" spans="1:27" x14ac:dyDescent="0.3">
      <c r="A598" t="s">
        <v>2233</v>
      </c>
      <c r="B598" t="s">
        <v>743</v>
      </c>
      <c r="C598" t="s">
        <v>64</v>
      </c>
      <c r="D598" t="s">
        <v>2234</v>
      </c>
      <c r="E598" s="13" t="s">
        <v>458</v>
      </c>
      <c r="G598" s="2">
        <v>39</v>
      </c>
      <c r="H598">
        <v>78</v>
      </c>
      <c r="I598">
        <v>97</v>
      </c>
      <c r="J598" t="s">
        <v>27</v>
      </c>
      <c r="K598">
        <v>78</v>
      </c>
      <c r="L598" t="s">
        <v>28</v>
      </c>
      <c r="M598" s="12">
        <v>6.5</v>
      </c>
      <c r="N598" s="3">
        <f>G598*M598</f>
        <v>253.5</v>
      </c>
      <c r="O598" s="1">
        <v>45594</v>
      </c>
      <c r="P598" s="1">
        <v>45584</v>
      </c>
      <c r="Q598" s="1">
        <v>45490</v>
      </c>
      <c r="R598">
        <v>485</v>
      </c>
      <c r="S598">
        <v>495</v>
      </c>
      <c r="T598">
        <v>589</v>
      </c>
      <c r="U598" t="str">
        <f t="shared" si="18"/>
        <v>Safe</v>
      </c>
      <c r="V598" t="s">
        <v>2235</v>
      </c>
      <c r="W598">
        <v>54</v>
      </c>
      <c r="X598" s="3">
        <f t="shared" si="19"/>
        <v>13689</v>
      </c>
      <c r="Y598">
        <v>89</v>
      </c>
      <c r="Z598" t="s">
        <v>43</v>
      </c>
      <c r="AA598" s="3">
        <f>X598-Grocery_Inventory_and_Sales_Dat!N598</f>
        <v>13435.5</v>
      </c>
    </row>
    <row r="599" spans="1:27" x14ac:dyDescent="0.3">
      <c r="A599" t="s">
        <v>2236</v>
      </c>
      <c r="B599" t="s">
        <v>280</v>
      </c>
      <c r="C599" t="s">
        <v>52</v>
      </c>
      <c r="D599" t="s">
        <v>2237</v>
      </c>
      <c r="E599" s="13" t="s">
        <v>2238</v>
      </c>
      <c r="G599" s="2">
        <v>94</v>
      </c>
      <c r="H599">
        <v>58</v>
      </c>
      <c r="I599">
        <v>17</v>
      </c>
      <c r="J599" t="s">
        <v>55</v>
      </c>
      <c r="K599">
        <v>0</v>
      </c>
      <c r="L599" t="s">
        <v>41</v>
      </c>
      <c r="M599" s="12">
        <v>2.9</v>
      </c>
      <c r="N599" s="3">
        <f>G599*M599</f>
        <v>272.59999999999997</v>
      </c>
      <c r="O599" s="1">
        <v>45299</v>
      </c>
      <c r="P599" s="1">
        <v>45419</v>
      </c>
      <c r="Q599" s="1">
        <v>45645</v>
      </c>
      <c r="R599">
        <v>780</v>
      </c>
      <c r="S599">
        <v>660</v>
      </c>
      <c r="T599">
        <v>434</v>
      </c>
      <c r="U599" t="str">
        <f t="shared" si="18"/>
        <v>Expiring Soon</v>
      </c>
      <c r="V599" t="s">
        <v>2239</v>
      </c>
      <c r="W599">
        <v>57</v>
      </c>
      <c r="X599" s="3">
        <f t="shared" si="19"/>
        <v>15538.199999999999</v>
      </c>
      <c r="Y599">
        <v>74</v>
      </c>
      <c r="Z599" t="s">
        <v>43</v>
      </c>
      <c r="AA599" s="3">
        <f>X599-Grocery_Inventory_and_Sales_Dat!N599</f>
        <v>15265.599999999999</v>
      </c>
    </row>
    <row r="600" spans="1:27" x14ac:dyDescent="0.3">
      <c r="A600" t="s">
        <v>2240</v>
      </c>
      <c r="B600" t="s">
        <v>308</v>
      </c>
      <c r="C600" t="s">
        <v>138</v>
      </c>
      <c r="D600" t="s">
        <v>2241</v>
      </c>
      <c r="E600" s="13" t="s">
        <v>40</v>
      </c>
      <c r="G600" s="2">
        <v>11</v>
      </c>
      <c r="H600">
        <v>17</v>
      </c>
      <c r="I600">
        <v>59</v>
      </c>
      <c r="J600" t="s">
        <v>27</v>
      </c>
      <c r="K600">
        <v>17</v>
      </c>
      <c r="L600" t="s">
        <v>41</v>
      </c>
      <c r="M600" s="12">
        <v>6</v>
      </c>
      <c r="N600" s="3">
        <f>G600*M600</f>
        <v>66</v>
      </c>
      <c r="O600" s="1">
        <v>45493</v>
      </c>
      <c r="P600" s="1">
        <v>45378</v>
      </c>
      <c r="Q600" s="1">
        <v>45390</v>
      </c>
      <c r="R600">
        <v>586</v>
      </c>
      <c r="S600">
        <v>701</v>
      </c>
      <c r="T600">
        <v>689</v>
      </c>
      <c r="U600" t="str">
        <f t="shared" si="18"/>
        <v>Safe</v>
      </c>
      <c r="V600" t="s">
        <v>2242</v>
      </c>
      <c r="W600">
        <v>69</v>
      </c>
      <c r="X600" s="3">
        <f t="shared" si="19"/>
        <v>4554</v>
      </c>
      <c r="Y600">
        <v>100</v>
      </c>
      <c r="Z600" t="s">
        <v>43</v>
      </c>
      <c r="AA600" s="3">
        <f>X600-Grocery_Inventory_and_Sales_Dat!N600</f>
        <v>4488</v>
      </c>
    </row>
    <row r="601" spans="1:27" x14ac:dyDescent="0.3">
      <c r="A601" t="s">
        <v>2243</v>
      </c>
      <c r="B601" t="s">
        <v>441</v>
      </c>
      <c r="C601" t="s">
        <v>64</v>
      </c>
      <c r="D601" t="s">
        <v>2244</v>
      </c>
      <c r="E601" s="13" t="s">
        <v>305</v>
      </c>
      <c r="G601" s="2">
        <v>21</v>
      </c>
      <c r="H601">
        <v>52</v>
      </c>
      <c r="I601">
        <v>80</v>
      </c>
      <c r="J601" t="s">
        <v>27</v>
      </c>
      <c r="K601">
        <v>52</v>
      </c>
      <c r="L601" t="s">
        <v>41</v>
      </c>
      <c r="M601" s="12">
        <v>4</v>
      </c>
      <c r="N601" s="3">
        <f>G601*M601</f>
        <v>84</v>
      </c>
      <c r="O601" s="1">
        <v>45357</v>
      </c>
      <c r="P601" s="1">
        <v>45393</v>
      </c>
      <c r="Q601" s="1">
        <v>45658</v>
      </c>
      <c r="R601">
        <v>722</v>
      </c>
      <c r="S601">
        <v>686</v>
      </c>
      <c r="T601">
        <v>421</v>
      </c>
      <c r="U601" t="str">
        <f t="shared" si="18"/>
        <v>Expiring Soon</v>
      </c>
      <c r="V601" t="s">
        <v>2245</v>
      </c>
      <c r="W601">
        <v>49</v>
      </c>
      <c r="X601" s="3">
        <f t="shared" si="19"/>
        <v>4116</v>
      </c>
      <c r="Y601">
        <v>37</v>
      </c>
      <c r="Z601" t="s">
        <v>43</v>
      </c>
      <c r="AA601" s="3">
        <f>X601-Grocery_Inventory_and_Sales_Dat!N601</f>
        <v>4032</v>
      </c>
    </row>
    <row r="602" spans="1:27" x14ac:dyDescent="0.3">
      <c r="A602" t="s">
        <v>2246</v>
      </c>
      <c r="B602" t="s">
        <v>262</v>
      </c>
      <c r="C602" t="s">
        <v>52</v>
      </c>
      <c r="D602" t="s">
        <v>2247</v>
      </c>
      <c r="E602" s="13" t="s">
        <v>2083</v>
      </c>
      <c r="G602" s="2">
        <v>38</v>
      </c>
      <c r="H602">
        <v>91</v>
      </c>
      <c r="I602">
        <v>94</v>
      </c>
      <c r="J602" t="s">
        <v>27</v>
      </c>
      <c r="K602">
        <v>91</v>
      </c>
      <c r="L602" t="s">
        <v>28</v>
      </c>
      <c r="M602" s="12">
        <v>5.7</v>
      </c>
      <c r="N602" s="3">
        <f>G602*M602</f>
        <v>216.6</v>
      </c>
      <c r="O602" s="1">
        <v>45633</v>
      </c>
      <c r="P602" s="1">
        <v>45705</v>
      </c>
      <c r="Q602" s="1">
        <v>45617</v>
      </c>
      <c r="R602">
        <v>446</v>
      </c>
      <c r="S602">
        <v>374</v>
      </c>
      <c r="T602">
        <v>462</v>
      </c>
      <c r="U602" t="str">
        <f t="shared" si="18"/>
        <v>Expiring Soon</v>
      </c>
      <c r="V602" t="s">
        <v>2248</v>
      </c>
      <c r="W602">
        <v>53</v>
      </c>
      <c r="X602" s="3">
        <f t="shared" si="19"/>
        <v>11479.8</v>
      </c>
      <c r="Y602">
        <v>87</v>
      </c>
      <c r="Z602" t="s">
        <v>30</v>
      </c>
      <c r="AA602" s="3">
        <f>X602-Grocery_Inventory_and_Sales_Dat!N602</f>
        <v>11263.199999999999</v>
      </c>
    </row>
    <row r="603" spans="1:27" x14ac:dyDescent="0.3">
      <c r="A603" t="s">
        <v>2249</v>
      </c>
      <c r="B603" t="s">
        <v>461</v>
      </c>
      <c r="C603" t="s">
        <v>64</v>
      </c>
      <c r="D603" t="s">
        <v>2250</v>
      </c>
      <c r="E603" s="13" t="s">
        <v>423</v>
      </c>
      <c r="G603" s="2">
        <v>58</v>
      </c>
      <c r="H603">
        <v>23</v>
      </c>
      <c r="I603">
        <v>66</v>
      </c>
      <c r="J603" t="s">
        <v>55</v>
      </c>
      <c r="K603">
        <v>0</v>
      </c>
      <c r="L603" t="s">
        <v>41</v>
      </c>
      <c r="M603" s="12">
        <v>1.8</v>
      </c>
      <c r="N603" s="3">
        <f>G603*M603</f>
        <v>104.4</v>
      </c>
      <c r="O603" s="1">
        <v>45411</v>
      </c>
      <c r="P603" s="1">
        <v>45631</v>
      </c>
      <c r="Q603" s="1">
        <v>45712</v>
      </c>
      <c r="R603">
        <v>668</v>
      </c>
      <c r="S603">
        <v>448</v>
      </c>
      <c r="T603">
        <v>367</v>
      </c>
      <c r="U603" t="str">
        <f t="shared" si="18"/>
        <v>Expiring Soon</v>
      </c>
      <c r="V603" t="s">
        <v>2251</v>
      </c>
      <c r="W603">
        <v>82</v>
      </c>
      <c r="X603" s="3">
        <f t="shared" si="19"/>
        <v>8560.8000000000011</v>
      </c>
      <c r="Y603">
        <v>61</v>
      </c>
      <c r="Z603" t="s">
        <v>43</v>
      </c>
      <c r="AA603" s="3">
        <f>X603-Grocery_Inventory_and_Sales_Dat!N603</f>
        <v>8456.4000000000015</v>
      </c>
    </row>
    <row r="604" spans="1:27" x14ac:dyDescent="0.3">
      <c r="A604" t="s">
        <v>2252</v>
      </c>
      <c r="B604" t="s">
        <v>51</v>
      </c>
      <c r="C604" t="s">
        <v>52</v>
      </c>
      <c r="D604" t="s">
        <v>2253</v>
      </c>
      <c r="E604" s="13" t="s">
        <v>2205</v>
      </c>
      <c r="G604" s="2">
        <v>85</v>
      </c>
      <c r="H604">
        <v>16</v>
      </c>
      <c r="I604">
        <v>74</v>
      </c>
      <c r="J604" t="s">
        <v>55</v>
      </c>
      <c r="K604">
        <v>0</v>
      </c>
      <c r="L604" t="s">
        <v>41</v>
      </c>
      <c r="M604" s="12">
        <v>3.85</v>
      </c>
      <c r="N604" s="3">
        <f>G604*M604</f>
        <v>327.25</v>
      </c>
      <c r="O604" s="1">
        <v>45614</v>
      </c>
      <c r="P604" s="1">
        <v>45514</v>
      </c>
      <c r="Q604" s="1">
        <v>45629</v>
      </c>
      <c r="R604">
        <v>465</v>
      </c>
      <c r="S604">
        <v>565</v>
      </c>
      <c r="T604">
        <v>450</v>
      </c>
      <c r="U604" t="str">
        <f t="shared" si="18"/>
        <v>Expiring Soon</v>
      </c>
      <c r="V604" t="s">
        <v>2254</v>
      </c>
      <c r="W604">
        <v>58</v>
      </c>
      <c r="X604" s="3">
        <f t="shared" si="19"/>
        <v>18980.5</v>
      </c>
      <c r="Y604">
        <v>36</v>
      </c>
      <c r="Z604" t="s">
        <v>43</v>
      </c>
      <c r="AA604" s="3">
        <f>X604-Grocery_Inventory_and_Sales_Dat!N604</f>
        <v>18653.25</v>
      </c>
    </row>
    <row r="605" spans="1:27" x14ac:dyDescent="0.3">
      <c r="A605" t="s">
        <v>2255</v>
      </c>
      <c r="B605" t="s">
        <v>600</v>
      </c>
      <c r="C605" t="s">
        <v>52</v>
      </c>
      <c r="D605" t="s">
        <v>2256</v>
      </c>
      <c r="E605" s="13" t="s">
        <v>40</v>
      </c>
      <c r="G605" s="2">
        <v>63</v>
      </c>
      <c r="H605">
        <v>62</v>
      </c>
      <c r="I605">
        <v>98</v>
      </c>
      <c r="J605" t="s">
        <v>55</v>
      </c>
      <c r="K605">
        <v>0</v>
      </c>
      <c r="L605" t="s">
        <v>41</v>
      </c>
      <c r="M605" s="12">
        <v>2.5</v>
      </c>
      <c r="N605" s="3">
        <f>G605*M605</f>
        <v>157.5</v>
      </c>
      <c r="O605" s="1">
        <v>45442</v>
      </c>
      <c r="P605" s="1">
        <v>45372</v>
      </c>
      <c r="Q605" s="1">
        <v>45679</v>
      </c>
      <c r="R605">
        <v>637</v>
      </c>
      <c r="S605">
        <v>707</v>
      </c>
      <c r="T605">
        <v>400</v>
      </c>
      <c r="U605" t="str">
        <f t="shared" si="18"/>
        <v>Expiring Soon</v>
      </c>
      <c r="V605" t="s">
        <v>2257</v>
      </c>
      <c r="W605">
        <v>62</v>
      </c>
      <c r="X605" s="3">
        <f t="shared" si="19"/>
        <v>9765</v>
      </c>
      <c r="Y605">
        <v>45</v>
      </c>
      <c r="Z605" t="s">
        <v>43</v>
      </c>
      <c r="AA605" s="3">
        <f>X605-Grocery_Inventory_and_Sales_Dat!N605</f>
        <v>9607.5</v>
      </c>
    </row>
    <row r="606" spans="1:27" x14ac:dyDescent="0.3">
      <c r="A606" t="s">
        <v>2258</v>
      </c>
      <c r="B606" t="s">
        <v>1544</v>
      </c>
      <c r="C606" t="s">
        <v>64</v>
      </c>
      <c r="D606" t="s">
        <v>2259</v>
      </c>
      <c r="E606" s="13" t="s">
        <v>2260</v>
      </c>
      <c r="G606" s="2">
        <v>54</v>
      </c>
      <c r="H606">
        <v>86</v>
      </c>
      <c r="I606">
        <v>69</v>
      </c>
      <c r="J606" t="s">
        <v>27</v>
      </c>
      <c r="K606">
        <v>86</v>
      </c>
      <c r="L606" t="s">
        <v>28</v>
      </c>
      <c r="M606" s="12">
        <v>5</v>
      </c>
      <c r="N606" s="3">
        <f>G606*M606</f>
        <v>270</v>
      </c>
      <c r="O606" s="1">
        <v>45622</v>
      </c>
      <c r="P606" s="1">
        <v>45519</v>
      </c>
      <c r="Q606" s="1">
        <v>45390</v>
      </c>
      <c r="R606">
        <v>457</v>
      </c>
      <c r="S606">
        <v>560</v>
      </c>
      <c r="T606">
        <v>689</v>
      </c>
      <c r="U606" t="str">
        <f t="shared" si="18"/>
        <v>Safe</v>
      </c>
      <c r="V606" t="s">
        <v>2261</v>
      </c>
      <c r="W606">
        <v>29</v>
      </c>
      <c r="X606" s="3">
        <f t="shared" si="19"/>
        <v>7830</v>
      </c>
      <c r="Y606">
        <v>8</v>
      </c>
      <c r="Z606" t="s">
        <v>30</v>
      </c>
      <c r="AA606" s="3">
        <f>X606-Grocery_Inventory_and_Sales_Dat!N606</f>
        <v>7560</v>
      </c>
    </row>
    <row r="607" spans="1:27" x14ac:dyDescent="0.3">
      <c r="A607" t="s">
        <v>2262</v>
      </c>
      <c r="B607" t="s">
        <v>2263</v>
      </c>
      <c r="C607" t="s">
        <v>52</v>
      </c>
      <c r="D607" t="s">
        <v>2264</v>
      </c>
      <c r="E607" s="13" t="s">
        <v>557</v>
      </c>
      <c r="G607" s="2">
        <v>30</v>
      </c>
      <c r="H607">
        <v>25</v>
      </c>
      <c r="I607">
        <v>11</v>
      </c>
      <c r="J607" t="s">
        <v>55</v>
      </c>
      <c r="K607">
        <v>0</v>
      </c>
      <c r="L607" t="s">
        <v>41</v>
      </c>
      <c r="M607" s="12">
        <v>8</v>
      </c>
      <c r="N607" s="3">
        <f>G607*M607</f>
        <v>240</v>
      </c>
      <c r="O607" s="1">
        <v>45651</v>
      </c>
      <c r="P607" s="1">
        <v>45633</v>
      </c>
      <c r="Q607" s="1">
        <v>45471</v>
      </c>
      <c r="R607">
        <v>428</v>
      </c>
      <c r="S607">
        <v>446</v>
      </c>
      <c r="T607">
        <v>608</v>
      </c>
      <c r="U607" t="str">
        <f t="shared" si="18"/>
        <v>Safe</v>
      </c>
      <c r="V607" t="s">
        <v>2265</v>
      </c>
      <c r="W607">
        <v>42</v>
      </c>
      <c r="X607" s="3">
        <f t="shared" si="19"/>
        <v>10080</v>
      </c>
      <c r="Y607">
        <v>76</v>
      </c>
      <c r="Z607" t="s">
        <v>49</v>
      </c>
      <c r="AA607" s="3">
        <f>X607-Grocery_Inventory_and_Sales_Dat!N607</f>
        <v>9840</v>
      </c>
    </row>
    <row r="608" spans="1:27" x14ac:dyDescent="0.3">
      <c r="A608" t="s">
        <v>2266</v>
      </c>
      <c r="B608" t="s">
        <v>600</v>
      </c>
      <c r="C608" t="s">
        <v>52</v>
      </c>
      <c r="D608" t="s">
        <v>2267</v>
      </c>
      <c r="E608" s="13" t="s">
        <v>803</v>
      </c>
      <c r="G608" s="2">
        <v>57</v>
      </c>
      <c r="H608">
        <v>25</v>
      </c>
      <c r="I608">
        <v>98</v>
      </c>
      <c r="J608" t="s">
        <v>55</v>
      </c>
      <c r="K608">
        <v>0</v>
      </c>
      <c r="L608" t="s">
        <v>41</v>
      </c>
      <c r="M608" s="12">
        <v>2.5</v>
      </c>
      <c r="N608" s="3">
        <f>G608*M608</f>
        <v>142.5</v>
      </c>
      <c r="O608" s="1">
        <v>45457</v>
      </c>
      <c r="P608" s="1">
        <v>45347</v>
      </c>
      <c r="Q608" s="1">
        <v>45426</v>
      </c>
      <c r="R608">
        <v>622</v>
      </c>
      <c r="S608">
        <v>732</v>
      </c>
      <c r="T608">
        <v>653</v>
      </c>
      <c r="U608" t="str">
        <f t="shared" si="18"/>
        <v>Safe</v>
      </c>
      <c r="V608" t="s">
        <v>2268</v>
      </c>
      <c r="W608">
        <v>78</v>
      </c>
      <c r="X608" s="3">
        <f t="shared" si="19"/>
        <v>11115</v>
      </c>
      <c r="Y608">
        <v>37</v>
      </c>
      <c r="Z608" t="s">
        <v>49</v>
      </c>
      <c r="AA608" s="3">
        <f>X608-Grocery_Inventory_and_Sales_Dat!N608</f>
        <v>10972.5</v>
      </c>
    </row>
    <row r="609" spans="1:27" x14ac:dyDescent="0.3">
      <c r="A609" t="s">
        <v>2269</v>
      </c>
      <c r="B609" t="s">
        <v>716</v>
      </c>
      <c r="C609" t="s">
        <v>64</v>
      </c>
      <c r="D609" t="s">
        <v>2270</v>
      </c>
      <c r="E609" s="13" t="s">
        <v>1077</v>
      </c>
      <c r="G609" s="2">
        <v>18</v>
      </c>
      <c r="H609">
        <v>72</v>
      </c>
      <c r="I609">
        <v>71</v>
      </c>
      <c r="J609" t="s">
        <v>27</v>
      </c>
      <c r="K609">
        <v>72</v>
      </c>
      <c r="L609" t="s">
        <v>28</v>
      </c>
      <c r="M609" s="12">
        <v>2</v>
      </c>
      <c r="N609" s="3">
        <f>G609*M609</f>
        <v>36</v>
      </c>
      <c r="O609" s="1">
        <v>45417</v>
      </c>
      <c r="P609" s="1">
        <v>45634</v>
      </c>
      <c r="Q609" s="1">
        <v>45463</v>
      </c>
      <c r="R609">
        <v>662</v>
      </c>
      <c r="S609">
        <v>445</v>
      </c>
      <c r="T609">
        <v>616</v>
      </c>
      <c r="U609" t="str">
        <f t="shared" si="18"/>
        <v>Safe</v>
      </c>
      <c r="V609" t="s">
        <v>2271</v>
      </c>
      <c r="W609">
        <v>25</v>
      </c>
      <c r="X609" s="3">
        <f t="shared" si="19"/>
        <v>900</v>
      </c>
      <c r="Y609">
        <v>81</v>
      </c>
      <c r="Z609" t="s">
        <v>49</v>
      </c>
      <c r="AA609" s="3">
        <f>X609-Grocery_Inventory_and_Sales_Dat!N609</f>
        <v>864</v>
      </c>
    </row>
    <row r="610" spans="1:27" x14ac:dyDescent="0.3">
      <c r="A610" t="s">
        <v>2272</v>
      </c>
      <c r="B610" t="s">
        <v>630</v>
      </c>
      <c r="C610" t="s">
        <v>138</v>
      </c>
      <c r="D610" t="s">
        <v>2273</v>
      </c>
      <c r="E610" s="13" t="s">
        <v>2274</v>
      </c>
      <c r="G610" s="2">
        <v>16</v>
      </c>
      <c r="H610">
        <v>34</v>
      </c>
      <c r="I610">
        <v>89</v>
      </c>
      <c r="J610" t="s">
        <v>27</v>
      </c>
      <c r="K610">
        <v>34</v>
      </c>
      <c r="L610" t="s">
        <v>41</v>
      </c>
      <c r="M610" s="12">
        <v>18</v>
      </c>
      <c r="N610" s="3">
        <f>G610*M610</f>
        <v>288</v>
      </c>
      <c r="O610" s="1">
        <v>45652</v>
      </c>
      <c r="P610" s="1">
        <v>45349</v>
      </c>
      <c r="Q610" s="1">
        <v>45411</v>
      </c>
      <c r="R610">
        <v>427</v>
      </c>
      <c r="S610">
        <v>730</v>
      </c>
      <c r="T610">
        <v>668</v>
      </c>
      <c r="U610" t="str">
        <f t="shared" si="18"/>
        <v>Safe</v>
      </c>
      <c r="V610" t="s">
        <v>2275</v>
      </c>
      <c r="W610">
        <v>35</v>
      </c>
      <c r="X610" s="3">
        <f t="shared" si="19"/>
        <v>10080</v>
      </c>
      <c r="Y610">
        <v>52</v>
      </c>
      <c r="Z610" t="s">
        <v>43</v>
      </c>
      <c r="AA610" s="3">
        <f>X610-Grocery_Inventory_and_Sales_Dat!N610</f>
        <v>9792</v>
      </c>
    </row>
    <row r="611" spans="1:27" x14ac:dyDescent="0.3">
      <c r="A611" t="s">
        <v>2276</v>
      </c>
      <c r="B611" t="s">
        <v>635</v>
      </c>
      <c r="C611" t="s">
        <v>70</v>
      </c>
      <c r="D611" t="s">
        <v>2277</v>
      </c>
      <c r="E611" s="13" t="s">
        <v>934</v>
      </c>
      <c r="G611" s="2">
        <v>39</v>
      </c>
      <c r="H611">
        <v>80</v>
      </c>
      <c r="I611">
        <v>68</v>
      </c>
      <c r="J611" t="s">
        <v>27</v>
      </c>
      <c r="K611">
        <v>80</v>
      </c>
      <c r="L611" t="s">
        <v>28</v>
      </c>
      <c r="M611" s="12">
        <v>2.5</v>
      </c>
      <c r="N611" s="3">
        <f>G611*M611</f>
        <v>97.5</v>
      </c>
      <c r="O611" s="1">
        <v>45493</v>
      </c>
      <c r="P611" s="1">
        <v>45451</v>
      </c>
      <c r="Q611" s="1">
        <v>45519</v>
      </c>
      <c r="R611">
        <v>586</v>
      </c>
      <c r="S611">
        <v>628</v>
      </c>
      <c r="T611">
        <v>560</v>
      </c>
      <c r="U611" t="str">
        <f t="shared" si="18"/>
        <v>Safe</v>
      </c>
      <c r="V611" t="s">
        <v>2278</v>
      </c>
      <c r="W611">
        <v>46</v>
      </c>
      <c r="X611" s="3">
        <f t="shared" si="19"/>
        <v>4485</v>
      </c>
      <c r="Y611">
        <v>54</v>
      </c>
      <c r="Z611" t="s">
        <v>30</v>
      </c>
      <c r="AA611" s="3">
        <f>X611-Grocery_Inventory_and_Sales_Dat!N611</f>
        <v>4387.5</v>
      </c>
    </row>
    <row r="612" spans="1:27" x14ac:dyDescent="0.3">
      <c r="A612" t="s">
        <v>2279</v>
      </c>
      <c r="B612" t="s">
        <v>235</v>
      </c>
      <c r="C612" t="s">
        <v>52</v>
      </c>
      <c r="D612" t="s">
        <v>2280</v>
      </c>
      <c r="E612" s="13" t="s">
        <v>1991</v>
      </c>
      <c r="G612" s="2">
        <v>59</v>
      </c>
      <c r="H612">
        <v>82</v>
      </c>
      <c r="I612">
        <v>69</v>
      </c>
      <c r="J612" t="s">
        <v>27</v>
      </c>
      <c r="K612">
        <v>82</v>
      </c>
      <c r="L612" t="s">
        <v>28</v>
      </c>
      <c r="M612" s="12">
        <v>2.4500000000000002</v>
      </c>
      <c r="N612" s="3">
        <f>G612*M612</f>
        <v>144.55000000000001</v>
      </c>
      <c r="O612" s="1">
        <v>45387</v>
      </c>
      <c r="P612" s="1">
        <v>45376</v>
      </c>
      <c r="Q612" s="1">
        <v>45354</v>
      </c>
      <c r="R612">
        <v>692</v>
      </c>
      <c r="S612">
        <v>703</v>
      </c>
      <c r="T612">
        <v>725</v>
      </c>
      <c r="U612" t="str">
        <f t="shared" si="18"/>
        <v>Safe</v>
      </c>
      <c r="V612" t="s">
        <v>2281</v>
      </c>
      <c r="W612">
        <v>30</v>
      </c>
      <c r="X612" s="3">
        <f t="shared" si="19"/>
        <v>4336.5</v>
      </c>
      <c r="Y612">
        <v>34</v>
      </c>
      <c r="Z612" t="s">
        <v>30</v>
      </c>
      <c r="AA612" s="3">
        <f>X612-Grocery_Inventory_and_Sales_Dat!N612</f>
        <v>4191.95</v>
      </c>
    </row>
    <row r="613" spans="1:27" x14ac:dyDescent="0.3">
      <c r="A613" t="s">
        <v>2282</v>
      </c>
      <c r="B613" t="s">
        <v>1485</v>
      </c>
      <c r="C613" t="s">
        <v>138</v>
      </c>
      <c r="D613" t="s">
        <v>2283</v>
      </c>
      <c r="E613" s="13" t="s">
        <v>2284</v>
      </c>
      <c r="G613" s="2">
        <v>79</v>
      </c>
      <c r="H613">
        <v>28</v>
      </c>
      <c r="I613">
        <v>4</v>
      </c>
      <c r="J613" t="s">
        <v>55</v>
      </c>
      <c r="K613">
        <v>0</v>
      </c>
      <c r="L613" t="s">
        <v>41</v>
      </c>
      <c r="M613" s="12">
        <v>15</v>
      </c>
      <c r="N613" s="3">
        <f>G613*M613</f>
        <v>1185</v>
      </c>
      <c r="O613" s="1">
        <v>45659</v>
      </c>
      <c r="P613" s="1">
        <v>45555</v>
      </c>
      <c r="Q613" s="1">
        <v>45429</v>
      </c>
      <c r="R613">
        <v>420</v>
      </c>
      <c r="S613">
        <v>524</v>
      </c>
      <c r="T613">
        <v>650</v>
      </c>
      <c r="U613" t="str">
        <f t="shared" si="18"/>
        <v>Safe</v>
      </c>
      <c r="V613" t="s">
        <v>2285</v>
      </c>
      <c r="W613">
        <v>42</v>
      </c>
      <c r="X613" s="3">
        <f t="shared" si="19"/>
        <v>49770</v>
      </c>
      <c r="Y613">
        <v>46</v>
      </c>
      <c r="Z613" t="s">
        <v>49</v>
      </c>
      <c r="AA613" s="3">
        <f>X613-Grocery_Inventory_and_Sales_Dat!N613</f>
        <v>48585</v>
      </c>
    </row>
    <row r="614" spans="1:27" x14ac:dyDescent="0.3">
      <c r="A614" t="s">
        <v>2286</v>
      </c>
      <c r="B614" t="s">
        <v>163</v>
      </c>
      <c r="C614" t="s">
        <v>70</v>
      </c>
      <c r="D614" t="s">
        <v>2287</v>
      </c>
      <c r="E614" s="13" t="s">
        <v>371</v>
      </c>
      <c r="G614" s="2">
        <v>78</v>
      </c>
      <c r="H614">
        <v>61</v>
      </c>
      <c r="I614">
        <v>6</v>
      </c>
      <c r="J614" t="s">
        <v>55</v>
      </c>
      <c r="K614">
        <v>0</v>
      </c>
      <c r="L614" t="s">
        <v>41</v>
      </c>
      <c r="M614" s="12">
        <v>0.8</v>
      </c>
      <c r="N614" s="3">
        <f>G614*M614</f>
        <v>62.400000000000006</v>
      </c>
      <c r="O614" s="1">
        <v>45439</v>
      </c>
      <c r="P614" s="1">
        <v>45453</v>
      </c>
      <c r="Q614" s="1">
        <v>45644</v>
      </c>
      <c r="R614">
        <v>640</v>
      </c>
      <c r="S614">
        <v>626</v>
      </c>
      <c r="T614">
        <v>435</v>
      </c>
      <c r="U614" t="str">
        <f t="shared" si="18"/>
        <v>Expiring Soon</v>
      </c>
      <c r="V614" t="s">
        <v>2288</v>
      </c>
      <c r="W614">
        <v>49</v>
      </c>
      <c r="X614" s="3">
        <f t="shared" si="19"/>
        <v>3057.6000000000004</v>
      </c>
      <c r="Y614">
        <v>60</v>
      </c>
      <c r="Z614" t="s">
        <v>49</v>
      </c>
      <c r="AA614" s="3">
        <f>X614-Grocery_Inventory_and_Sales_Dat!N614</f>
        <v>2995.2000000000003</v>
      </c>
    </row>
    <row r="615" spans="1:27" x14ac:dyDescent="0.3">
      <c r="A615" t="s">
        <v>2289</v>
      </c>
      <c r="B615" t="s">
        <v>23</v>
      </c>
      <c r="C615" t="s">
        <v>24</v>
      </c>
      <c r="D615" t="s">
        <v>2290</v>
      </c>
      <c r="E615" s="13" t="s">
        <v>2291</v>
      </c>
      <c r="G615" s="2">
        <v>22</v>
      </c>
      <c r="H615">
        <v>10</v>
      </c>
      <c r="I615">
        <v>53</v>
      </c>
      <c r="J615" t="s">
        <v>55</v>
      </c>
      <c r="K615">
        <v>0</v>
      </c>
      <c r="L615" t="s">
        <v>41</v>
      </c>
      <c r="M615" s="12">
        <v>4.25</v>
      </c>
      <c r="N615" s="3">
        <f>G615*M615</f>
        <v>93.5</v>
      </c>
      <c r="O615" s="1">
        <v>45512</v>
      </c>
      <c r="P615" s="1">
        <v>45591</v>
      </c>
      <c r="Q615" s="1">
        <v>45396</v>
      </c>
      <c r="R615">
        <v>567</v>
      </c>
      <c r="S615">
        <v>488</v>
      </c>
      <c r="T615">
        <v>683</v>
      </c>
      <c r="U615" t="str">
        <f t="shared" si="18"/>
        <v>Safe</v>
      </c>
      <c r="V615" t="s">
        <v>2292</v>
      </c>
      <c r="W615">
        <v>64</v>
      </c>
      <c r="X615" s="3">
        <f t="shared" si="19"/>
        <v>5984</v>
      </c>
      <c r="Y615">
        <v>7</v>
      </c>
      <c r="Z615" t="s">
        <v>49</v>
      </c>
      <c r="AA615" s="3">
        <f>X615-Grocery_Inventory_and_Sales_Dat!N615</f>
        <v>5890.5</v>
      </c>
    </row>
    <row r="616" spans="1:27" x14ac:dyDescent="0.3">
      <c r="A616" t="s">
        <v>2293</v>
      </c>
      <c r="B616" t="s">
        <v>2294</v>
      </c>
      <c r="C616" t="s">
        <v>70</v>
      </c>
      <c r="D616" t="s">
        <v>2295</v>
      </c>
      <c r="E616" s="13" t="s">
        <v>2296</v>
      </c>
      <c r="G616" s="2">
        <v>10</v>
      </c>
      <c r="H616">
        <v>17</v>
      </c>
      <c r="I616">
        <v>70</v>
      </c>
      <c r="J616" t="s">
        <v>27</v>
      </c>
      <c r="K616">
        <v>17</v>
      </c>
      <c r="L616" t="s">
        <v>41</v>
      </c>
      <c r="M616" s="12">
        <v>0.2</v>
      </c>
      <c r="N616" s="3">
        <f>G616*M616</f>
        <v>2</v>
      </c>
      <c r="O616" s="1">
        <v>45655</v>
      </c>
      <c r="P616" s="1">
        <v>45649</v>
      </c>
      <c r="Q616" s="1">
        <v>45543</v>
      </c>
      <c r="R616">
        <v>424</v>
      </c>
      <c r="S616">
        <v>430</v>
      </c>
      <c r="T616">
        <v>536</v>
      </c>
      <c r="U616" t="str">
        <f t="shared" si="18"/>
        <v>Expiring Soon</v>
      </c>
      <c r="V616" t="s">
        <v>2297</v>
      </c>
      <c r="W616">
        <v>100</v>
      </c>
      <c r="X616" s="3">
        <f t="shared" si="19"/>
        <v>200</v>
      </c>
      <c r="Y616">
        <v>63</v>
      </c>
      <c r="Z616" t="s">
        <v>43</v>
      </c>
      <c r="AA616" s="3">
        <f>X616-Grocery_Inventory_and_Sales_Dat!N616</f>
        <v>198</v>
      </c>
    </row>
    <row r="617" spans="1:27" x14ac:dyDescent="0.3">
      <c r="A617" t="s">
        <v>2298</v>
      </c>
      <c r="B617" t="s">
        <v>391</v>
      </c>
      <c r="C617" t="s">
        <v>24</v>
      </c>
      <c r="D617" t="s">
        <v>2299</v>
      </c>
      <c r="E617" s="13" t="s">
        <v>661</v>
      </c>
      <c r="G617" s="2">
        <v>34</v>
      </c>
      <c r="H617">
        <v>32</v>
      </c>
      <c r="I617">
        <v>22</v>
      </c>
      <c r="J617" t="s">
        <v>55</v>
      </c>
      <c r="K617">
        <v>0</v>
      </c>
      <c r="L617" t="s">
        <v>41</v>
      </c>
      <c r="M617" s="12">
        <v>4.5</v>
      </c>
      <c r="N617" s="3">
        <f>G617*M617</f>
        <v>153</v>
      </c>
      <c r="O617" s="1">
        <v>45327</v>
      </c>
      <c r="P617" s="1">
        <v>45333</v>
      </c>
      <c r="Q617" s="1">
        <v>45695</v>
      </c>
      <c r="R617">
        <v>752</v>
      </c>
      <c r="S617">
        <v>746</v>
      </c>
      <c r="T617">
        <v>384</v>
      </c>
      <c r="U617" t="str">
        <f t="shared" si="18"/>
        <v>Expiring Soon</v>
      </c>
      <c r="V617" t="s">
        <v>2300</v>
      </c>
      <c r="W617">
        <v>42</v>
      </c>
      <c r="X617" s="3">
        <f t="shared" si="19"/>
        <v>6426</v>
      </c>
      <c r="Y617">
        <v>27</v>
      </c>
      <c r="Z617" t="s">
        <v>49</v>
      </c>
      <c r="AA617" s="3">
        <f>X617-Grocery_Inventory_and_Sales_Dat!N617</f>
        <v>6273</v>
      </c>
    </row>
    <row r="618" spans="1:27" x14ac:dyDescent="0.3">
      <c r="A618" t="s">
        <v>2301</v>
      </c>
      <c r="B618" t="s">
        <v>369</v>
      </c>
      <c r="C618" t="s">
        <v>70</v>
      </c>
      <c r="D618" t="s">
        <v>2302</v>
      </c>
      <c r="E618" s="13" t="s">
        <v>475</v>
      </c>
      <c r="G618" s="2">
        <v>74</v>
      </c>
      <c r="H618">
        <v>62</v>
      </c>
      <c r="I618">
        <v>6</v>
      </c>
      <c r="J618" t="s">
        <v>55</v>
      </c>
      <c r="K618">
        <v>0</v>
      </c>
      <c r="L618" t="s">
        <v>41</v>
      </c>
      <c r="M618" s="12">
        <v>4</v>
      </c>
      <c r="N618" s="3">
        <f>G618*M618</f>
        <v>296</v>
      </c>
      <c r="O618" s="1">
        <v>45653</v>
      </c>
      <c r="P618" s="1">
        <v>45670</v>
      </c>
      <c r="Q618" s="1">
        <v>45518</v>
      </c>
      <c r="R618">
        <v>426</v>
      </c>
      <c r="S618">
        <v>409</v>
      </c>
      <c r="T618">
        <v>561</v>
      </c>
      <c r="U618" t="str">
        <f t="shared" si="18"/>
        <v>Safe</v>
      </c>
      <c r="V618" t="s">
        <v>2303</v>
      </c>
      <c r="W618">
        <v>65</v>
      </c>
      <c r="X618" s="3">
        <f t="shared" si="19"/>
        <v>19240</v>
      </c>
      <c r="Y618">
        <v>96</v>
      </c>
      <c r="Z618" t="s">
        <v>49</v>
      </c>
      <c r="AA618" s="3">
        <f>X618-Grocery_Inventory_and_Sales_Dat!N618</f>
        <v>18944</v>
      </c>
    </row>
    <row r="619" spans="1:27" x14ac:dyDescent="0.3">
      <c r="A619" t="s">
        <v>2304</v>
      </c>
      <c r="B619" t="s">
        <v>23</v>
      </c>
      <c r="C619" t="s">
        <v>24</v>
      </c>
      <c r="D619" t="s">
        <v>2305</v>
      </c>
      <c r="E619" s="13" t="s">
        <v>788</v>
      </c>
      <c r="G619" s="2">
        <v>10</v>
      </c>
      <c r="H619">
        <v>11</v>
      </c>
      <c r="I619">
        <v>29</v>
      </c>
      <c r="J619" t="s">
        <v>27</v>
      </c>
      <c r="K619">
        <v>11</v>
      </c>
      <c r="L619" t="s">
        <v>41</v>
      </c>
      <c r="M619" s="12">
        <v>4.3</v>
      </c>
      <c r="N619" s="3">
        <f>G619*M619</f>
        <v>43</v>
      </c>
      <c r="O619" s="1">
        <v>45701</v>
      </c>
      <c r="P619" s="1">
        <v>45514</v>
      </c>
      <c r="Q619" s="1">
        <v>45495</v>
      </c>
      <c r="R619">
        <v>378</v>
      </c>
      <c r="S619">
        <v>565</v>
      </c>
      <c r="T619">
        <v>584</v>
      </c>
      <c r="U619" t="str">
        <f t="shared" si="18"/>
        <v>Safe</v>
      </c>
      <c r="V619" t="s">
        <v>2306</v>
      </c>
      <c r="W619">
        <v>29</v>
      </c>
      <c r="X619" s="3">
        <f t="shared" si="19"/>
        <v>1247</v>
      </c>
      <c r="Y619">
        <v>72</v>
      </c>
      <c r="Z619" t="s">
        <v>43</v>
      </c>
      <c r="AA619" s="3">
        <f>X619-Grocery_Inventory_and_Sales_Dat!N619</f>
        <v>1204</v>
      </c>
    </row>
    <row r="620" spans="1:27" x14ac:dyDescent="0.3">
      <c r="A620" t="s">
        <v>2307</v>
      </c>
      <c r="B620" t="s">
        <v>834</v>
      </c>
      <c r="C620" t="s">
        <v>24</v>
      </c>
      <c r="D620" t="s">
        <v>2308</v>
      </c>
      <c r="E620" s="13" t="s">
        <v>949</v>
      </c>
      <c r="G620" s="2">
        <v>11</v>
      </c>
      <c r="H620">
        <v>87</v>
      </c>
      <c r="I620">
        <v>64</v>
      </c>
      <c r="J620" t="s">
        <v>27</v>
      </c>
      <c r="K620">
        <v>87</v>
      </c>
      <c r="L620" t="s">
        <v>28</v>
      </c>
      <c r="M620" s="12">
        <v>4.5</v>
      </c>
      <c r="N620" s="3">
        <f>G620*M620</f>
        <v>49.5</v>
      </c>
      <c r="O620" s="1">
        <v>45534</v>
      </c>
      <c r="P620" s="1">
        <v>45510</v>
      </c>
      <c r="Q620" s="1">
        <v>45448</v>
      </c>
      <c r="R620">
        <v>545</v>
      </c>
      <c r="S620">
        <v>569</v>
      </c>
      <c r="T620">
        <v>631</v>
      </c>
      <c r="U620" t="str">
        <f t="shared" si="18"/>
        <v>Safe</v>
      </c>
      <c r="V620" t="s">
        <v>2309</v>
      </c>
      <c r="W620">
        <v>29</v>
      </c>
      <c r="X620" s="3">
        <f t="shared" si="19"/>
        <v>1435.5</v>
      </c>
      <c r="Y620">
        <v>6</v>
      </c>
      <c r="Z620" t="s">
        <v>49</v>
      </c>
      <c r="AA620" s="3">
        <f>X620-Grocery_Inventory_and_Sales_Dat!N620</f>
        <v>1386</v>
      </c>
    </row>
    <row r="621" spans="1:27" x14ac:dyDescent="0.3">
      <c r="A621" t="s">
        <v>2310</v>
      </c>
      <c r="B621" t="s">
        <v>1131</v>
      </c>
      <c r="C621" t="s">
        <v>52</v>
      </c>
      <c r="D621" t="s">
        <v>2311</v>
      </c>
      <c r="E621" s="13" t="s">
        <v>1675</v>
      </c>
      <c r="G621" s="2">
        <v>99</v>
      </c>
      <c r="H621">
        <v>68</v>
      </c>
      <c r="I621">
        <v>1</v>
      </c>
      <c r="J621" t="s">
        <v>55</v>
      </c>
      <c r="K621">
        <v>0</v>
      </c>
      <c r="L621" t="s">
        <v>41</v>
      </c>
      <c r="M621" s="12">
        <v>5.5</v>
      </c>
      <c r="N621" s="3">
        <f>G621*M621</f>
        <v>544.5</v>
      </c>
      <c r="O621" s="1">
        <v>45486</v>
      </c>
      <c r="P621" s="1">
        <v>45347</v>
      </c>
      <c r="Q621" s="1">
        <v>45543</v>
      </c>
      <c r="R621">
        <v>593</v>
      </c>
      <c r="S621">
        <v>732</v>
      </c>
      <c r="T621">
        <v>536</v>
      </c>
      <c r="U621" t="str">
        <f t="shared" si="18"/>
        <v>Expiring Soon</v>
      </c>
      <c r="V621" t="s">
        <v>2312</v>
      </c>
      <c r="W621">
        <v>59</v>
      </c>
      <c r="X621" s="3">
        <f t="shared" si="19"/>
        <v>32125.5</v>
      </c>
      <c r="Y621">
        <v>16</v>
      </c>
      <c r="Z621" t="s">
        <v>30</v>
      </c>
      <c r="AA621" s="3">
        <f>X621-Grocery_Inventory_and_Sales_Dat!N621</f>
        <v>31581</v>
      </c>
    </row>
    <row r="622" spans="1:27" x14ac:dyDescent="0.3">
      <c r="A622" t="s">
        <v>2313</v>
      </c>
      <c r="B622" t="s">
        <v>119</v>
      </c>
      <c r="C622" t="s">
        <v>70</v>
      </c>
      <c r="D622" t="s">
        <v>2314</v>
      </c>
      <c r="E622" s="13" t="s">
        <v>695</v>
      </c>
      <c r="G622" s="2">
        <v>64</v>
      </c>
      <c r="H622">
        <v>14</v>
      </c>
      <c r="I622">
        <v>44</v>
      </c>
      <c r="J622" t="s">
        <v>55</v>
      </c>
      <c r="K622">
        <v>0</v>
      </c>
      <c r="L622" t="s">
        <v>41</v>
      </c>
      <c r="M622" s="12">
        <v>8</v>
      </c>
      <c r="N622" s="3">
        <f>G622*M622</f>
        <v>512</v>
      </c>
      <c r="O622" s="1">
        <v>45466</v>
      </c>
      <c r="P622" s="1">
        <v>45428</v>
      </c>
      <c r="Q622" s="1">
        <v>45655</v>
      </c>
      <c r="R622">
        <v>613</v>
      </c>
      <c r="S622">
        <v>651</v>
      </c>
      <c r="T622">
        <v>424</v>
      </c>
      <c r="U622" t="str">
        <f t="shared" si="18"/>
        <v>Expiring Soon</v>
      </c>
      <c r="V622" t="s">
        <v>2315</v>
      </c>
      <c r="W622">
        <v>53</v>
      </c>
      <c r="X622" s="3">
        <f t="shared" si="19"/>
        <v>27136</v>
      </c>
      <c r="Y622">
        <v>33</v>
      </c>
      <c r="Z622" t="s">
        <v>49</v>
      </c>
      <c r="AA622" s="3">
        <f>X622-Grocery_Inventory_and_Sales_Dat!N622</f>
        <v>26624</v>
      </c>
    </row>
    <row r="623" spans="1:27" x14ac:dyDescent="0.3">
      <c r="A623" t="s">
        <v>2316</v>
      </c>
      <c r="B623" t="s">
        <v>177</v>
      </c>
      <c r="C623" t="s">
        <v>52</v>
      </c>
      <c r="D623" t="s">
        <v>2317</v>
      </c>
      <c r="E623" s="13" t="s">
        <v>2318</v>
      </c>
      <c r="G623" s="2">
        <v>58</v>
      </c>
      <c r="H623">
        <v>55</v>
      </c>
      <c r="I623">
        <v>5</v>
      </c>
      <c r="J623" t="s">
        <v>55</v>
      </c>
      <c r="K623">
        <v>0</v>
      </c>
      <c r="L623" t="s">
        <v>41</v>
      </c>
      <c r="M623" s="12">
        <v>4.45</v>
      </c>
      <c r="N623" s="3">
        <f>G623*M623</f>
        <v>258.10000000000002</v>
      </c>
      <c r="O623" s="1">
        <v>45657</v>
      </c>
      <c r="P623" s="1">
        <v>45399</v>
      </c>
      <c r="Q623" s="1">
        <v>45663</v>
      </c>
      <c r="R623">
        <v>422</v>
      </c>
      <c r="S623">
        <v>680</v>
      </c>
      <c r="T623">
        <v>416</v>
      </c>
      <c r="U623" t="str">
        <f t="shared" si="18"/>
        <v>Expiring Soon</v>
      </c>
      <c r="V623" t="s">
        <v>2319</v>
      </c>
      <c r="W623">
        <v>62</v>
      </c>
      <c r="X623" s="3">
        <f t="shared" si="19"/>
        <v>16002.2</v>
      </c>
      <c r="Y623">
        <v>89</v>
      </c>
      <c r="Z623" t="s">
        <v>49</v>
      </c>
      <c r="AA623" s="3">
        <f>X623-Grocery_Inventory_and_Sales_Dat!N623</f>
        <v>15744.1</v>
      </c>
    </row>
    <row r="624" spans="1:27" x14ac:dyDescent="0.3">
      <c r="A624" t="s">
        <v>2320</v>
      </c>
      <c r="B624" t="s">
        <v>63</v>
      </c>
      <c r="C624" t="s">
        <v>64</v>
      </c>
      <c r="D624" t="s">
        <v>2321</v>
      </c>
      <c r="E624" s="13" t="s">
        <v>179</v>
      </c>
      <c r="G624" s="2">
        <v>26</v>
      </c>
      <c r="H624">
        <v>100</v>
      </c>
      <c r="I624">
        <v>13</v>
      </c>
      <c r="J624" t="s">
        <v>27</v>
      </c>
      <c r="K624">
        <v>100</v>
      </c>
      <c r="L624" t="s">
        <v>28</v>
      </c>
      <c r="M624" s="12">
        <v>2.5</v>
      </c>
      <c r="N624" s="3">
        <f>G624*M624</f>
        <v>65</v>
      </c>
      <c r="O624" s="1">
        <v>45619</v>
      </c>
      <c r="P624" s="1">
        <v>45553</v>
      </c>
      <c r="Q624" s="1">
        <v>45664</v>
      </c>
      <c r="R624">
        <v>460</v>
      </c>
      <c r="S624">
        <v>526</v>
      </c>
      <c r="T624">
        <v>415</v>
      </c>
      <c r="U624" t="str">
        <f t="shared" si="18"/>
        <v>Expiring Soon</v>
      </c>
      <c r="V624" t="s">
        <v>2322</v>
      </c>
      <c r="W624">
        <v>45</v>
      </c>
      <c r="X624" s="3">
        <f t="shared" si="19"/>
        <v>2925</v>
      </c>
      <c r="Y624">
        <v>45</v>
      </c>
      <c r="Z624" t="s">
        <v>30</v>
      </c>
      <c r="AA624" s="3">
        <f>X624-Grocery_Inventory_and_Sales_Dat!N624</f>
        <v>2860</v>
      </c>
    </row>
    <row r="625" spans="1:27" x14ac:dyDescent="0.3">
      <c r="A625" t="s">
        <v>2323</v>
      </c>
      <c r="B625" t="s">
        <v>158</v>
      </c>
      <c r="C625" t="s">
        <v>24</v>
      </c>
      <c r="D625" t="s">
        <v>2324</v>
      </c>
      <c r="E625" s="13" t="s">
        <v>644</v>
      </c>
      <c r="G625" s="2">
        <v>72</v>
      </c>
      <c r="H625">
        <v>72</v>
      </c>
      <c r="I625">
        <v>68</v>
      </c>
      <c r="J625" t="s">
        <v>27</v>
      </c>
      <c r="K625">
        <v>72</v>
      </c>
      <c r="L625" t="s">
        <v>28</v>
      </c>
      <c r="M625" s="12">
        <v>1.5</v>
      </c>
      <c r="N625" s="3">
        <f>G625*M625</f>
        <v>108</v>
      </c>
      <c r="O625" s="1">
        <v>45564</v>
      </c>
      <c r="P625" s="1">
        <v>45469</v>
      </c>
      <c r="Q625" s="1">
        <v>45613</v>
      </c>
      <c r="R625">
        <v>515</v>
      </c>
      <c r="S625">
        <v>610</v>
      </c>
      <c r="T625">
        <v>466</v>
      </c>
      <c r="U625" t="str">
        <f t="shared" si="18"/>
        <v>Expiring Soon</v>
      </c>
      <c r="V625" t="s">
        <v>2325</v>
      </c>
      <c r="W625">
        <v>39</v>
      </c>
      <c r="X625" s="3">
        <f t="shared" si="19"/>
        <v>4212</v>
      </c>
      <c r="Y625">
        <v>78</v>
      </c>
      <c r="Z625" t="s">
        <v>49</v>
      </c>
      <c r="AA625" s="3">
        <f>X625-Grocery_Inventory_and_Sales_Dat!N625</f>
        <v>4104</v>
      </c>
    </row>
    <row r="626" spans="1:27" x14ac:dyDescent="0.3">
      <c r="A626" t="s">
        <v>2326</v>
      </c>
      <c r="B626" t="s">
        <v>350</v>
      </c>
      <c r="C626" t="s">
        <v>70</v>
      </c>
      <c r="D626" t="s">
        <v>2327</v>
      </c>
      <c r="E626" s="13" t="s">
        <v>1038</v>
      </c>
      <c r="G626" s="2">
        <v>36</v>
      </c>
      <c r="H626">
        <v>82</v>
      </c>
      <c r="I626">
        <v>85</v>
      </c>
      <c r="J626" t="s">
        <v>27</v>
      </c>
      <c r="K626">
        <v>82</v>
      </c>
      <c r="L626" t="s">
        <v>28</v>
      </c>
      <c r="M626" s="12">
        <v>7.1</v>
      </c>
      <c r="N626" s="3">
        <f>G626*M626</f>
        <v>255.6</v>
      </c>
      <c r="O626" s="1">
        <v>45410</v>
      </c>
      <c r="P626" s="1">
        <v>45380</v>
      </c>
      <c r="Q626" s="1">
        <v>45509</v>
      </c>
      <c r="R626">
        <v>669</v>
      </c>
      <c r="S626">
        <v>699</v>
      </c>
      <c r="T626">
        <v>570</v>
      </c>
      <c r="U626" t="str">
        <f t="shared" si="18"/>
        <v>Safe</v>
      </c>
      <c r="V626" t="s">
        <v>2328</v>
      </c>
      <c r="W626">
        <v>27</v>
      </c>
      <c r="X626" s="3">
        <f t="shared" si="19"/>
        <v>6901.2</v>
      </c>
      <c r="Y626">
        <v>67</v>
      </c>
      <c r="Z626" t="s">
        <v>30</v>
      </c>
      <c r="AA626" s="3">
        <f>X626-Grocery_Inventory_and_Sales_Dat!N626</f>
        <v>6645.5999999999995</v>
      </c>
    </row>
    <row r="627" spans="1:27" x14ac:dyDescent="0.3">
      <c r="A627" t="s">
        <v>2329</v>
      </c>
      <c r="B627" t="s">
        <v>168</v>
      </c>
      <c r="C627" t="s">
        <v>52</v>
      </c>
      <c r="D627" t="s">
        <v>2330</v>
      </c>
      <c r="E627" s="13" t="s">
        <v>2331</v>
      </c>
      <c r="G627" s="2">
        <v>24</v>
      </c>
      <c r="H627">
        <v>21</v>
      </c>
      <c r="I627">
        <v>4</v>
      </c>
      <c r="J627" t="s">
        <v>55</v>
      </c>
      <c r="K627">
        <v>0</v>
      </c>
      <c r="L627" t="s">
        <v>41</v>
      </c>
      <c r="M627" s="12">
        <v>6</v>
      </c>
      <c r="N627" s="3">
        <f>G627*M627</f>
        <v>144</v>
      </c>
      <c r="O627" s="1">
        <v>45416</v>
      </c>
      <c r="P627" s="1">
        <v>45470</v>
      </c>
      <c r="Q627" s="1">
        <v>45593</v>
      </c>
      <c r="R627">
        <v>663</v>
      </c>
      <c r="S627">
        <v>609</v>
      </c>
      <c r="T627">
        <v>486</v>
      </c>
      <c r="U627" t="str">
        <f t="shared" si="18"/>
        <v>Expiring Soon</v>
      </c>
      <c r="V627" t="s">
        <v>2332</v>
      </c>
      <c r="W627">
        <v>85</v>
      </c>
      <c r="X627" s="3">
        <f t="shared" si="19"/>
        <v>12240</v>
      </c>
      <c r="Y627">
        <v>17</v>
      </c>
      <c r="Z627" t="s">
        <v>43</v>
      </c>
      <c r="AA627" s="3">
        <f>X627-Grocery_Inventory_and_Sales_Dat!N627</f>
        <v>12096</v>
      </c>
    </row>
    <row r="628" spans="1:27" x14ac:dyDescent="0.3">
      <c r="A628" t="s">
        <v>2333</v>
      </c>
      <c r="B628" t="s">
        <v>207</v>
      </c>
      <c r="C628" t="s">
        <v>52</v>
      </c>
      <c r="D628" t="s">
        <v>2334</v>
      </c>
      <c r="E628" s="13" t="s">
        <v>846</v>
      </c>
      <c r="G628" s="2">
        <v>16</v>
      </c>
      <c r="H628">
        <v>75</v>
      </c>
      <c r="I628">
        <v>42</v>
      </c>
      <c r="J628" t="s">
        <v>27</v>
      </c>
      <c r="K628">
        <v>75</v>
      </c>
      <c r="L628" t="s">
        <v>28</v>
      </c>
      <c r="M628" s="12">
        <v>2</v>
      </c>
      <c r="N628" s="3">
        <f>G628*M628</f>
        <v>32</v>
      </c>
      <c r="O628" s="1">
        <v>45496</v>
      </c>
      <c r="P628" s="1">
        <v>45372</v>
      </c>
      <c r="Q628" s="1">
        <v>45436</v>
      </c>
      <c r="R628">
        <v>583</v>
      </c>
      <c r="S628">
        <v>707</v>
      </c>
      <c r="T628">
        <v>643</v>
      </c>
      <c r="U628" t="str">
        <f t="shared" si="18"/>
        <v>Safe</v>
      </c>
      <c r="V628" t="s">
        <v>2335</v>
      </c>
      <c r="W628">
        <v>22</v>
      </c>
      <c r="X628" s="3">
        <f t="shared" si="19"/>
        <v>704</v>
      </c>
      <c r="Y628">
        <v>46</v>
      </c>
      <c r="Z628" t="s">
        <v>49</v>
      </c>
      <c r="AA628" s="3">
        <f>X628-Grocery_Inventory_and_Sales_Dat!N628</f>
        <v>672</v>
      </c>
    </row>
    <row r="629" spans="1:27" x14ac:dyDescent="0.3">
      <c r="A629" t="s">
        <v>2336</v>
      </c>
      <c r="B629" t="s">
        <v>543</v>
      </c>
      <c r="C629" t="s">
        <v>52</v>
      </c>
      <c r="D629" t="s">
        <v>2337</v>
      </c>
      <c r="E629" s="13" t="s">
        <v>2338</v>
      </c>
      <c r="G629" s="2">
        <v>39</v>
      </c>
      <c r="H629">
        <v>19</v>
      </c>
      <c r="I629">
        <v>18</v>
      </c>
      <c r="J629" t="s">
        <v>55</v>
      </c>
      <c r="K629">
        <v>0</v>
      </c>
      <c r="L629" t="s">
        <v>41</v>
      </c>
      <c r="M629" s="12">
        <v>13.99</v>
      </c>
      <c r="N629" s="3">
        <f>G629*M629</f>
        <v>545.61</v>
      </c>
      <c r="O629" s="1">
        <v>45381</v>
      </c>
      <c r="P629" s="1">
        <v>45491</v>
      </c>
      <c r="Q629" s="1">
        <v>45677</v>
      </c>
      <c r="R629">
        <v>698</v>
      </c>
      <c r="S629">
        <v>588</v>
      </c>
      <c r="T629">
        <v>402</v>
      </c>
      <c r="U629" t="str">
        <f t="shared" si="18"/>
        <v>Expiring Soon</v>
      </c>
      <c r="V629" t="s">
        <v>2339</v>
      </c>
      <c r="W629">
        <v>58</v>
      </c>
      <c r="X629" s="3">
        <f t="shared" si="19"/>
        <v>31645.38</v>
      </c>
      <c r="Y629">
        <v>90</v>
      </c>
      <c r="Z629" t="s">
        <v>49</v>
      </c>
      <c r="AA629" s="3">
        <f>X629-Grocery_Inventory_and_Sales_Dat!N629</f>
        <v>31099.77</v>
      </c>
    </row>
    <row r="630" spans="1:27" x14ac:dyDescent="0.3">
      <c r="A630" t="s">
        <v>2340</v>
      </c>
      <c r="B630" t="s">
        <v>220</v>
      </c>
      <c r="C630" t="s">
        <v>52</v>
      </c>
      <c r="D630" t="s">
        <v>2341</v>
      </c>
      <c r="E630" s="13" t="s">
        <v>2342</v>
      </c>
      <c r="G630" s="2">
        <v>89</v>
      </c>
      <c r="H630">
        <v>56</v>
      </c>
      <c r="I630">
        <v>74</v>
      </c>
      <c r="J630" t="s">
        <v>55</v>
      </c>
      <c r="K630">
        <v>0</v>
      </c>
      <c r="L630" t="s">
        <v>41</v>
      </c>
      <c r="M630" s="12">
        <v>2.5</v>
      </c>
      <c r="N630" s="3">
        <f>G630*M630</f>
        <v>222.5</v>
      </c>
      <c r="O630" s="1">
        <v>45576</v>
      </c>
      <c r="P630" s="1">
        <v>45503</v>
      </c>
      <c r="Q630" s="1">
        <v>45566</v>
      </c>
      <c r="R630">
        <v>503</v>
      </c>
      <c r="S630">
        <v>576</v>
      </c>
      <c r="T630">
        <v>513</v>
      </c>
      <c r="U630" t="str">
        <f t="shared" si="18"/>
        <v>Expiring Soon</v>
      </c>
      <c r="V630" t="s">
        <v>2343</v>
      </c>
      <c r="W630">
        <v>27</v>
      </c>
      <c r="X630" s="3">
        <f t="shared" si="19"/>
        <v>6007.5</v>
      </c>
      <c r="Y630">
        <v>51</v>
      </c>
      <c r="Z630" t="s">
        <v>43</v>
      </c>
      <c r="AA630" s="3">
        <f>X630-Grocery_Inventory_and_Sales_Dat!N630</f>
        <v>5785</v>
      </c>
    </row>
    <row r="631" spans="1:27" x14ac:dyDescent="0.3">
      <c r="A631" t="s">
        <v>2344</v>
      </c>
      <c r="B631" t="s">
        <v>2263</v>
      </c>
      <c r="C631" t="s">
        <v>52</v>
      </c>
      <c r="D631" t="s">
        <v>2345</v>
      </c>
      <c r="E631" s="13" t="s">
        <v>1317</v>
      </c>
      <c r="G631" s="2">
        <v>57</v>
      </c>
      <c r="H631">
        <v>82</v>
      </c>
      <c r="I631">
        <v>59</v>
      </c>
      <c r="J631" t="s">
        <v>27</v>
      </c>
      <c r="K631">
        <v>82</v>
      </c>
      <c r="L631" t="s">
        <v>28</v>
      </c>
      <c r="M631" s="12">
        <v>8</v>
      </c>
      <c r="N631" s="3">
        <f>G631*M631</f>
        <v>456</v>
      </c>
      <c r="O631" s="1">
        <v>45574</v>
      </c>
      <c r="P631" s="1">
        <v>45616</v>
      </c>
      <c r="Q631" s="1">
        <v>45454</v>
      </c>
      <c r="R631">
        <v>505</v>
      </c>
      <c r="S631">
        <v>463</v>
      </c>
      <c r="T631">
        <v>625</v>
      </c>
      <c r="U631" t="str">
        <f t="shared" si="18"/>
        <v>Safe</v>
      </c>
      <c r="V631" t="s">
        <v>2346</v>
      </c>
      <c r="W631">
        <v>44</v>
      </c>
      <c r="X631" s="3">
        <f t="shared" si="19"/>
        <v>20064</v>
      </c>
      <c r="Y631">
        <v>57</v>
      </c>
      <c r="Z631" t="s">
        <v>49</v>
      </c>
      <c r="AA631" s="3">
        <f>X631-Grocery_Inventory_and_Sales_Dat!N631</f>
        <v>19608</v>
      </c>
    </row>
    <row r="632" spans="1:27" x14ac:dyDescent="0.3">
      <c r="A632" t="s">
        <v>2347</v>
      </c>
      <c r="B632" t="s">
        <v>197</v>
      </c>
      <c r="C632" t="s">
        <v>33</v>
      </c>
      <c r="D632" t="s">
        <v>2348</v>
      </c>
      <c r="E632" s="13" t="s">
        <v>2349</v>
      </c>
      <c r="G632" s="2">
        <v>61</v>
      </c>
      <c r="H632">
        <v>22</v>
      </c>
      <c r="I632">
        <v>98</v>
      </c>
      <c r="J632" t="s">
        <v>55</v>
      </c>
      <c r="K632">
        <v>0</v>
      </c>
      <c r="L632" t="s">
        <v>41</v>
      </c>
      <c r="M632" s="12">
        <v>30</v>
      </c>
      <c r="N632" s="3">
        <f>G632*M632</f>
        <v>1830</v>
      </c>
      <c r="O632" s="1">
        <v>45476</v>
      </c>
      <c r="P632" s="1">
        <v>45332</v>
      </c>
      <c r="Q632" s="1">
        <v>45605</v>
      </c>
      <c r="R632">
        <v>603</v>
      </c>
      <c r="S632">
        <v>747</v>
      </c>
      <c r="T632">
        <v>474</v>
      </c>
      <c r="U632" t="str">
        <f t="shared" si="18"/>
        <v>Expiring Soon</v>
      </c>
      <c r="V632" t="s">
        <v>2350</v>
      </c>
      <c r="W632">
        <v>90</v>
      </c>
      <c r="X632" s="3">
        <f t="shared" si="19"/>
        <v>164700</v>
      </c>
      <c r="Y632">
        <v>11</v>
      </c>
      <c r="Z632" t="s">
        <v>49</v>
      </c>
      <c r="AA632" s="3">
        <f>X632-Grocery_Inventory_and_Sales_Dat!N632</f>
        <v>162870</v>
      </c>
    </row>
    <row r="633" spans="1:27" x14ac:dyDescent="0.3">
      <c r="A633" t="s">
        <v>2351</v>
      </c>
      <c r="B633" t="s">
        <v>225</v>
      </c>
      <c r="C633" t="s">
        <v>24</v>
      </c>
      <c r="D633" t="s">
        <v>2352</v>
      </c>
      <c r="E633" s="13" t="s">
        <v>803</v>
      </c>
      <c r="G633" s="2">
        <v>56</v>
      </c>
      <c r="H633">
        <v>28</v>
      </c>
      <c r="I633">
        <v>76</v>
      </c>
      <c r="J633" t="s">
        <v>55</v>
      </c>
      <c r="K633">
        <v>0</v>
      </c>
      <c r="L633" t="s">
        <v>41</v>
      </c>
      <c r="M633" s="12">
        <v>3</v>
      </c>
      <c r="N633" s="3">
        <f>G633*M633</f>
        <v>168</v>
      </c>
      <c r="O633" s="1">
        <v>45590</v>
      </c>
      <c r="P633" s="1">
        <v>45749</v>
      </c>
      <c r="Q633" s="1">
        <v>45537</v>
      </c>
      <c r="R633">
        <v>489</v>
      </c>
      <c r="S633">
        <v>330</v>
      </c>
      <c r="T633">
        <v>542</v>
      </c>
      <c r="U633" t="str">
        <f t="shared" si="18"/>
        <v>Expiring Soon</v>
      </c>
      <c r="V633" t="s">
        <v>2353</v>
      </c>
      <c r="W633">
        <v>93</v>
      </c>
      <c r="X633" s="3">
        <f t="shared" si="19"/>
        <v>15624</v>
      </c>
      <c r="Y633">
        <v>69</v>
      </c>
      <c r="Z633" t="s">
        <v>49</v>
      </c>
      <c r="AA633" s="3">
        <f>X633-Grocery_Inventory_and_Sales_Dat!N633</f>
        <v>15456</v>
      </c>
    </row>
    <row r="634" spans="1:27" x14ac:dyDescent="0.3">
      <c r="A634" t="s">
        <v>2354</v>
      </c>
      <c r="B634" t="s">
        <v>413</v>
      </c>
      <c r="C634" t="s">
        <v>70</v>
      </c>
      <c r="D634" t="s">
        <v>2355</v>
      </c>
      <c r="E634" s="13" t="s">
        <v>978</v>
      </c>
      <c r="G634" s="2">
        <v>21</v>
      </c>
      <c r="H634">
        <v>24</v>
      </c>
      <c r="I634">
        <v>2</v>
      </c>
      <c r="J634" t="s">
        <v>27</v>
      </c>
      <c r="K634">
        <v>24</v>
      </c>
      <c r="L634" t="s">
        <v>41</v>
      </c>
      <c r="M634" s="12">
        <v>2.35</v>
      </c>
      <c r="N634" s="3">
        <f>G634*M634</f>
        <v>49.35</v>
      </c>
      <c r="O634" s="1">
        <v>45416</v>
      </c>
      <c r="P634" s="1">
        <v>45605</v>
      </c>
      <c r="Q634" s="1">
        <v>45563</v>
      </c>
      <c r="R634">
        <v>663</v>
      </c>
      <c r="S634">
        <v>474</v>
      </c>
      <c r="T634">
        <v>516</v>
      </c>
      <c r="U634" t="str">
        <f t="shared" si="18"/>
        <v>Expiring Soon</v>
      </c>
      <c r="V634" t="s">
        <v>2356</v>
      </c>
      <c r="W634">
        <v>87</v>
      </c>
      <c r="X634" s="3">
        <f t="shared" si="19"/>
        <v>4293.45</v>
      </c>
      <c r="Y634">
        <v>36</v>
      </c>
      <c r="Z634" t="s">
        <v>43</v>
      </c>
      <c r="AA634" s="3">
        <f>X634-Grocery_Inventory_and_Sales_Dat!N634</f>
        <v>4244.0999999999995</v>
      </c>
    </row>
    <row r="635" spans="1:27" x14ac:dyDescent="0.3">
      <c r="A635" t="s">
        <v>2357</v>
      </c>
      <c r="B635" t="s">
        <v>1131</v>
      </c>
      <c r="C635" t="s">
        <v>52</v>
      </c>
      <c r="D635" t="s">
        <v>2358</v>
      </c>
      <c r="E635" s="13" t="s">
        <v>2359</v>
      </c>
      <c r="G635" s="2">
        <v>59</v>
      </c>
      <c r="H635">
        <v>29</v>
      </c>
      <c r="I635">
        <v>100</v>
      </c>
      <c r="J635" t="s">
        <v>55</v>
      </c>
      <c r="K635">
        <v>0</v>
      </c>
      <c r="L635" t="s">
        <v>41</v>
      </c>
      <c r="M635" s="12">
        <v>5.5</v>
      </c>
      <c r="N635" s="3">
        <f>G635*M635</f>
        <v>324.5</v>
      </c>
      <c r="O635" s="1">
        <v>45386</v>
      </c>
      <c r="P635" s="1">
        <v>45625</v>
      </c>
      <c r="Q635" s="1">
        <v>45658</v>
      </c>
      <c r="R635">
        <v>693</v>
      </c>
      <c r="S635">
        <v>454</v>
      </c>
      <c r="T635">
        <v>421</v>
      </c>
      <c r="U635" t="str">
        <f t="shared" si="18"/>
        <v>Expiring Soon</v>
      </c>
      <c r="V635" t="s">
        <v>2360</v>
      </c>
      <c r="W635">
        <v>74</v>
      </c>
      <c r="X635" s="3">
        <f t="shared" si="19"/>
        <v>24013</v>
      </c>
      <c r="Y635">
        <v>16</v>
      </c>
      <c r="Z635" t="s">
        <v>30</v>
      </c>
      <c r="AA635" s="3">
        <f>X635-Grocery_Inventory_and_Sales_Dat!N635</f>
        <v>23688.5</v>
      </c>
    </row>
    <row r="636" spans="1:27" x14ac:dyDescent="0.3">
      <c r="A636" t="s">
        <v>2361</v>
      </c>
      <c r="B636" t="s">
        <v>292</v>
      </c>
      <c r="C636" t="s">
        <v>33</v>
      </c>
      <c r="D636" t="s">
        <v>2362</v>
      </c>
      <c r="E636" s="13" t="s">
        <v>213</v>
      </c>
      <c r="G636" s="2">
        <v>20</v>
      </c>
      <c r="H636">
        <v>68</v>
      </c>
      <c r="I636">
        <v>20</v>
      </c>
      <c r="J636" t="s">
        <v>27</v>
      </c>
      <c r="K636">
        <v>68</v>
      </c>
      <c r="L636" t="s">
        <v>28</v>
      </c>
      <c r="M636" s="12">
        <v>12</v>
      </c>
      <c r="N636" s="3">
        <f>G636*M636</f>
        <v>240</v>
      </c>
      <c r="O636" s="1">
        <v>45901</v>
      </c>
      <c r="P636" s="1">
        <v>45389</v>
      </c>
      <c r="Q636" s="1">
        <v>45598</v>
      </c>
      <c r="R636">
        <v>178</v>
      </c>
      <c r="S636">
        <v>690</v>
      </c>
      <c r="T636">
        <v>481</v>
      </c>
      <c r="U636" t="str">
        <f t="shared" si="18"/>
        <v>Expiring Soon</v>
      </c>
      <c r="V636" t="s">
        <v>2363</v>
      </c>
      <c r="W636">
        <v>38</v>
      </c>
      <c r="X636" s="3">
        <f t="shared" si="19"/>
        <v>9120</v>
      </c>
      <c r="Y636">
        <v>51</v>
      </c>
      <c r="Z636" t="s">
        <v>49</v>
      </c>
      <c r="AA636" s="3">
        <f>X636-Grocery_Inventory_and_Sales_Dat!N636</f>
        <v>8880</v>
      </c>
    </row>
    <row r="637" spans="1:27" x14ac:dyDescent="0.3">
      <c r="A637" t="s">
        <v>2364</v>
      </c>
      <c r="B637" t="s">
        <v>94</v>
      </c>
      <c r="C637" t="s">
        <v>95</v>
      </c>
      <c r="D637" t="s">
        <v>2365</v>
      </c>
      <c r="E637" s="13" t="s">
        <v>895</v>
      </c>
      <c r="G637" s="2">
        <v>99</v>
      </c>
      <c r="H637">
        <v>6</v>
      </c>
      <c r="I637">
        <v>88</v>
      </c>
      <c r="J637" t="s">
        <v>55</v>
      </c>
      <c r="K637">
        <v>0</v>
      </c>
      <c r="L637" t="s">
        <v>41</v>
      </c>
      <c r="M637" s="12">
        <v>3</v>
      </c>
      <c r="N637" s="3">
        <f>G637*M637</f>
        <v>297</v>
      </c>
      <c r="O637" s="1">
        <v>45427</v>
      </c>
      <c r="P637" s="1">
        <v>45489</v>
      </c>
      <c r="Q637" s="1">
        <v>45640</v>
      </c>
      <c r="R637">
        <v>652</v>
      </c>
      <c r="S637">
        <v>590</v>
      </c>
      <c r="T637">
        <v>439</v>
      </c>
      <c r="U637" t="str">
        <f t="shared" si="18"/>
        <v>Expiring Soon</v>
      </c>
      <c r="V637" t="s">
        <v>2366</v>
      </c>
      <c r="W637">
        <v>49</v>
      </c>
      <c r="X637" s="3">
        <f t="shared" si="19"/>
        <v>14553</v>
      </c>
      <c r="Y637">
        <v>9</v>
      </c>
      <c r="Z637" t="s">
        <v>49</v>
      </c>
      <c r="AA637" s="3">
        <f>X637-Grocery_Inventory_and_Sales_Dat!N637</f>
        <v>14256</v>
      </c>
    </row>
    <row r="638" spans="1:27" x14ac:dyDescent="0.3">
      <c r="A638" t="s">
        <v>2367</v>
      </c>
      <c r="B638" t="s">
        <v>678</v>
      </c>
      <c r="C638" t="s">
        <v>33</v>
      </c>
      <c r="D638" t="s">
        <v>2368</v>
      </c>
      <c r="E638" s="13" t="s">
        <v>453</v>
      </c>
      <c r="G638" s="2">
        <v>24</v>
      </c>
      <c r="H638">
        <v>27</v>
      </c>
      <c r="I638">
        <v>35</v>
      </c>
      <c r="J638" t="s">
        <v>27</v>
      </c>
      <c r="K638">
        <v>27</v>
      </c>
      <c r="L638" t="s">
        <v>41</v>
      </c>
      <c r="M638" s="12">
        <v>8</v>
      </c>
      <c r="N638" s="3">
        <f>G638*M638</f>
        <v>192</v>
      </c>
      <c r="O638" s="1">
        <v>45579</v>
      </c>
      <c r="P638" s="1">
        <v>45688</v>
      </c>
      <c r="Q638" s="1">
        <v>45616</v>
      </c>
      <c r="R638">
        <v>500</v>
      </c>
      <c r="S638">
        <v>391</v>
      </c>
      <c r="T638">
        <v>463</v>
      </c>
      <c r="U638" t="str">
        <f t="shared" si="18"/>
        <v>Expiring Soon</v>
      </c>
      <c r="V638" t="s">
        <v>2369</v>
      </c>
      <c r="W638">
        <v>49</v>
      </c>
      <c r="X638" s="3">
        <f t="shared" si="19"/>
        <v>9408</v>
      </c>
      <c r="Y638">
        <v>58</v>
      </c>
      <c r="Z638" t="s">
        <v>49</v>
      </c>
      <c r="AA638" s="3">
        <f>X638-Grocery_Inventory_and_Sales_Dat!N638</f>
        <v>9216</v>
      </c>
    </row>
    <row r="639" spans="1:27" x14ac:dyDescent="0.3">
      <c r="A639" t="s">
        <v>2370</v>
      </c>
      <c r="B639" t="s">
        <v>23</v>
      </c>
      <c r="C639" t="s">
        <v>24</v>
      </c>
      <c r="D639" t="s">
        <v>2371</v>
      </c>
      <c r="E639" s="13" t="s">
        <v>562</v>
      </c>
      <c r="G639" s="2">
        <v>78</v>
      </c>
      <c r="H639">
        <v>94</v>
      </c>
      <c r="I639">
        <v>7</v>
      </c>
      <c r="J639" t="s">
        <v>27</v>
      </c>
      <c r="K639">
        <v>94</v>
      </c>
      <c r="L639" t="s">
        <v>28</v>
      </c>
      <c r="M639" s="12">
        <v>4.3499999999999996</v>
      </c>
      <c r="N639" s="3">
        <f>G639*M639</f>
        <v>339.29999999999995</v>
      </c>
      <c r="O639" s="1">
        <v>45452</v>
      </c>
      <c r="P639" s="1">
        <v>45362</v>
      </c>
      <c r="Q639" s="1">
        <v>45434</v>
      </c>
      <c r="R639">
        <v>627</v>
      </c>
      <c r="S639">
        <v>717</v>
      </c>
      <c r="T639">
        <v>645</v>
      </c>
      <c r="U639" t="str">
        <f t="shared" si="18"/>
        <v>Safe</v>
      </c>
      <c r="V639" t="s">
        <v>2372</v>
      </c>
      <c r="W639">
        <v>69</v>
      </c>
      <c r="X639" s="3">
        <f t="shared" si="19"/>
        <v>23411.699999999997</v>
      </c>
      <c r="Y639">
        <v>40</v>
      </c>
      <c r="Z639" t="s">
        <v>43</v>
      </c>
      <c r="AA639" s="3">
        <f>X639-Grocery_Inventory_and_Sales_Dat!N639</f>
        <v>23072.399999999998</v>
      </c>
    </row>
    <row r="640" spans="1:27" x14ac:dyDescent="0.3">
      <c r="A640" t="s">
        <v>2373</v>
      </c>
      <c r="B640" t="s">
        <v>80</v>
      </c>
      <c r="C640" t="s">
        <v>70</v>
      </c>
      <c r="D640" t="s">
        <v>2374</v>
      </c>
      <c r="E640" s="13" t="s">
        <v>86</v>
      </c>
      <c r="G640" s="2">
        <v>52</v>
      </c>
      <c r="H640">
        <v>31</v>
      </c>
      <c r="I640">
        <v>18</v>
      </c>
      <c r="J640" t="s">
        <v>55</v>
      </c>
      <c r="K640">
        <v>0</v>
      </c>
      <c r="L640" t="s">
        <v>41</v>
      </c>
      <c r="M640" s="12">
        <v>1</v>
      </c>
      <c r="N640" s="3">
        <f>G640*M640</f>
        <v>52</v>
      </c>
      <c r="O640" s="1">
        <v>45410</v>
      </c>
      <c r="P640" s="1">
        <v>45617</v>
      </c>
      <c r="Q640" s="1">
        <v>45690</v>
      </c>
      <c r="R640">
        <v>669</v>
      </c>
      <c r="S640">
        <v>462</v>
      </c>
      <c r="T640">
        <v>389</v>
      </c>
      <c r="U640" t="str">
        <f t="shared" si="18"/>
        <v>Expiring Soon</v>
      </c>
      <c r="V640" t="s">
        <v>2375</v>
      </c>
      <c r="W640">
        <v>77</v>
      </c>
      <c r="X640" s="3">
        <f t="shared" si="19"/>
        <v>4004</v>
      </c>
      <c r="Y640">
        <v>16</v>
      </c>
      <c r="Z640" t="s">
        <v>43</v>
      </c>
      <c r="AA640" s="3">
        <f>X640-Grocery_Inventory_and_Sales_Dat!N640</f>
        <v>3952</v>
      </c>
    </row>
    <row r="641" spans="1:27" x14ac:dyDescent="0.3">
      <c r="A641" t="s">
        <v>2376</v>
      </c>
      <c r="B641" t="s">
        <v>132</v>
      </c>
      <c r="C641" t="s">
        <v>52</v>
      </c>
      <c r="D641" t="s">
        <v>2377</v>
      </c>
      <c r="E641" s="13" t="s">
        <v>2378</v>
      </c>
      <c r="G641" s="2">
        <v>45</v>
      </c>
      <c r="H641">
        <v>70</v>
      </c>
      <c r="I641">
        <v>98</v>
      </c>
      <c r="J641" t="s">
        <v>27</v>
      </c>
      <c r="K641">
        <v>70</v>
      </c>
      <c r="L641" t="s">
        <v>28</v>
      </c>
      <c r="M641" s="12">
        <v>2.4500000000000002</v>
      </c>
      <c r="N641" s="3">
        <f>G641*M641</f>
        <v>110.25000000000001</v>
      </c>
      <c r="O641" s="1">
        <v>45573</v>
      </c>
      <c r="P641" s="1">
        <v>45500</v>
      </c>
      <c r="Q641" s="1">
        <v>45421</v>
      </c>
      <c r="R641">
        <v>506</v>
      </c>
      <c r="S641">
        <v>579</v>
      </c>
      <c r="T641">
        <v>658</v>
      </c>
      <c r="U641" t="str">
        <f t="shared" si="18"/>
        <v>Safe</v>
      </c>
      <c r="V641" t="s">
        <v>2379</v>
      </c>
      <c r="W641">
        <v>25</v>
      </c>
      <c r="X641" s="3">
        <f t="shared" si="19"/>
        <v>2756.2500000000005</v>
      </c>
      <c r="Y641">
        <v>39</v>
      </c>
      <c r="Z641" t="s">
        <v>43</v>
      </c>
      <c r="AA641" s="3">
        <f>X641-Grocery_Inventory_and_Sales_Dat!N641</f>
        <v>2646.0000000000005</v>
      </c>
    </row>
    <row r="642" spans="1:27" x14ac:dyDescent="0.3">
      <c r="A642" t="s">
        <v>2380</v>
      </c>
      <c r="B642" t="s">
        <v>1190</v>
      </c>
      <c r="C642" t="s">
        <v>52</v>
      </c>
      <c r="D642" t="s">
        <v>2381</v>
      </c>
      <c r="E642" s="13" t="s">
        <v>2382</v>
      </c>
      <c r="G642" s="2">
        <v>89</v>
      </c>
      <c r="H642">
        <v>35</v>
      </c>
      <c r="I642">
        <v>19</v>
      </c>
      <c r="J642" t="s">
        <v>55</v>
      </c>
      <c r="K642">
        <v>0</v>
      </c>
      <c r="L642" t="s">
        <v>41</v>
      </c>
      <c r="M642" s="12">
        <v>5</v>
      </c>
      <c r="N642" s="3">
        <f>G642*M642</f>
        <v>445</v>
      </c>
      <c r="O642" s="1">
        <v>45688</v>
      </c>
      <c r="P642" s="1">
        <v>45514</v>
      </c>
      <c r="Q642" s="1">
        <v>45419</v>
      </c>
      <c r="R642">
        <v>391</v>
      </c>
      <c r="S642">
        <v>565</v>
      </c>
      <c r="T642">
        <v>660</v>
      </c>
      <c r="U642" t="str">
        <f t="shared" si="18"/>
        <v>Safe</v>
      </c>
      <c r="V642" t="s">
        <v>2383</v>
      </c>
      <c r="W642">
        <v>49</v>
      </c>
      <c r="X642" s="3">
        <f t="shared" si="19"/>
        <v>21805</v>
      </c>
      <c r="Y642">
        <v>55</v>
      </c>
      <c r="Z642" t="s">
        <v>30</v>
      </c>
      <c r="AA642" s="3">
        <f>X642-Grocery_Inventory_and_Sales_Dat!N642</f>
        <v>21360</v>
      </c>
    </row>
    <row r="643" spans="1:27" x14ac:dyDescent="0.3">
      <c r="A643" t="s">
        <v>2384</v>
      </c>
      <c r="B643" t="s">
        <v>262</v>
      </c>
      <c r="C643" t="s">
        <v>52</v>
      </c>
      <c r="D643" t="s">
        <v>2385</v>
      </c>
      <c r="E643" s="13" t="s">
        <v>97</v>
      </c>
      <c r="G643" s="2">
        <v>63</v>
      </c>
      <c r="H643">
        <v>57</v>
      </c>
      <c r="I643">
        <v>11</v>
      </c>
      <c r="J643" t="s">
        <v>55</v>
      </c>
      <c r="K643">
        <v>0</v>
      </c>
      <c r="L643" t="s">
        <v>41</v>
      </c>
      <c r="M643" s="12">
        <v>5.8</v>
      </c>
      <c r="N643" s="3">
        <f>G643*M643</f>
        <v>365.4</v>
      </c>
      <c r="O643" s="1">
        <v>45962</v>
      </c>
      <c r="P643" s="1">
        <v>45649</v>
      </c>
      <c r="Q643" s="1">
        <v>45422</v>
      </c>
      <c r="R643">
        <v>117</v>
      </c>
      <c r="S643">
        <v>430</v>
      </c>
      <c r="T643">
        <v>657</v>
      </c>
      <c r="U643" t="str">
        <f t="shared" ref="U643:U706" si="20">IF(T643&lt;0,"Expired",IF(T643&lt;=550,"Expiring Soon","Safe"))</f>
        <v>Safe</v>
      </c>
      <c r="V643" t="s">
        <v>2386</v>
      </c>
      <c r="W643">
        <v>20</v>
      </c>
      <c r="X643" s="3">
        <f t="shared" ref="X643:X706" si="21">W643*N643</f>
        <v>7308</v>
      </c>
      <c r="Y643">
        <v>100</v>
      </c>
      <c r="Z643" t="s">
        <v>30</v>
      </c>
      <c r="AA643" s="3">
        <f>X643-Grocery_Inventory_and_Sales_Dat!N643</f>
        <v>6942.6</v>
      </c>
    </row>
    <row r="644" spans="1:27" x14ac:dyDescent="0.3">
      <c r="A644" t="s">
        <v>2387</v>
      </c>
      <c r="B644" t="s">
        <v>38</v>
      </c>
      <c r="C644" t="s">
        <v>24</v>
      </c>
      <c r="D644" t="s">
        <v>2388</v>
      </c>
      <c r="E644" s="13" t="s">
        <v>1665</v>
      </c>
      <c r="G644" s="2">
        <v>49</v>
      </c>
      <c r="H644">
        <v>3</v>
      </c>
      <c r="I644">
        <v>7</v>
      </c>
      <c r="J644" t="s">
        <v>55</v>
      </c>
      <c r="K644">
        <v>0</v>
      </c>
      <c r="L644" t="s">
        <v>41</v>
      </c>
      <c r="M644" s="12">
        <v>6.25</v>
      </c>
      <c r="N644" s="3">
        <f>G644*M644</f>
        <v>306.25</v>
      </c>
      <c r="O644" s="1">
        <v>45554</v>
      </c>
      <c r="P644" s="1">
        <v>45596</v>
      </c>
      <c r="Q644" s="1">
        <v>45364</v>
      </c>
      <c r="R644">
        <v>525</v>
      </c>
      <c r="S644">
        <v>483</v>
      </c>
      <c r="T644">
        <v>715</v>
      </c>
      <c r="U644" t="str">
        <f t="shared" si="20"/>
        <v>Safe</v>
      </c>
      <c r="V644" t="s">
        <v>2389</v>
      </c>
      <c r="W644">
        <v>75</v>
      </c>
      <c r="X644" s="3">
        <f t="shared" si="21"/>
        <v>22968.75</v>
      </c>
      <c r="Y644">
        <v>46</v>
      </c>
      <c r="Z644" t="s">
        <v>43</v>
      </c>
      <c r="AA644" s="3">
        <f>X644-Grocery_Inventory_and_Sales_Dat!N644</f>
        <v>22662.5</v>
      </c>
    </row>
    <row r="645" spans="1:27" x14ac:dyDescent="0.3">
      <c r="A645" t="s">
        <v>2390</v>
      </c>
      <c r="B645" t="s">
        <v>678</v>
      </c>
      <c r="C645" t="s">
        <v>33</v>
      </c>
      <c r="D645" t="s">
        <v>2391</v>
      </c>
      <c r="E645" s="13" t="s">
        <v>491</v>
      </c>
      <c r="G645" s="2">
        <v>26</v>
      </c>
      <c r="H645">
        <v>59</v>
      </c>
      <c r="I645">
        <v>54</v>
      </c>
      <c r="J645" t="s">
        <v>27</v>
      </c>
      <c r="K645">
        <v>59</v>
      </c>
      <c r="L645" t="s">
        <v>41</v>
      </c>
      <c r="M645" s="12">
        <v>8</v>
      </c>
      <c r="N645" s="3">
        <f>G645*M645</f>
        <v>208</v>
      </c>
      <c r="O645" s="1">
        <v>45573</v>
      </c>
      <c r="P645" s="1">
        <v>45620</v>
      </c>
      <c r="Q645" s="1">
        <v>45370</v>
      </c>
      <c r="R645">
        <v>506</v>
      </c>
      <c r="S645">
        <v>459</v>
      </c>
      <c r="T645">
        <v>709</v>
      </c>
      <c r="U645" t="str">
        <f t="shared" si="20"/>
        <v>Safe</v>
      </c>
      <c r="V645" t="s">
        <v>2392</v>
      </c>
      <c r="W645">
        <v>92</v>
      </c>
      <c r="X645" s="3">
        <f t="shared" si="21"/>
        <v>19136</v>
      </c>
      <c r="Y645">
        <v>49</v>
      </c>
      <c r="Z645" t="s">
        <v>49</v>
      </c>
      <c r="AA645" s="3">
        <f>X645-Grocery_Inventory_and_Sales_Dat!N645</f>
        <v>18928</v>
      </c>
    </row>
    <row r="646" spans="1:27" x14ac:dyDescent="0.3">
      <c r="A646" t="s">
        <v>2393</v>
      </c>
      <c r="B646" t="s">
        <v>163</v>
      </c>
      <c r="C646" t="s">
        <v>70</v>
      </c>
      <c r="D646" t="s">
        <v>2394</v>
      </c>
      <c r="E646" s="13" t="s">
        <v>2395</v>
      </c>
      <c r="G646" s="2">
        <v>93</v>
      </c>
      <c r="H646">
        <v>68</v>
      </c>
      <c r="I646">
        <v>71</v>
      </c>
      <c r="J646" t="s">
        <v>55</v>
      </c>
      <c r="K646">
        <v>0</v>
      </c>
      <c r="L646" t="s">
        <v>41</v>
      </c>
      <c r="M646" s="12">
        <v>0.8</v>
      </c>
      <c r="N646" s="3">
        <f>G646*M646</f>
        <v>74.400000000000006</v>
      </c>
      <c r="O646" s="1">
        <v>45902</v>
      </c>
      <c r="P646" s="1">
        <v>45599</v>
      </c>
      <c r="Q646" s="1">
        <v>45552</v>
      </c>
      <c r="R646">
        <v>177</v>
      </c>
      <c r="S646">
        <v>480</v>
      </c>
      <c r="T646">
        <v>527</v>
      </c>
      <c r="U646" t="str">
        <f t="shared" si="20"/>
        <v>Expiring Soon</v>
      </c>
      <c r="V646" t="s">
        <v>2396</v>
      </c>
      <c r="W646">
        <v>30</v>
      </c>
      <c r="X646" s="3">
        <f t="shared" si="21"/>
        <v>2232</v>
      </c>
      <c r="Y646">
        <v>37</v>
      </c>
      <c r="Z646" t="s">
        <v>30</v>
      </c>
      <c r="AA646" s="3">
        <f>X646-Grocery_Inventory_and_Sales_Dat!N646</f>
        <v>2157.6</v>
      </c>
    </row>
    <row r="647" spans="1:27" x14ac:dyDescent="0.3">
      <c r="A647" t="s">
        <v>2397</v>
      </c>
      <c r="B647" t="s">
        <v>1211</v>
      </c>
      <c r="C647" t="s">
        <v>52</v>
      </c>
      <c r="D647" t="s">
        <v>2398</v>
      </c>
      <c r="E647" s="13" t="s">
        <v>47</v>
      </c>
      <c r="G647" s="2">
        <v>81</v>
      </c>
      <c r="H647">
        <v>16</v>
      </c>
      <c r="I647">
        <v>69</v>
      </c>
      <c r="J647" t="s">
        <v>55</v>
      </c>
      <c r="K647">
        <v>0</v>
      </c>
      <c r="L647" t="s">
        <v>41</v>
      </c>
      <c r="M647" s="12">
        <v>4.3</v>
      </c>
      <c r="N647" s="3">
        <f>G647*M647</f>
        <v>348.3</v>
      </c>
      <c r="O647" s="1">
        <v>45809</v>
      </c>
      <c r="P647" s="1">
        <v>45390</v>
      </c>
      <c r="Q647" s="1">
        <v>45498</v>
      </c>
      <c r="R647">
        <v>270</v>
      </c>
      <c r="S647">
        <v>689</v>
      </c>
      <c r="T647">
        <v>581</v>
      </c>
      <c r="U647" t="str">
        <f t="shared" si="20"/>
        <v>Safe</v>
      </c>
      <c r="V647" t="s">
        <v>2399</v>
      </c>
      <c r="W647">
        <v>23</v>
      </c>
      <c r="X647" s="3">
        <f t="shared" si="21"/>
        <v>8010.9000000000005</v>
      </c>
      <c r="Y647">
        <v>96</v>
      </c>
      <c r="Z647" t="s">
        <v>43</v>
      </c>
      <c r="AA647" s="3">
        <f>X647-Grocery_Inventory_and_Sales_Dat!N647</f>
        <v>7662.6</v>
      </c>
    </row>
    <row r="648" spans="1:27" x14ac:dyDescent="0.3">
      <c r="A648" t="s">
        <v>2400</v>
      </c>
      <c r="B648" t="s">
        <v>369</v>
      </c>
      <c r="C648" t="s">
        <v>70</v>
      </c>
      <c r="D648" t="s">
        <v>2401</v>
      </c>
      <c r="E648" s="13" t="s">
        <v>1267</v>
      </c>
      <c r="G648" s="2">
        <v>74</v>
      </c>
      <c r="H648">
        <v>60</v>
      </c>
      <c r="I648">
        <v>27</v>
      </c>
      <c r="J648" t="s">
        <v>55</v>
      </c>
      <c r="K648">
        <v>0</v>
      </c>
      <c r="L648" t="s">
        <v>41</v>
      </c>
      <c r="M648" s="12">
        <v>4</v>
      </c>
      <c r="N648" s="3">
        <f>G648*M648</f>
        <v>296</v>
      </c>
      <c r="O648" s="1">
        <v>45460</v>
      </c>
      <c r="P648" s="1">
        <v>45434</v>
      </c>
      <c r="Q648" s="1">
        <v>45613</v>
      </c>
      <c r="R648">
        <v>619</v>
      </c>
      <c r="S648">
        <v>645</v>
      </c>
      <c r="T648">
        <v>466</v>
      </c>
      <c r="U648" t="str">
        <f t="shared" si="20"/>
        <v>Expiring Soon</v>
      </c>
      <c r="V648" t="s">
        <v>2402</v>
      </c>
      <c r="W648">
        <v>99</v>
      </c>
      <c r="X648" s="3">
        <f t="shared" si="21"/>
        <v>29304</v>
      </c>
      <c r="Y648">
        <v>68</v>
      </c>
      <c r="Z648" t="s">
        <v>43</v>
      </c>
      <c r="AA648" s="3">
        <f>X648-Grocery_Inventory_and_Sales_Dat!N648</f>
        <v>29008</v>
      </c>
    </row>
    <row r="649" spans="1:27" x14ac:dyDescent="0.3">
      <c r="A649" t="s">
        <v>2403</v>
      </c>
      <c r="B649" t="s">
        <v>322</v>
      </c>
      <c r="C649" t="s">
        <v>33</v>
      </c>
      <c r="D649" t="s">
        <v>2404</v>
      </c>
      <c r="E649" s="13" t="s">
        <v>134</v>
      </c>
      <c r="G649" s="2">
        <v>19</v>
      </c>
      <c r="H649">
        <v>78</v>
      </c>
      <c r="I649">
        <v>90</v>
      </c>
      <c r="J649" t="s">
        <v>27</v>
      </c>
      <c r="K649">
        <v>78</v>
      </c>
      <c r="L649" t="s">
        <v>28</v>
      </c>
      <c r="M649" s="12">
        <v>5</v>
      </c>
      <c r="N649" s="3">
        <f>G649*M649</f>
        <v>95</v>
      </c>
      <c r="O649" s="1">
        <v>45650</v>
      </c>
      <c r="P649" s="1">
        <v>45397</v>
      </c>
      <c r="Q649" s="1">
        <v>45502</v>
      </c>
      <c r="R649">
        <v>429</v>
      </c>
      <c r="S649">
        <v>682</v>
      </c>
      <c r="T649">
        <v>577</v>
      </c>
      <c r="U649" t="str">
        <f t="shared" si="20"/>
        <v>Safe</v>
      </c>
      <c r="V649" t="s">
        <v>2405</v>
      </c>
      <c r="W649">
        <v>72</v>
      </c>
      <c r="X649" s="3">
        <f t="shared" si="21"/>
        <v>6840</v>
      </c>
      <c r="Y649">
        <v>84</v>
      </c>
      <c r="Z649" t="s">
        <v>30</v>
      </c>
      <c r="AA649" s="3">
        <f>X649-Grocery_Inventory_and_Sales_Dat!N649</f>
        <v>6745</v>
      </c>
    </row>
    <row r="650" spans="1:27" x14ac:dyDescent="0.3">
      <c r="A650" t="s">
        <v>2406</v>
      </c>
      <c r="B650" t="s">
        <v>225</v>
      </c>
      <c r="C650" t="s">
        <v>24</v>
      </c>
      <c r="D650" t="s">
        <v>2407</v>
      </c>
      <c r="E650" s="13" t="s">
        <v>913</v>
      </c>
      <c r="G650" s="2">
        <v>64</v>
      </c>
      <c r="H650">
        <v>97</v>
      </c>
      <c r="I650">
        <v>91</v>
      </c>
      <c r="J650" t="s">
        <v>27</v>
      </c>
      <c r="K650">
        <v>97</v>
      </c>
      <c r="L650" t="s">
        <v>28</v>
      </c>
      <c r="M650" s="12">
        <v>3</v>
      </c>
      <c r="N650" s="3">
        <f>G650*M650</f>
        <v>192</v>
      </c>
      <c r="O650" s="1">
        <v>45621</v>
      </c>
      <c r="P650" s="1">
        <v>45524</v>
      </c>
      <c r="Q650" s="1">
        <v>45506</v>
      </c>
      <c r="R650">
        <v>458</v>
      </c>
      <c r="S650">
        <v>555</v>
      </c>
      <c r="T650">
        <v>573</v>
      </c>
      <c r="U650" t="str">
        <f t="shared" si="20"/>
        <v>Safe</v>
      </c>
      <c r="V650" t="s">
        <v>2408</v>
      </c>
      <c r="W650">
        <v>48</v>
      </c>
      <c r="X650" s="3">
        <f t="shared" si="21"/>
        <v>9216</v>
      </c>
      <c r="Y650">
        <v>100</v>
      </c>
      <c r="Z650" t="s">
        <v>49</v>
      </c>
      <c r="AA650" s="3">
        <f>X650-Grocery_Inventory_and_Sales_Dat!N650</f>
        <v>9024</v>
      </c>
    </row>
    <row r="651" spans="1:27" x14ac:dyDescent="0.3">
      <c r="A651" t="s">
        <v>2409</v>
      </c>
      <c r="B651" t="s">
        <v>374</v>
      </c>
      <c r="C651" t="s">
        <v>52</v>
      </c>
      <c r="D651" t="s">
        <v>2410</v>
      </c>
      <c r="E651" s="13" t="s">
        <v>1114</v>
      </c>
      <c r="G651" s="2">
        <v>49</v>
      </c>
      <c r="H651">
        <v>93</v>
      </c>
      <c r="I651">
        <v>15</v>
      </c>
      <c r="J651" t="s">
        <v>27</v>
      </c>
      <c r="K651">
        <v>93</v>
      </c>
      <c r="L651" t="s">
        <v>28</v>
      </c>
      <c r="M651" s="12">
        <v>4.5</v>
      </c>
      <c r="N651" s="3">
        <f>G651*M651</f>
        <v>220.5</v>
      </c>
      <c r="O651" s="1">
        <v>45409</v>
      </c>
      <c r="P651" s="1">
        <v>45296</v>
      </c>
      <c r="Q651" s="1">
        <v>45409</v>
      </c>
      <c r="R651">
        <v>670</v>
      </c>
      <c r="S651">
        <v>783</v>
      </c>
      <c r="T651">
        <v>670</v>
      </c>
      <c r="U651" t="str">
        <f t="shared" si="20"/>
        <v>Safe</v>
      </c>
      <c r="V651" t="s">
        <v>2411</v>
      </c>
      <c r="W651">
        <v>52</v>
      </c>
      <c r="X651" s="3">
        <f t="shared" si="21"/>
        <v>11466</v>
      </c>
      <c r="Y651">
        <v>31</v>
      </c>
      <c r="Z651" t="s">
        <v>43</v>
      </c>
      <c r="AA651" s="3">
        <f>X651-Grocery_Inventory_and_Sales_Dat!N651</f>
        <v>11245.5</v>
      </c>
    </row>
    <row r="652" spans="1:27" x14ac:dyDescent="0.3">
      <c r="A652" t="s">
        <v>2412</v>
      </c>
      <c r="B652" t="s">
        <v>153</v>
      </c>
      <c r="C652" t="s">
        <v>70</v>
      </c>
      <c r="D652" t="s">
        <v>2413</v>
      </c>
      <c r="E652" s="13" t="s">
        <v>1872</v>
      </c>
      <c r="G652" s="2">
        <v>99</v>
      </c>
      <c r="H652">
        <v>10</v>
      </c>
      <c r="I652">
        <v>88</v>
      </c>
      <c r="J652" t="s">
        <v>55</v>
      </c>
      <c r="K652">
        <v>0</v>
      </c>
      <c r="L652" t="s">
        <v>41</v>
      </c>
      <c r="M652" s="12">
        <v>12</v>
      </c>
      <c r="N652" s="3">
        <f>G652*M652</f>
        <v>1188</v>
      </c>
      <c r="O652" s="1">
        <v>45487</v>
      </c>
      <c r="P652" s="1">
        <v>45424</v>
      </c>
      <c r="Q652" s="1">
        <v>45677</v>
      </c>
      <c r="R652">
        <v>592</v>
      </c>
      <c r="S652">
        <v>655</v>
      </c>
      <c r="T652">
        <v>402</v>
      </c>
      <c r="U652" t="str">
        <f t="shared" si="20"/>
        <v>Expiring Soon</v>
      </c>
      <c r="V652" t="s">
        <v>2414</v>
      </c>
      <c r="W652">
        <v>69</v>
      </c>
      <c r="X652" s="3">
        <f t="shared" si="21"/>
        <v>81972</v>
      </c>
      <c r="Y652">
        <v>98</v>
      </c>
      <c r="Z652" t="s">
        <v>49</v>
      </c>
      <c r="AA652" s="3">
        <f>X652-Grocery_Inventory_and_Sales_Dat!N652</f>
        <v>80784</v>
      </c>
    </row>
    <row r="653" spans="1:27" x14ac:dyDescent="0.3">
      <c r="A653" t="s">
        <v>2415</v>
      </c>
      <c r="B653" t="s">
        <v>635</v>
      </c>
      <c r="C653" t="s">
        <v>70</v>
      </c>
      <c r="D653" t="s">
        <v>2416</v>
      </c>
      <c r="E653" s="13" t="s">
        <v>836</v>
      </c>
      <c r="G653" s="2">
        <v>60</v>
      </c>
      <c r="H653">
        <v>1</v>
      </c>
      <c r="I653">
        <v>42</v>
      </c>
      <c r="J653" t="s">
        <v>55</v>
      </c>
      <c r="K653">
        <v>0</v>
      </c>
      <c r="L653" t="s">
        <v>41</v>
      </c>
      <c r="M653" s="12">
        <v>2.4500000000000002</v>
      </c>
      <c r="N653" s="3">
        <f>G653*M653</f>
        <v>147</v>
      </c>
      <c r="O653" s="1">
        <v>45612</v>
      </c>
      <c r="P653" s="1">
        <v>45531</v>
      </c>
      <c r="Q653" s="1">
        <v>45580</v>
      </c>
      <c r="R653">
        <v>467</v>
      </c>
      <c r="S653">
        <v>548</v>
      </c>
      <c r="T653">
        <v>499</v>
      </c>
      <c r="U653" t="str">
        <f t="shared" si="20"/>
        <v>Expiring Soon</v>
      </c>
      <c r="V653" t="s">
        <v>2417</v>
      </c>
      <c r="W653">
        <v>42</v>
      </c>
      <c r="X653" s="3">
        <f t="shared" si="21"/>
        <v>6174</v>
      </c>
      <c r="Y653">
        <v>91</v>
      </c>
      <c r="Z653" t="s">
        <v>49</v>
      </c>
      <c r="AA653" s="3">
        <f>X653-Grocery_Inventory_and_Sales_Dat!N653</f>
        <v>6027</v>
      </c>
    </row>
    <row r="654" spans="1:27" x14ac:dyDescent="0.3">
      <c r="A654" t="s">
        <v>2418</v>
      </c>
      <c r="B654" t="s">
        <v>148</v>
      </c>
      <c r="C654" t="s">
        <v>52</v>
      </c>
      <c r="D654" t="s">
        <v>2419</v>
      </c>
      <c r="E654" s="13" t="s">
        <v>487</v>
      </c>
      <c r="G654" s="2">
        <v>90</v>
      </c>
      <c r="H654">
        <v>1</v>
      </c>
      <c r="I654">
        <v>40</v>
      </c>
      <c r="J654" t="s">
        <v>55</v>
      </c>
      <c r="K654">
        <v>0</v>
      </c>
      <c r="L654" t="s">
        <v>41</v>
      </c>
      <c r="M654" s="12">
        <v>0.9</v>
      </c>
      <c r="N654" s="3">
        <f>G654*M654</f>
        <v>81</v>
      </c>
      <c r="O654" s="1">
        <v>45585</v>
      </c>
      <c r="P654" s="1">
        <v>45962</v>
      </c>
      <c r="Q654" s="1">
        <v>45704</v>
      </c>
      <c r="R654">
        <v>494</v>
      </c>
      <c r="S654">
        <v>117</v>
      </c>
      <c r="T654">
        <v>375</v>
      </c>
      <c r="U654" t="str">
        <f t="shared" si="20"/>
        <v>Expiring Soon</v>
      </c>
      <c r="V654" t="s">
        <v>2420</v>
      </c>
      <c r="W654">
        <v>52</v>
      </c>
      <c r="X654" s="3">
        <f t="shared" si="21"/>
        <v>4212</v>
      </c>
      <c r="Y654">
        <v>19</v>
      </c>
      <c r="Z654" t="s">
        <v>30</v>
      </c>
      <c r="AA654" s="3">
        <f>X654-Grocery_Inventory_and_Sales_Dat!N654</f>
        <v>4131</v>
      </c>
    </row>
    <row r="655" spans="1:27" x14ac:dyDescent="0.3">
      <c r="A655" t="s">
        <v>2421</v>
      </c>
      <c r="B655" t="s">
        <v>202</v>
      </c>
      <c r="C655" t="s">
        <v>138</v>
      </c>
      <c r="D655" t="s">
        <v>2422</v>
      </c>
      <c r="E655" s="13" t="s">
        <v>227</v>
      </c>
      <c r="G655" s="2">
        <v>79</v>
      </c>
      <c r="H655">
        <v>53</v>
      </c>
      <c r="I655">
        <v>12</v>
      </c>
      <c r="J655" t="s">
        <v>55</v>
      </c>
      <c r="K655">
        <v>0</v>
      </c>
      <c r="L655" t="s">
        <v>41</v>
      </c>
      <c r="M655" s="12">
        <v>9</v>
      </c>
      <c r="N655" s="3">
        <f>G655*M655</f>
        <v>711</v>
      </c>
      <c r="O655" s="1">
        <v>45522</v>
      </c>
      <c r="P655" s="1">
        <v>45441</v>
      </c>
      <c r="Q655" s="1">
        <v>45667</v>
      </c>
      <c r="R655">
        <v>557</v>
      </c>
      <c r="S655">
        <v>638</v>
      </c>
      <c r="T655">
        <v>412</v>
      </c>
      <c r="U655" t="str">
        <f t="shared" si="20"/>
        <v>Expiring Soon</v>
      </c>
      <c r="V655" t="s">
        <v>2423</v>
      </c>
      <c r="W655">
        <v>45</v>
      </c>
      <c r="X655" s="3">
        <f t="shared" si="21"/>
        <v>31995</v>
      </c>
      <c r="Y655">
        <v>95</v>
      </c>
      <c r="Z655" t="s">
        <v>30</v>
      </c>
      <c r="AA655" s="3">
        <f>X655-Grocery_Inventory_and_Sales_Dat!N655</f>
        <v>31284</v>
      </c>
    </row>
    <row r="656" spans="1:27" x14ac:dyDescent="0.3">
      <c r="A656" t="s">
        <v>2424</v>
      </c>
      <c r="B656" t="s">
        <v>2294</v>
      </c>
      <c r="C656" t="s">
        <v>70</v>
      </c>
      <c r="D656" t="s">
        <v>2425</v>
      </c>
      <c r="E656" s="13" t="s">
        <v>736</v>
      </c>
      <c r="G656" s="2">
        <v>22</v>
      </c>
      <c r="H656">
        <v>58</v>
      </c>
      <c r="I656">
        <v>2</v>
      </c>
      <c r="J656" t="s">
        <v>27</v>
      </c>
      <c r="K656">
        <v>58</v>
      </c>
      <c r="L656" t="s">
        <v>41</v>
      </c>
      <c r="M656" s="12">
        <v>0.2</v>
      </c>
      <c r="N656" s="3">
        <f>G656*M656</f>
        <v>4.4000000000000004</v>
      </c>
      <c r="O656" s="1">
        <v>45840</v>
      </c>
      <c r="P656" s="1">
        <v>45471</v>
      </c>
      <c r="Q656" s="1">
        <v>45610</v>
      </c>
      <c r="R656">
        <v>239</v>
      </c>
      <c r="S656">
        <v>608</v>
      </c>
      <c r="T656">
        <v>469</v>
      </c>
      <c r="U656" t="str">
        <f t="shared" si="20"/>
        <v>Expiring Soon</v>
      </c>
      <c r="V656" t="s">
        <v>2426</v>
      </c>
      <c r="W656">
        <v>33</v>
      </c>
      <c r="X656" s="3">
        <f t="shared" si="21"/>
        <v>145.20000000000002</v>
      </c>
      <c r="Y656">
        <v>68</v>
      </c>
      <c r="Z656" t="s">
        <v>49</v>
      </c>
      <c r="AA656" s="3">
        <f>X656-Grocery_Inventory_and_Sales_Dat!N656</f>
        <v>140.80000000000001</v>
      </c>
    </row>
    <row r="657" spans="1:27" x14ac:dyDescent="0.3">
      <c r="A657" t="s">
        <v>2427</v>
      </c>
      <c r="B657" t="s">
        <v>1151</v>
      </c>
      <c r="C657" t="s">
        <v>24</v>
      </c>
      <c r="D657" t="s">
        <v>2428</v>
      </c>
      <c r="E657" s="13" t="s">
        <v>1121</v>
      </c>
      <c r="G657" s="2">
        <v>51</v>
      </c>
      <c r="H657">
        <v>47</v>
      </c>
      <c r="I657">
        <v>6</v>
      </c>
      <c r="J657" t="s">
        <v>55</v>
      </c>
      <c r="K657">
        <v>0</v>
      </c>
      <c r="L657" t="s">
        <v>41</v>
      </c>
      <c r="M657" s="12">
        <v>2.5</v>
      </c>
      <c r="N657" s="3">
        <f>G657*M657</f>
        <v>127.5</v>
      </c>
      <c r="O657" s="1">
        <v>45619</v>
      </c>
      <c r="P657" s="1">
        <v>45604</v>
      </c>
      <c r="Q657" s="1">
        <v>45461</v>
      </c>
      <c r="R657">
        <v>460</v>
      </c>
      <c r="S657">
        <v>475</v>
      </c>
      <c r="T657">
        <v>618</v>
      </c>
      <c r="U657" t="str">
        <f t="shared" si="20"/>
        <v>Safe</v>
      </c>
      <c r="V657" t="s">
        <v>2429</v>
      </c>
      <c r="W657">
        <v>53</v>
      </c>
      <c r="X657" s="3">
        <f t="shared" si="21"/>
        <v>6757.5</v>
      </c>
      <c r="Y657">
        <v>4</v>
      </c>
      <c r="Z657" t="s">
        <v>43</v>
      </c>
      <c r="AA657" s="3">
        <f>X657-Grocery_Inventory_and_Sales_Dat!N657</f>
        <v>6630</v>
      </c>
    </row>
    <row r="658" spans="1:27" x14ac:dyDescent="0.3">
      <c r="A658" t="s">
        <v>2430</v>
      </c>
      <c r="B658" t="s">
        <v>32</v>
      </c>
      <c r="C658" t="s">
        <v>33</v>
      </c>
      <c r="D658" t="s">
        <v>2431</v>
      </c>
      <c r="E658" s="13" t="s">
        <v>722</v>
      </c>
      <c r="G658" s="2">
        <v>65</v>
      </c>
      <c r="H658">
        <v>63</v>
      </c>
      <c r="I658">
        <v>41</v>
      </c>
      <c r="J658" t="s">
        <v>55</v>
      </c>
      <c r="K658">
        <v>0</v>
      </c>
      <c r="L658" t="s">
        <v>41</v>
      </c>
      <c r="M658" s="12">
        <v>20</v>
      </c>
      <c r="N658" s="3">
        <f>G658*M658</f>
        <v>1300</v>
      </c>
      <c r="O658" s="1">
        <v>45326</v>
      </c>
      <c r="P658" s="1">
        <v>45839</v>
      </c>
      <c r="Q658" s="1">
        <v>45380</v>
      </c>
      <c r="R658">
        <v>753</v>
      </c>
      <c r="S658">
        <v>240</v>
      </c>
      <c r="T658">
        <v>699</v>
      </c>
      <c r="U658" t="str">
        <f t="shared" si="20"/>
        <v>Safe</v>
      </c>
      <c r="V658" t="s">
        <v>2432</v>
      </c>
      <c r="W658">
        <v>28</v>
      </c>
      <c r="X658" s="3">
        <f t="shared" si="21"/>
        <v>36400</v>
      </c>
      <c r="Y658">
        <v>26</v>
      </c>
      <c r="Z658" t="s">
        <v>43</v>
      </c>
      <c r="AA658" s="3">
        <f>X658-Grocery_Inventory_and_Sales_Dat!N658</f>
        <v>35100</v>
      </c>
    </row>
    <row r="659" spans="1:27" x14ac:dyDescent="0.3">
      <c r="A659" t="s">
        <v>2433</v>
      </c>
      <c r="B659" t="s">
        <v>502</v>
      </c>
      <c r="C659" t="s">
        <v>70</v>
      </c>
      <c r="D659" t="s">
        <v>2434</v>
      </c>
      <c r="E659" s="13" t="s">
        <v>1166</v>
      </c>
      <c r="G659" s="2">
        <v>55</v>
      </c>
      <c r="H659">
        <v>25</v>
      </c>
      <c r="I659">
        <v>87</v>
      </c>
      <c r="J659" t="s">
        <v>55</v>
      </c>
      <c r="K659">
        <v>0</v>
      </c>
      <c r="L659" t="s">
        <v>41</v>
      </c>
      <c r="M659" s="12">
        <v>4</v>
      </c>
      <c r="N659" s="3">
        <f>G659*M659</f>
        <v>220</v>
      </c>
      <c r="O659" s="1">
        <v>45425</v>
      </c>
      <c r="P659" s="1">
        <v>45325</v>
      </c>
      <c r="Q659" s="1">
        <v>45686</v>
      </c>
      <c r="R659">
        <v>654</v>
      </c>
      <c r="S659">
        <v>754</v>
      </c>
      <c r="T659">
        <v>393</v>
      </c>
      <c r="U659" t="str">
        <f t="shared" si="20"/>
        <v>Expiring Soon</v>
      </c>
      <c r="V659" t="s">
        <v>2435</v>
      </c>
      <c r="W659">
        <v>69</v>
      </c>
      <c r="X659" s="3">
        <f t="shared" si="21"/>
        <v>15180</v>
      </c>
      <c r="Y659">
        <v>48</v>
      </c>
      <c r="Z659" t="s">
        <v>43</v>
      </c>
      <c r="AA659" s="3">
        <f>X659-Grocery_Inventory_and_Sales_Dat!N659</f>
        <v>14960</v>
      </c>
    </row>
    <row r="660" spans="1:27" x14ac:dyDescent="0.3">
      <c r="A660" t="s">
        <v>2436</v>
      </c>
      <c r="B660" t="s">
        <v>595</v>
      </c>
      <c r="C660" t="s">
        <v>24</v>
      </c>
      <c r="D660" t="s">
        <v>2437</v>
      </c>
      <c r="E660" s="13" t="s">
        <v>1030</v>
      </c>
      <c r="G660" s="2">
        <v>18</v>
      </c>
      <c r="H660">
        <v>86</v>
      </c>
      <c r="I660">
        <v>20</v>
      </c>
      <c r="J660" t="s">
        <v>27</v>
      </c>
      <c r="K660">
        <v>86</v>
      </c>
      <c r="L660" t="s">
        <v>28</v>
      </c>
      <c r="M660" s="12">
        <v>1.8</v>
      </c>
      <c r="N660" s="3">
        <f>G660*M660</f>
        <v>32.4</v>
      </c>
      <c r="O660" s="1">
        <v>45652</v>
      </c>
      <c r="P660" s="1">
        <v>45394</v>
      </c>
      <c r="Q660" s="1">
        <v>45625</v>
      </c>
      <c r="R660">
        <v>427</v>
      </c>
      <c r="S660">
        <v>685</v>
      </c>
      <c r="T660">
        <v>454</v>
      </c>
      <c r="U660" t="str">
        <f t="shared" si="20"/>
        <v>Expiring Soon</v>
      </c>
      <c r="V660" t="s">
        <v>2438</v>
      </c>
      <c r="W660">
        <v>64</v>
      </c>
      <c r="X660" s="3">
        <f t="shared" si="21"/>
        <v>2073.6</v>
      </c>
      <c r="Y660">
        <v>34</v>
      </c>
      <c r="Z660" t="s">
        <v>30</v>
      </c>
      <c r="AA660" s="3">
        <f>X660-Grocery_Inventory_and_Sales_Dat!N660</f>
        <v>2041.1999999999998</v>
      </c>
    </row>
    <row r="661" spans="1:27" x14ac:dyDescent="0.3">
      <c r="A661" t="s">
        <v>2439</v>
      </c>
      <c r="B661" t="s">
        <v>153</v>
      </c>
      <c r="C661" t="s">
        <v>70</v>
      </c>
      <c r="D661" t="s">
        <v>2440</v>
      </c>
      <c r="E661" s="13" t="s">
        <v>699</v>
      </c>
      <c r="G661" s="2">
        <v>37</v>
      </c>
      <c r="H661">
        <v>3</v>
      </c>
      <c r="I661">
        <v>45</v>
      </c>
      <c r="J661" t="s">
        <v>55</v>
      </c>
      <c r="K661">
        <v>0</v>
      </c>
      <c r="L661" t="s">
        <v>41</v>
      </c>
      <c r="M661" s="12">
        <v>12</v>
      </c>
      <c r="N661" s="3">
        <f>G661*M661</f>
        <v>444</v>
      </c>
      <c r="O661" s="1">
        <v>45590</v>
      </c>
      <c r="P661" s="1">
        <v>45404</v>
      </c>
      <c r="Q661" s="1">
        <v>45617</v>
      </c>
      <c r="R661">
        <v>489</v>
      </c>
      <c r="S661">
        <v>675</v>
      </c>
      <c r="T661">
        <v>462</v>
      </c>
      <c r="U661" t="str">
        <f t="shared" si="20"/>
        <v>Expiring Soon</v>
      </c>
      <c r="V661" t="s">
        <v>2441</v>
      </c>
      <c r="W661">
        <v>39</v>
      </c>
      <c r="X661" s="3">
        <f t="shared" si="21"/>
        <v>17316</v>
      </c>
      <c r="Y661">
        <v>28</v>
      </c>
      <c r="Z661" t="s">
        <v>30</v>
      </c>
      <c r="AA661" s="3">
        <f>X661-Grocery_Inventory_and_Sales_Dat!N661</f>
        <v>16872</v>
      </c>
    </row>
    <row r="662" spans="1:27" x14ac:dyDescent="0.3">
      <c r="A662" t="s">
        <v>2442</v>
      </c>
      <c r="B662" t="s">
        <v>1485</v>
      </c>
      <c r="C662" t="s">
        <v>138</v>
      </c>
      <c r="D662" t="s">
        <v>2443</v>
      </c>
      <c r="E662" s="13" t="s">
        <v>1248</v>
      </c>
      <c r="G662" s="2">
        <v>88</v>
      </c>
      <c r="H662">
        <v>40</v>
      </c>
      <c r="I662">
        <v>29</v>
      </c>
      <c r="J662" t="s">
        <v>55</v>
      </c>
      <c r="K662">
        <v>0</v>
      </c>
      <c r="L662" t="s">
        <v>41</v>
      </c>
      <c r="M662" s="12">
        <v>15</v>
      </c>
      <c r="N662" s="3">
        <f>G662*M662</f>
        <v>1320</v>
      </c>
      <c r="O662" s="1">
        <v>45712</v>
      </c>
      <c r="P662" s="1">
        <v>45467</v>
      </c>
      <c r="Q662" s="1">
        <v>45347</v>
      </c>
      <c r="R662">
        <v>367</v>
      </c>
      <c r="S662">
        <v>612</v>
      </c>
      <c r="T662">
        <v>732</v>
      </c>
      <c r="U662" t="str">
        <f t="shared" si="20"/>
        <v>Safe</v>
      </c>
      <c r="V662" t="s">
        <v>2444</v>
      </c>
      <c r="W662">
        <v>96</v>
      </c>
      <c r="X662" s="3">
        <f t="shared" si="21"/>
        <v>126720</v>
      </c>
      <c r="Y662">
        <v>87</v>
      </c>
      <c r="Z662" t="s">
        <v>30</v>
      </c>
      <c r="AA662" s="3">
        <f>X662-Grocery_Inventory_and_Sales_Dat!N662</f>
        <v>125400</v>
      </c>
    </row>
    <row r="663" spans="1:27" x14ac:dyDescent="0.3">
      <c r="A663" t="s">
        <v>2445</v>
      </c>
      <c r="B663" t="s">
        <v>187</v>
      </c>
      <c r="C663" t="s">
        <v>52</v>
      </c>
      <c r="D663" t="s">
        <v>2446</v>
      </c>
      <c r="E663" s="13" t="s">
        <v>184</v>
      </c>
      <c r="G663" s="2">
        <v>20</v>
      </c>
      <c r="H663">
        <v>51</v>
      </c>
      <c r="I663">
        <v>33</v>
      </c>
      <c r="J663" t="s">
        <v>27</v>
      </c>
      <c r="K663">
        <v>51</v>
      </c>
      <c r="L663" t="s">
        <v>41</v>
      </c>
      <c r="M663" s="12">
        <v>3.5</v>
      </c>
      <c r="N663" s="3">
        <f>G663*M663</f>
        <v>70</v>
      </c>
      <c r="O663" s="1">
        <v>45355</v>
      </c>
      <c r="P663" s="1">
        <v>45681</v>
      </c>
      <c r="Q663" s="1">
        <v>45700</v>
      </c>
      <c r="R663">
        <v>724</v>
      </c>
      <c r="S663">
        <v>398</v>
      </c>
      <c r="T663">
        <v>379</v>
      </c>
      <c r="U663" t="str">
        <f t="shared" si="20"/>
        <v>Expiring Soon</v>
      </c>
      <c r="V663" t="s">
        <v>2447</v>
      </c>
      <c r="W663">
        <v>80</v>
      </c>
      <c r="X663" s="3">
        <f t="shared" si="21"/>
        <v>5600</v>
      </c>
      <c r="Y663">
        <v>41</v>
      </c>
      <c r="Z663" t="s">
        <v>49</v>
      </c>
      <c r="AA663" s="3">
        <f>X663-Grocery_Inventory_and_Sales_Dat!N663</f>
        <v>5530</v>
      </c>
    </row>
    <row r="664" spans="1:27" x14ac:dyDescent="0.3">
      <c r="A664" t="s">
        <v>2448</v>
      </c>
      <c r="B664" t="s">
        <v>114</v>
      </c>
      <c r="C664" t="s">
        <v>24</v>
      </c>
      <c r="D664" t="s">
        <v>2449</v>
      </c>
      <c r="E664" s="13" t="s">
        <v>305</v>
      </c>
      <c r="G664" s="2">
        <v>99</v>
      </c>
      <c r="H664">
        <v>54</v>
      </c>
      <c r="I664">
        <v>71</v>
      </c>
      <c r="J664" t="s">
        <v>55</v>
      </c>
      <c r="K664">
        <v>0</v>
      </c>
      <c r="L664" t="s">
        <v>41</v>
      </c>
      <c r="M664" s="12">
        <v>1.5</v>
      </c>
      <c r="N664" s="3">
        <f>G664*M664</f>
        <v>148.5</v>
      </c>
      <c r="O664" s="1">
        <v>45587</v>
      </c>
      <c r="P664" s="1">
        <v>45518</v>
      </c>
      <c r="Q664" s="1">
        <v>45617</v>
      </c>
      <c r="R664">
        <v>492</v>
      </c>
      <c r="S664">
        <v>561</v>
      </c>
      <c r="T664">
        <v>462</v>
      </c>
      <c r="U664" t="str">
        <f t="shared" si="20"/>
        <v>Expiring Soon</v>
      </c>
      <c r="V664" t="s">
        <v>2450</v>
      </c>
      <c r="W664">
        <v>80</v>
      </c>
      <c r="X664" s="3">
        <f t="shared" si="21"/>
        <v>11880</v>
      </c>
      <c r="Y664">
        <v>10</v>
      </c>
      <c r="Z664" t="s">
        <v>30</v>
      </c>
      <c r="AA664" s="3">
        <f>X664-Grocery_Inventory_and_Sales_Dat!N664</f>
        <v>11731.5</v>
      </c>
    </row>
    <row r="665" spans="1:27" x14ac:dyDescent="0.3">
      <c r="A665" t="s">
        <v>2451</v>
      </c>
      <c r="B665" t="s">
        <v>757</v>
      </c>
      <c r="C665" t="s">
        <v>52</v>
      </c>
      <c r="D665" t="s">
        <v>2452</v>
      </c>
      <c r="E665" s="13" t="s">
        <v>2453</v>
      </c>
      <c r="G665" s="2">
        <v>46</v>
      </c>
      <c r="H665">
        <v>88</v>
      </c>
      <c r="I665">
        <v>20</v>
      </c>
      <c r="J665" t="s">
        <v>27</v>
      </c>
      <c r="K665">
        <v>88</v>
      </c>
      <c r="L665" t="s">
        <v>28</v>
      </c>
      <c r="M665" s="12">
        <v>4.8</v>
      </c>
      <c r="N665" s="3">
        <f>G665*M665</f>
        <v>220.79999999999998</v>
      </c>
      <c r="O665" s="1">
        <v>45514</v>
      </c>
      <c r="P665" s="1">
        <v>45516</v>
      </c>
      <c r="Q665" s="1">
        <v>45383</v>
      </c>
      <c r="R665">
        <v>565</v>
      </c>
      <c r="S665">
        <v>563</v>
      </c>
      <c r="T665">
        <v>696</v>
      </c>
      <c r="U665" t="str">
        <f t="shared" si="20"/>
        <v>Safe</v>
      </c>
      <c r="V665" t="s">
        <v>2454</v>
      </c>
      <c r="W665">
        <v>59</v>
      </c>
      <c r="X665" s="3">
        <f t="shared" si="21"/>
        <v>13027.199999999999</v>
      </c>
      <c r="Y665">
        <v>79</v>
      </c>
      <c r="Z665" t="s">
        <v>43</v>
      </c>
      <c r="AA665" s="3">
        <f>X665-Grocery_Inventory_and_Sales_Dat!N665</f>
        <v>12806.4</v>
      </c>
    </row>
    <row r="666" spans="1:27" x14ac:dyDescent="0.3">
      <c r="A666" t="s">
        <v>2455</v>
      </c>
      <c r="B666" t="s">
        <v>1474</v>
      </c>
      <c r="C666" t="s">
        <v>24</v>
      </c>
      <c r="D666" t="s">
        <v>2456</v>
      </c>
      <c r="E666" s="13" t="s">
        <v>2083</v>
      </c>
      <c r="G666" s="2">
        <v>19</v>
      </c>
      <c r="H666">
        <v>77</v>
      </c>
      <c r="I666">
        <v>66</v>
      </c>
      <c r="J666" t="s">
        <v>27</v>
      </c>
      <c r="K666">
        <v>77</v>
      </c>
      <c r="L666" t="s">
        <v>28</v>
      </c>
      <c r="M666" s="12">
        <v>10</v>
      </c>
      <c r="N666" s="3">
        <f>G666*M666</f>
        <v>190</v>
      </c>
      <c r="O666" s="1">
        <v>45484</v>
      </c>
      <c r="P666" s="1">
        <v>45704</v>
      </c>
      <c r="Q666" s="1">
        <v>45529</v>
      </c>
      <c r="R666">
        <v>595</v>
      </c>
      <c r="S666">
        <v>375</v>
      </c>
      <c r="T666">
        <v>550</v>
      </c>
      <c r="U666" t="str">
        <f t="shared" si="20"/>
        <v>Expiring Soon</v>
      </c>
      <c r="V666" t="s">
        <v>2457</v>
      </c>
      <c r="W666">
        <v>62</v>
      </c>
      <c r="X666" s="3">
        <f t="shared" si="21"/>
        <v>11780</v>
      </c>
      <c r="Y666">
        <v>100</v>
      </c>
      <c r="Z666" t="s">
        <v>49</v>
      </c>
      <c r="AA666" s="3">
        <f>X666-Grocery_Inventory_and_Sales_Dat!N666</f>
        <v>11590</v>
      </c>
    </row>
    <row r="667" spans="1:27" x14ac:dyDescent="0.3">
      <c r="A667" t="s">
        <v>2458</v>
      </c>
      <c r="B667" t="s">
        <v>1224</v>
      </c>
      <c r="C667" t="s">
        <v>70</v>
      </c>
      <c r="D667" t="s">
        <v>2459</v>
      </c>
      <c r="E667" s="13" t="s">
        <v>1522</v>
      </c>
      <c r="G667" s="2">
        <v>12</v>
      </c>
      <c r="H667">
        <v>83</v>
      </c>
      <c r="I667">
        <v>93</v>
      </c>
      <c r="J667" t="s">
        <v>27</v>
      </c>
      <c r="K667">
        <v>83</v>
      </c>
      <c r="L667" t="s">
        <v>28</v>
      </c>
      <c r="M667" s="12">
        <v>1.75</v>
      </c>
      <c r="N667" s="3">
        <f>G667*M667</f>
        <v>21</v>
      </c>
      <c r="O667" s="1">
        <v>45592</v>
      </c>
      <c r="P667" s="1">
        <v>45471</v>
      </c>
      <c r="Q667" s="1">
        <v>45497</v>
      </c>
      <c r="R667">
        <v>487</v>
      </c>
      <c r="S667">
        <v>608</v>
      </c>
      <c r="T667">
        <v>582</v>
      </c>
      <c r="U667" t="str">
        <f t="shared" si="20"/>
        <v>Safe</v>
      </c>
      <c r="V667" t="s">
        <v>2460</v>
      </c>
      <c r="W667">
        <v>22</v>
      </c>
      <c r="X667" s="3">
        <f t="shared" si="21"/>
        <v>462</v>
      </c>
      <c r="Y667">
        <v>9</v>
      </c>
      <c r="Z667" t="s">
        <v>43</v>
      </c>
      <c r="AA667" s="3">
        <f>X667-Grocery_Inventory_and_Sales_Dat!N667</f>
        <v>441</v>
      </c>
    </row>
    <row r="668" spans="1:27" x14ac:dyDescent="0.3">
      <c r="A668" t="s">
        <v>2461</v>
      </c>
      <c r="B668" t="s">
        <v>635</v>
      </c>
      <c r="C668" t="s">
        <v>70</v>
      </c>
      <c r="D668" t="s">
        <v>2462</v>
      </c>
      <c r="E668" s="13" t="s">
        <v>2463</v>
      </c>
      <c r="G668" s="2">
        <v>69</v>
      </c>
      <c r="H668">
        <v>98</v>
      </c>
      <c r="I668">
        <v>89</v>
      </c>
      <c r="J668" t="s">
        <v>27</v>
      </c>
      <c r="K668">
        <v>98</v>
      </c>
      <c r="L668" t="s">
        <v>28</v>
      </c>
      <c r="M668" s="12">
        <v>2.5499999999999998</v>
      </c>
      <c r="N668" s="3">
        <f>G668*M668</f>
        <v>175.95</v>
      </c>
      <c r="O668" s="1">
        <v>45594</v>
      </c>
      <c r="P668" s="1">
        <v>45539</v>
      </c>
      <c r="Q668" s="1">
        <v>45444</v>
      </c>
      <c r="R668">
        <v>485</v>
      </c>
      <c r="S668">
        <v>540</v>
      </c>
      <c r="T668">
        <v>635</v>
      </c>
      <c r="U668" t="str">
        <f t="shared" si="20"/>
        <v>Safe</v>
      </c>
      <c r="V668" t="s">
        <v>2464</v>
      </c>
      <c r="W668">
        <v>29</v>
      </c>
      <c r="X668" s="3">
        <f t="shared" si="21"/>
        <v>5102.5499999999993</v>
      </c>
      <c r="Y668">
        <v>34</v>
      </c>
      <c r="Z668" t="s">
        <v>30</v>
      </c>
      <c r="AA668" s="3">
        <f>X668-Grocery_Inventory_and_Sales_Dat!N668</f>
        <v>4926.5999999999995</v>
      </c>
    </row>
    <row r="669" spans="1:27" x14ac:dyDescent="0.3">
      <c r="A669" t="s">
        <v>2465</v>
      </c>
      <c r="B669" t="s">
        <v>80</v>
      </c>
      <c r="C669" t="s">
        <v>70</v>
      </c>
      <c r="D669" t="s">
        <v>2466</v>
      </c>
      <c r="E669" s="13" t="s">
        <v>268</v>
      </c>
      <c r="G669" s="2">
        <v>63</v>
      </c>
      <c r="H669">
        <v>38</v>
      </c>
      <c r="I669">
        <v>77</v>
      </c>
      <c r="J669" t="s">
        <v>55</v>
      </c>
      <c r="K669">
        <v>0</v>
      </c>
      <c r="L669" t="s">
        <v>41</v>
      </c>
      <c r="M669" s="12">
        <v>1</v>
      </c>
      <c r="N669" s="3">
        <f>G669*M669</f>
        <v>63</v>
      </c>
      <c r="O669" s="1">
        <v>45649</v>
      </c>
      <c r="P669" s="1">
        <v>45993</v>
      </c>
      <c r="Q669" s="1">
        <v>45408</v>
      </c>
      <c r="R669">
        <v>430</v>
      </c>
      <c r="S669">
        <v>86</v>
      </c>
      <c r="T669">
        <v>671</v>
      </c>
      <c r="U669" t="str">
        <f t="shared" si="20"/>
        <v>Safe</v>
      </c>
      <c r="V669" t="s">
        <v>2467</v>
      </c>
      <c r="W669">
        <v>23</v>
      </c>
      <c r="X669" s="3">
        <f t="shared" si="21"/>
        <v>1449</v>
      </c>
      <c r="Y669">
        <v>18</v>
      </c>
      <c r="Z669" t="s">
        <v>49</v>
      </c>
      <c r="AA669" s="3">
        <f>X669-Grocery_Inventory_and_Sales_Dat!N669</f>
        <v>1386</v>
      </c>
    </row>
    <row r="670" spans="1:27" x14ac:dyDescent="0.3">
      <c r="A670" t="s">
        <v>2468</v>
      </c>
      <c r="B670" t="s">
        <v>757</v>
      </c>
      <c r="C670" t="s">
        <v>52</v>
      </c>
      <c r="D670" t="s">
        <v>2469</v>
      </c>
      <c r="E670" s="13" t="s">
        <v>2470</v>
      </c>
      <c r="G670" s="2">
        <v>78</v>
      </c>
      <c r="H670">
        <v>16</v>
      </c>
      <c r="I670">
        <v>37</v>
      </c>
      <c r="J670" t="s">
        <v>55</v>
      </c>
      <c r="K670">
        <v>0</v>
      </c>
      <c r="L670" t="s">
        <v>41</v>
      </c>
      <c r="M670" s="12">
        <v>4.7</v>
      </c>
      <c r="N670" s="3">
        <f>G670*M670</f>
        <v>366.6</v>
      </c>
      <c r="O670" s="1">
        <v>45636</v>
      </c>
      <c r="P670" s="1">
        <v>45394</v>
      </c>
      <c r="Q670" s="1">
        <v>45444</v>
      </c>
      <c r="R670">
        <v>443</v>
      </c>
      <c r="S670">
        <v>685</v>
      </c>
      <c r="T670">
        <v>635</v>
      </c>
      <c r="U670" t="str">
        <f t="shared" si="20"/>
        <v>Safe</v>
      </c>
      <c r="V670" t="s">
        <v>2471</v>
      </c>
      <c r="W670">
        <v>25</v>
      </c>
      <c r="X670" s="3">
        <f t="shared" si="21"/>
        <v>9165</v>
      </c>
      <c r="Y670">
        <v>96</v>
      </c>
      <c r="Z670" t="s">
        <v>43</v>
      </c>
      <c r="AA670" s="3">
        <f>X670-Grocery_Inventory_and_Sales_Dat!N670</f>
        <v>8798.4</v>
      </c>
    </row>
    <row r="671" spans="1:27" x14ac:dyDescent="0.3">
      <c r="A671" t="s">
        <v>2472</v>
      </c>
      <c r="B671" t="s">
        <v>288</v>
      </c>
      <c r="C671" t="s">
        <v>95</v>
      </c>
      <c r="D671" t="s">
        <v>2473</v>
      </c>
      <c r="E671" s="13" t="s">
        <v>125</v>
      </c>
      <c r="G671" s="2">
        <v>72</v>
      </c>
      <c r="H671">
        <v>20</v>
      </c>
      <c r="I671">
        <v>71</v>
      </c>
      <c r="J671" t="s">
        <v>55</v>
      </c>
      <c r="K671">
        <v>0</v>
      </c>
      <c r="L671" t="s">
        <v>41</v>
      </c>
      <c r="M671" s="12">
        <v>2.5</v>
      </c>
      <c r="N671" s="3">
        <f>G671*M671</f>
        <v>180</v>
      </c>
      <c r="O671" s="1">
        <v>45472</v>
      </c>
      <c r="P671" s="1">
        <v>45429</v>
      </c>
      <c r="Q671" s="1">
        <v>45594</v>
      </c>
      <c r="R671">
        <v>607</v>
      </c>
      <c r="S671">
        <v>650</v>
      </c>
      <c r="T671">
        <v>485</v>
      </c>
      <c r="U671" t="str">
        <f t="shared" si="20"/>
        <v>Expiring Soon</v>
      </c>
      <c r="V671" t="s">
        <v>2474</v>
      </c>
      <c r="W671">
        <v>87</v>
      </c>
      <c r="X671" s="3">
        <f t="shared" si="21"/>
        <v>15660</v>
      </c>
      <c r="Y671">
        <v>68</v>
      </c>
      <c r="Z671" t="s">
        <v>30</v>
      </c>
      <c r="AA671" s="3">
        <f>X671-Grocery_Inventory_and_Sales_Dat!N671</f>
        <v>15480</v>
      </c>
    </row>
    <row r="672" spans="1:27" x14ac:dyDescent="0.3">
      <c r="A672" t="s">
        <v>2475</v>
      </c>
      <c r="B672" t="s">
        <v>1474</v>
      </c>
      <c r="C672" t="s">
        <v>24</v>
      </c>
      <c r="D672" t="s">
        <v>2476</v>
      </c>
      <c r="E672" s="13" t="s">
        <v>878</v>
      </c>
      <c r="G672" s="2">
        <v>58</v>
      </c>
      <c r="H672">
        <v>24</v>
      </c>
      <c r="I672">
        <v>25</v>
      </c>
      <c r="J672" t="s">
        <v>55</v>
      </c>
      <c r="K672">
        <v>0</v>
      </c>
      <c r="L672" t="s">
        <v>41</v>
      </c>
      <c r="M672" s="12">
        <v>10</v>
      </c>
      <c r="N672" s="3">
        <f>G672*M672</f>
        <v>580</v>
      </c>
      <c r="O672" s="1">
        <v>45528</v>
      </c>
      <c r="P672" s="1">
        <v>45613</v>
      </c>
      <c r="Q672" s="1">
        <v>45372</v>
      </c>
      <c r="R672">
        <v>551</v>
      </c>
      <c r="S672">
        <v>466</v>
      </c>
      <c r="T672">
        <v>707</v>
      </c>
      <c r="U672" t="str">
        <f t="shared" si="20"/>
        <v>Safe</v>
      </c>
      <c r="V672" t="s">
        <v>2477</v>
      </c>
      <c r="W672">
        <v>75</v>
      </c>
      <c r="X672" s="3">
        <f t="shared" si="21"/>
        <v>43500</v>
      </c>
      <c r="Y672">
        <v>26</v>
      </c>
      <c r="Z672" t="s">
        <v>49</v>
      </c>
      <c r="AA672" s="3">
        <f>X672-Grocery_Inventory_and_Sales_Dat!N672</f>
        <v>42920</v>
      </c>
    </row>
    <row r="673" spans="1:27" x14ac:dyDescent="0.3">
      <c r="A673" t="s">
        <v>2478</v>
      </c>
      <c r="B673" t="s">
        <v>69</v>
      </c>
      <c r="C673" t="s">
        <v>70</v>
      </c>
      <c r="D673" t="s">
        <v>2479</v>
      </c>
      <c r="E673" s="13" t="s">
        <v>2480</v>
      </c>
      <c r="G673" s="2">
        <v>88</v>
      </c>
      <c r="H673">
        <v>22</v>
      </c>
      <c r="I673">
        <v>61</v>
      </c>
      <c r="J673" t="s">
        <v>55</v>
      </c>
      <c r="K673">
        <v>0</v>
      </c>
      <c r="L673" t="s">
        <v>41</v>
      </c>
      <c r="M673" s="12">
        <v>2.5</v>
      </c>
      <c r="N673" s="3">
        <f>G673*M673</f>
        <v>220</v>
      </c>
      <c r="O673" s="1">
        <v>45748</v>
      </c>
      <c r="P673" s="1">
        <v>45564</v>
      </c>
      <c r="Q673" s="1">
        <v>45696</v>
      </c>
      <c r="R673">
        <v>331</v>
      </c>
      <c r="S673">
        <v>515</v>
      </c>
      <c r="T673">
        <v>383</v>
      </c>
      <c r="U673" t="str">
        <f t="shared" si="20"/>
        <v>Expiring Soon</v>
      </c>
      <c r="V673" t="s">
        <v>2481</v>
      </c>
      <c r="W673">
        <v>54</v>
      </c>
      <c r="X673" s="3">
        <f t="shared" si="21"/>
        <v>11880</v>
      </c>
      <c r="Y673">
        <v>100</v>
      </c>
      <c r="Z673" t="s">
        <v>30</v>
      </c>
      <c r="AA673" s="3">
        <f>X673-Grocery_Inventory_and_Sales_Dat!N673</f>
        <v>11660</v>
      </c>
    </row>
    <row r="674" spans="1:27" x14ac:dyDescent="0.3">
      <c r="A674" t="s">
        <v>2482</v>
      </c>
      <c r="B674" t="s">
        <v>595</v>
      </c>
      <c r="C674" t="s">
        <v>24</v>
      </c>
      <c r="D674" t="s">
        <v>2483</v>
      </c>
      <c r="E674" s="13" t="s">
        <v>1397</v>
      </c>
      <c r="G674" s="2">
        <v>54</v>
      </c>
      <c r="H674">
        <v>53</v>
      </c>
      <c r="I674">
        <v>33</v>
      </c>
      <c r="J674" t="s">
        <v>55</v>
      </c>
      <c r="K674">
        <v>0</v>
      </c>
      <c r="L674" t="s">
        <v>41</v>
      </c>
      <c r="M674" s="12">
        <v>1.8</v>
      </c>
      <c r="N674" s="3">
        <f>G674*M674</f>
        <v>97.2</v>
      </c>
      <c r="O674" s="1">
        <v>45477</v>
      </c>
      <c r="P674" s="1">
        <v>45674</v>
      </c>
      <c r="Q674" s="1">
        <v>45478</v>
      </c>
      <c r="R674">
        <v>602</v>
      </c>
      <c r="S674">
        <v>405</v>
      </c>
      <c r="T674">
        <v>601</v>
      </c>
      <c r="U674" t="str">
        <f t="shared" si="20"/>
        <v>Safe</v>
      </c>
      <c r="V674" t="s">
        <v>2484</v>
      </c>
      <c r="W674">
        <v>94</v>
      </c>
      <c r="X674" s="3">
        <f t="shared" si="21"/>
        <v>9136.8000000000011</v>
      </c>
      <c r="Y674">
        <v>82</v>
      </c>
      <c r="Z674" t="s">
        <v>43</v>
      </c>
      <c r="AA674" s="3">
        <f>X674-Grocery_Inventory_and_Sales_Dat!N674</f>
        <v>9039.6</v>
      </c>
    </row>
    <row r="675" spans="1:27" x14ac:dyDescent="0.3">
      <c r="A675" t="s">
        <v>2485</v>
      </c>
      <c r="B675" t="s">
        <v>693</v>
      </c>
      <c r="C675" t="s">
        <v>24</v>
      </c>
      <c r="D675" t="s">
        <v>2486</v>
      </c>
      <c r="E675" s="13" t="s">
        <v>1876</v>
      </c>
      <c r="G675" s="2">
        <v>64</v>
      </c>
      <c r="H675">
        <v>10</v>
      </c>
      <c r="I675">
        <v>100</v>
      </c>
      <c r="J675" t="s">
        <v>55</v>
      </c>
      <c r="K675">
        <v>0</v>
      </c>
      <c r="L675" t="s">
        <v>41</v>
      </c>
      <c r="M675" s="12">
        <v>2.5</v>
      </c>
      <c r="N675" s="3">
        <f>G675*M675</f>
        <v>160</v>
      </c>
      <c r="O675" s="1">
        <v>45579</v>
      </c>
      <c r="P675" s="1">
        <v>45418</v>
      </c>
      <c r="Q675" s="1">
        <v>45592</v>
      </c>
      <c r="R675">
        <v>500</v>
      </c>
      <c r="S675">
        <v>661</v>
      </c>
      <c r="T675">
        <v>487</v>
      </c>
      <c r="U675" t="str">
        <f t="shared" si="20"/>
        <v>Expiring Soon</v>
      </c>
      <c r="V675" t="s">
        <v>2487</v>
      </c>
      <c r="W675">
        <v>97</v>
      </c>
      <c r="X675" s="3">
        <f t="shared" si="21"/>
        <v>15520</v>
      </c>
      <c r="Y675">
        <v>52</v>
      </c>
      <c r="Z675" t="s">
        <v>49</v>
      </c>
      <c r="AA675" s="3">
        <f>X675-Grocery_Inventory_and_Sales_Dat!N675</f>
        <v>15360</v>
      </c>
    </row>
    <row r="676" spans="1:27" x14ac:dyDescent="0.3">
      <c r="A676" t="s">
        <v>2488</v>
      </c>
      <c r="B676" t="s">
        <v>1105</v>
      </c>
      <c r="C676" t="s">
        <v>70</v>
      </c>
      <c r="D676" t="s">
        <v>2489</v>
      </c>
      <c r="E676" s="13" t="s">
        <v>1156</v>
      </c>
      <c r="G676" s="2">
        <v>12</v>
      </c>
      <c r="H676">
        <v>54</v>
      </c>
      <c r="I676">
        <v>48</v>
      </c>
      <c r="J676" t="s">
        <v>27</v>
      </c>
      <c r="K676">
        <v>54</v>
      </c>
      <c r="L676" t="s">
        <v>41</v>
      </c>
      <c r="M676" s="12">
        <v>1</v>
      </c>
      <c r="N676" s="3">
        <f>G676*M676</f>
        <v>12</v>
      </c>
      <c r="O676" s="1">
        <v>45454</v>
      </c>
      <c r="P676" s="1">
        <v>45646</v>
      </c>
      <c r="Q676" s="1">
        <v>45403</v>
      </c>
      <c r="R676">
        <v>625</v>
      </c>
      <c r="S676">
        <v>433</v>
      </c>
      <c r="T676">
        <v>676</v>
      </c>
      <c r="U676" t="str">
        <f t="shared" si="20"/>
        <v>Safe</v>
      </c>
      <c r="V676" t="s">
        <v>2490</v>
      </c>
      <c r="W676">
        <v>31</v>
      </c>
      <c r="X676" s="3">
        <f t="shared" si="21"/>
        <v>372</v>
      </c>
      <c r="Y676">
        <v>88</v>
      </c>
      <c r="Z676" t="s">
        <v>43</v>
      </c>
      <c r="AA676" s="3">
        <f>X676-Grocery_Inventory_and_Sales_Dat!N676</f>
        <v>360</v>
      </c>
    </row>
    <row r="677" spans="1:27" x14ac:dyDescent="0.3">
      <c r="A677" t="s">
        <v>2491</v>
      </c>
      <c r="B677" t="s">
        <v>230</v>
      </c>
      <c r="C677" t="s">
        <v>52</v>
      </c>
      <c r="D677" t="s">
        <v>2492</v>
      </c>
      <c r="E677" s="13" t="s">
        <v>26</v>
      </c>
      <c r="G677" s="2">
        <v>61</v>
      </c>
      <c r="H677">
        <v>14</v>
      </c>
      <c r="I677">
        <v>49</v>
      </c>
      <c r="J677" t="s">
        <v>55</v>
      </c>
      <c r="K677">
        <v>0</v>
      </c>
      <c r="L677" t="s">
        <v>41</v>
      </c>
      <c r="M677" s="12">
        <v>5.2</v>
      </c>
      <c r="N677" s="3">
        <f>G677*M677</f>
        <v>317.2</v>
      </c>
      <c r="O677" s="1">
        <v>45571</v>
      </c>
      <c r="P677" s="1">
        <v>45638</v>
      </c>
      <c r="Q677" s="1">
        <v>45498</v>
      </c>
      <c r="R677">
        <v>508</v>
      </c>
      <c r="S677">
        <v>441</v>
      </c>
      <c r="T677">
        <v>581</v>
      </c>
      <c r="U677" t="str">
        <f t="shared" si="20"/>
        <v>Safe</v>
      </c>
      <c r="V677" t="s">
        <v>2493</v>
      </c>
      <c r="W677">
        <v>74</v>
      </c>
      <c r="X677" s="3">
        <f t="shared" si="21"/>
        <v>23472.799999999999</v>
      </c>
      <c r="Y677">
        <v>35</v>
      </c>
      <c r="Z677" t="s">
        <v>30</v>
      </c>
      <c r="AA677" s="3">
        <f>X677-Grocery_Inventory_and_Sales_Dat!N677</f>
        <v>23155.599999999999</v>
      </c>
    </row>
    <row r="678" spans="1:27" x14ac:dyDescent="0.3">
      <c r="A678" t="s">
        <v>2494</v>
      </c>
      <c r="B678" t="s">
        <v>173</v>
      </c>
      <c r="C678" t="s">
        <v>95</v>
      </c>
      <c r="D678" t="s">
        <v>2495</v>
      </c>
      <c r="E678" s="13" t="s">
        <v>611</v>
      </c>
      <c r="G678" s="2">
        <v>28</v>
      </c>
      <c r="H678">
        <v>62</v>
      </c>
      <c r="I678">
        <v>81</v>
      </c>
      <c r="J678" t="s">
        <v>27</v>
      </c>
      <c r="K678">
        <v>62</v>
      </c>
      <c r="L678" t="s">
        <v>28</v>
      </c>
      <c r="M678" s="12">
        <v>5</v>
      </c>
      <c r="N678" s="3">
        <f>G678*M678</f>
        <v>140</v>
      </c>
      <c r="O678" s="1">
        <v>45378</v>
      </c>
      <c r="P678" s="1">
        <v>45468</v>
      </c>
      <c r="Q678" s="1">
        <v>45572</v>
      </c>
      <c r="R678">
        <v>701</v>
      </c>
      <c r="S678">
        <v>611</v>
      </c>
      <c r="T678">
        <v>507</v>
      </c>
      <c r="U678" t="str">
        <f t="shared" si="20"/>
        <v>Expiring Soon</v>
      </c>
      <c r="V678" t="s">
        <v>2496</v>
      </c>
      <c r="W678">
        <v>28</v>
      </c>
      <c r="X678" s="3">
        <f t="shared" si="21"/>
        <v>3920</v>
      </c>
      <c r="Y678">
        <v>30</v>
      </c>
      <c r="Z678" t="s">
        <v>30</v>
      </c>
      <c r="AA678" s="3">
        <f>X678-Grocery_Inventory_and_Sales_Dat!N678</f>
        <v>3780</v>
      </c>
    </row>
    <row r="679" spans="1:27" x14ac:dyDescent="0.3">
      <c r="A679" t="s">
        <v>2497</v>
      </c>
      <c r="B679" t="s">
        <v>132</v>
      </c>
      <c r="C679" t="s">
        <v>52</v>
      </c>
      <c r="D679" t="s">
        <v>2498</v>
      </c>
      <c r="E679" s="13" t="s">
        <v>1256</v>
      </c>
      <c r="G679" s="2">
        <v>23</v>
      </c>
      <c r="H679">
        <v>6</v>
      </c>
      <c r="I679">
        <v>40</v>
      </c>
      <c r="J679" t="s">
        <v>55</v>
      </c>
      <c r="K679">
        <v>0</v>
      </c>
      <c r="L679" t="s">
        <v>41</v>
      </c>
      <c r="M679" s="12">
        <v>2.5</v>
      </c>
      <c r="N679" s="3">
        <f>G679*M679</f>
        <v>57.5</v>
      </c>
      <c r="O679" s="1">
        <v>45371</v>
      </c>
      <c r="P679" s="1">
        <v>45645</v>
      </c>
      <c r="Q679" s="1">
        <v>45462</v>
      </c>
      <c r="R679">
        <v>708</v>
      </c>
      <c r="S679">
        <v>434</v>
      </c>
      <c r="T679">
        <v>617</v>
      </c>
      <c r="U679" t="str">
        <f t="shared" si="20"/>
        <v>Safe</v>
      </c>
      <c r="V679" t="s">
        <v>2499</v>
      </c>
      <c r="W679">
        <v>95</v>
      </c>
      <c r="X679" s="3">
        <f t="shared" si="21"/>
        <v>5462.5</v>
      </c>
      <c r="Y679">
        <v>24</v>
      </c>
      <c r="Z679" t="s">
        <v>43</v>
      </c>
      <c r="AA679" s="3">
        <f>X679-Grocery_Inventory_and_Sales_Dat!N679</f>
        <v>5405</v>
      </c>
    </row>
    <row r="680" spans="1:27" x14ac:dyDescent="0.3">
      <c r="A680" t="s">
        <v>2500</v>
      </c>
      <c r="B680" t="s">
        <v>446</v>
      </c>
      <c r="C680" t="s">
        <v>52</v>
      </c>
      <c r="D680" t="s">
        <v>2501</v>
      </c>
      <c r="E680" s="13" t="s">
        <v>217</v>
      </c>
      <c r="G680" s="2">
        <v>87</v>
      </c>
      <c r="H680">
        <v>51</v>
      </c>
      <c r="I680">
        <v>67</v>
      </c>
      <c r="J680" t="s">
        <v>55</v>
      </c>
      <c r="K680">
        <v>0</v>
      </c>
      <c r="L680" t="s">
        <v>41</v>
      </c>
      <c r="M680" s="12">
        <v>10</v>
      </c>
      <c r="N680" s="3">
        <f>G680*M680</f>
        <v>870</v>
      </c>
      <c r="O680" s="1">
        <v>45839</v>
      </c>
      <c r="P680" s="1">
        <v>45418</v>
      </c>
      <c r="Q680" s="1">
        <v>45418</v>
      </c>
      <c r="R680">
        <v>240</v>
      </c>
      <c r="S680">
        <v>661</v>
      </c>
      <c r="T680">
        <v>661</v>
      </c>
      <c r="U680" t="str">
        <f t="shared" si="20"/>
        <v>Safe</v>
      </c>
      <c r="V680" t="s">
        <v>2502</v>
      </c>
      <c r="W680">
        <v>55</v>
      </c>
      <c r="X680" s="3">
        <f t="shared" si="21"/>
        <v>47850</v>
      </c>
      <c r="Y680">
        <v>100</v>
      </c>
      <c r="Z680" t="s">
        <v>43</v>
      </c>
      <c r="AA680" s="3">
        <f>X680-Grocery_Inventory_and_Sales_Dat!N680</f>
        <v>46980</v>
      </c>
    </row>
    <row r="681" spans="1:27" x14ac:dyDescent="0.3">
      <c r="A681" t="s">
        <v>2503</v>
      </c>
      <c r="B681" t="s">
        <v>781</v>
      </c>
      <c r="C681" t="s">
        <v>33</v>
      </c>
      <c r="D681" t="s">
        <v>2504</v>
      </c>
      <c r="E681" s="13" t="s">
        <v>1441</v>
      </c>
      <c r="G681" s="2">
        <v>59</v>
      </c>
      <c r="H681">
        <v>31</v>
      </c>
      <c r="I681">
        <v>3</v>
      </c>
      <c r="J681" t="s">
        <v>55</v>
      </c>
      <c r="K681">
        <v>0</v>
      </c>
      <c r="L681" t="s">
        <v>41</v>
      </c>
      <c r="M681" s="12">
        <v>10</v>
      </c>
      <c r="N681" s="3">
        <f>G681*M681</f>
        <v>590</v>
      </c>
      <c r="O681" s="1">
        <v>45550</v>
      </c>
      <c r="P681" s="1">
        <v>45678</v>
      </c>
      <c r="Q681" s="1">
        <v>45587</v>
      </c>
      <c r="R681">
        <v>529</v>
      </c>
      <c r="S681">
        <v>401</v>
      </c>
      <c r="T681">
        <v>492</v>
      </c>
      <c r="U681" t="str">
        <f t="shared" si="20"/>
        <v>Expiring Soon</v>
      </c>
      <c r="V681" t="s">
        <v>2505</v>
      </c>
      <c r="W681">
        <v>48</v>
      </c>
      <c r="X681" s="3">
        <f t="shared" si="21"/>
        <v>28320</v>
      </c>
      <c r="Y681">
        <v>51</v>
      </c>
      <c r="Z681" t="s">
        <v>49</v>
      </c>
      <c r="AA681" s="3">
        <f>X681-Grocery_Inventory_and_Sales_Dat!N681</f>
        <v>27730</v>
      </c>
    </row>
    <row r="682" spans="1:27" x14ac:dyDescent="0.3">
      <c r="A682" t="s">
        <v>2506</v>
      </c>
      <c r="B682" t="s">
        <v>786</v>
      </c>
      <c r="C682" t="s">
        <v>52</v>
      </c>
      <c r="D682" t="s">
        <v>2507</v>
      </c>
      <c r="E682" s="13" t="s">
        <v>60</v>
      </c>
      <c r="G682" s="2">
        <v>13</v>
      </c>
      <c r="H682">
        <v>88</v>
      </c>
      <c r="I682">
        <v>11</v>
      </c>
      <c r="J682" t="s">
        <v>27</v>
      </c>
      <c r="K682">
        <v>88</v>
      </c>
      <c r="L682" t="s">
        <v>28</v>
      </c>
      <c r="M682" s="12">
        <v>3</v>
      </c>
      <c r="N682" s="3">
        <f>G682*M682</f>
        <v>39</v>
      </c>
      <c r="O682" s="1">
        <v>45615</v>
      </c>
      <c r="P682" s="1">
        <v>45417</v>
      </c>
      <c r="Q682" s="1">
        <v>45640</v>
      </c>
      <c r="R682">
        <v>464</v>
      </c>
      <c r="S682">
        <v>662</v>
      </c>
      <c r="T682">
        <v>439</v>
      </c>
      <c r="U682" t="str">
        <f t="shared" si="20"/>
        <v>Expiring Soon</v>
      </c>
      <c r="V682" t="s">
        <v>2508</v>
      </c>
      <c r="W682">
        <v>100</v>
      </c>
      <c r="X682" s="3">
        <f t="shared" si="21"/>
        <v>3900</v>
      </c>
      <c r="Y682">
        <v>52</v>
      </c>
      <c r="Z682" t="s">
        <v>43</v>
      </c>
      <c r="AA682" s="3">
        <f>X682-Grocery_Inventory_and_Sales_Dat!N682</f>
        <v>3861</v>
      </c>
    </row>
    <row r="683" spans="1:27" x14ac:dyDescent="0.3">
      <c r="A683" t="s">
        <v>2509</v>
      </c>
      <c r="B683" t="s">
        <v>551</v>
      </c>
      <c r="C683" t="s">
        <v>52</v>
      </c>
      <c r="D683" t="s">
        <v>2510</v>
      </c>
      <c r="E683" s="13" t="s">
        <v>423</v>
      </c>
      <c r="G683" s="2">
        <v>81</v>
      </c>
      <c r="H683">
        <v>87</v>
      </c>
      <c r="I683">
        <v>15</v>
      </c>
      <c r="J683" t="s">
        <v>27</v>
      </c>
      <c r="K683">
        <v>87</v>
      </c>
      <c r="L683" t="s">
        <v>28</v>
      </c>
      <c r="M683" s="12">
        <v>6</v>
      </c>
      <c r="N683" s="3">
        <f>G683*M683</f>
        <v>486</v>
      </c>
      <c r="O683" s="1">
        <v>45870</v>
      </c>
      <c r="P683" s="1">
        <v>45682</v>
      </c>
      <c r="Q683" s="1">
        <v>45544</v>
      </c>
      <c r="R683">
        <v>209</v>
      </c>
      <c r="S683">
        <v>397</v>
      </c>
      <c r="T683">
        <v>535</v>
      </c>
      <c r="U683" t="str">
        <f t="shared" si="20"/>
        <v>Expiring Soon</v>
      </c>
      <c r="V683" t="s">
        <v>2511</v>
      </c>
      <c r="W683">
        <v>94</v>
      </c>
      <c r="X683" s="3">
        <f t="shared" si="21"/>
        <v>45684</v>
      </c>
      <c r="Y683">
        <v>10</v>
      </c>
      <c r="Z683" t="s">
        <v>43</v>
      </c>
      <c r="AA683" s="3">
        <f>X683-Grocery_Inventory_and_Sales_Dat!N683</f>
        <v>45198</v>
      </c>
    </row>
    <row r="684" spans="1:27" x14ac:dyDescent="0.3">
      <c r="A684" t="s">
        <v>2512</v>
      </c>
      <c r="B684" t="s">
        <v>288</v>
      </c>
      <c r="C684" t="s">
        <v>95</v>
      </c>
      <c r="D684" t="s">
        <v>2513</v>
      </c>
      <c r="E684" s="13" t="s">
        <v>771</v>
      </c>
      <c r="G684" s="2">
        <v>61</v>
      </c>
      <c r="H684">
        <v>77</v>
      </c>
      <c r="I684">
        <v>45</v>
      </c>
      <c r="J684" t="s">
        <v>27</v>
      </c>
      <c r="K684">
        <v>77</v>
      </c>
      <c r="L684" t="s">
        <v>28</v>
      </c>
      <c r="M684" s="12">
        <v>2.5</v>
      </c>
      <c r="N684" s="3">
        <f>G684*M684</f>
        <v>152.5</v>
      </c>
      <c r="O684" s="1">
        <v>45372</v>
      </c>
      <c r="P684" s="1">
        <v>45351</v>
      </c>
      <c r="Q684" s="1">
        <v>45465</v>
      </c>
      <c r="R684">
        <v>707</v>
      </c>
      <c r="S684">
        <v>728</v>
      </c>
      <c r="T684">
        <v>614</v>
      </c>
      <c r="U684" t="str">
        <f t="shared" si="20"/>
        <v>Safe</v>
      </c>
      <c r="V684" t="s">
        <v>2514</v>
      </c>
      <c r="W684">
        <v>51</v>
      </c>
      <c r="X684" s="3">
        <f t="shared" si="21"/>
        <v>7777.5</v>
      </c>
      <c r="Y684">
        <v>48</v>
      </c>
      <c r="Z684" t="s">
        <v>43</v>
      </c>
      <c r="AA684" s="3">
        <f>X684-Grocery_Inventory_and_Sales_Dat!N684</f>
        <v>7625</v>
      </c>
    </row>
    <row r="685" spans="1:27" x14ac:dyDescent="0.3">
      <c r="A685" t="s">
        <v>2515</v>
      </c>
      <c r="B685" t="s">
        <v>317</v>
      </c>
      <c r="C685" t="s">
        <v>52</v>
      </c>
      <c r="D685" t="s">
        <v>2516</v>
      </c>
      <c r="E685" s="13" t="s">
        <v>1829</v>
      </c>
      <c r="G685" s="2">
        <v>80</v>
      </c>
      <c r="H685">
        <v>91</v>
      </c>
      <c r="I685">
        <v>36</v>
      </c>
      <c r="J685" t="s">
        <v>27</v>
      </c>
      <c r="K685">
        <v>91</v>
      </c>
      <c r="L685" t="s">
        <v>28</v>
      </c>
      <c r="M685" s="12">
        <v>1.5</v>
      </c>
      <c r="N685" s="3">
        <f>G685*M685</f>
        <v>120</v>
      </c>
      <c r="O685" s="1">
        <v>45375</v>
      </c>
      <c r="P685" s="1">
        <v>45511</v>
      </c>
      <c r="Q685" s="1">
        <v>45591</v>
      </c>
      <c r="R685">
        <v>704</v>
      </c>
      <c r="S685">
        <v>568</v>
      </c>
      <c r="T685">
        <v>488</v>
      </c>
      <c r="U685" t="str">
        <f t="shared" si="20"/>
        <v>Expiring Soon</v>
      </c>
      <c r="V685" t="s">
        <v>2517</v>
      </c>
      <c r="W685">
        <v>81</v>
      </c>
      <c r="X685" s="3">
        <f t="shared" si="21"/>
        <v>9720</v>
      </c>
      <c r="Y685">
        <v>74</v>
      </c>
      <c r="Z685" t="s">
        <v>49</v>
      </c>
      <c r="AA685" s="3">
        <f>X685-Grocery_Inventory_and_Sales_Dat!N685</f>
        <v>9600</v>
      </c>
    </row>
    <row r="686" spans="1:27" x14ac:dyDescent="0.3">
      <c r="A686" t="s">
        <v>2518</v>
      </c>
      <c r="B686" t="s">
        <v>1151</v>
      </c>
      <c r="C686" t="s">
        <v>24</v>
      </c>
      <c r="D686" t="s">
        <v>2519</v>
      </c>
      <c r="E686" s="13" t="s">
        <v>2154</v>
      </c>
      <c r="G686" s="2">
        <v>39</v>
      </c>
      <c r="H686">
        <v>57</v>
      </c>
      <c r="I686">
        <v>54</v>
      </c>
      <c r="J686" t="s">
        <v>27</v>
      </c>
      <c r="K686">
        <v>57</v>
      </c>
      <c r="L686" t="s">
        <v>41</v>
      </c>
      <c r="M686" s="12">
        <v>2.5</v>
      </c>
      <c r="N686" s="3">
        <f>G686*M686</f>
        <v>97.5</v>
      </c>
      <c r="O686" s="1">
        <v>45455</v>
      </c>
      <c r="P686" s="1">
        <v>45446</v>
      </c>
      <c r="Q686" s="1">
        <v>45515</v>
      </c>
      <c r="R686">
        <v>624</v>
      </c>
      <c r="S686">
        <v>633</v>
      </c>
      <c r="T686">
        <v>564</v>
      </c>
      <c r="U686" t="str">
        <f t="shared" si="20"/>
        <v>Safe</v>
      </c>
      <c r="V686" t="s">
        <v>2520</v>
      </c>
      <c r="W686">
        <v>77</v>
      </c>
      <c r="X686" s="3">
        <f t="shared" si="21"/>
        <v>7507.5</v>
      </c>
      <c r="Y686">
        <v>32</v>
      </c>
      <c r="Z686" t="s">
        <v>49</v>
      </c>
      <c r="AA686" s="3">
        <f>X686-Grocery_Inventory_and_Sales_Dat!N686</f>
        <v>7410</v>
      </c>
    </row>
    <row r="687" spans="1:27" x14ac:dyDescent="0.3">
      <c r="A687" t="s">
        <v>2521</v>
      </c>
      <c r="B687" t="s">
        <v>148</v>
      </c>
      <c r="D687" t="s">
        <v>2522</v>
      </c>
      <c r="E687" s="13" t="s">
        <v>557</v>
      </c>
      <c r="G687" s="2">
        <v>69</v>
      </c>
      <c r="H687">
        <v>21</v>
      </c>
      <c r="I687">
        <v>68</v>
      </c>
      <c r="J687" t="s">
        <v>55</v>
      </c>
      <c r="K687">
        <v>0</v>
      </c>
      <c r="L687" t="s">
        <v>41</v>
      </c>
      <c r="M687" s="12">
        <v>66.55</v>
      </c>
      <c r="N687" s="3">
        <f>G687*M687</f>
        <v>4591.95</v>
      </c>
      <c r="O687" s="1">
        <v>45649</v>
      </c>
      <c r="P687" s="1">
        <v>45622</v>
      </c>
      <c r="Q687" s="1">
        <v>45556</v>
      </c>
      <c r="R687">
        <v>430</v>
      </c>
      <c r="S687">
        <v>457</v>
      </c>
      <c r="T687">
        <v>523</v>
      </c>
      <c r="U687" t="str">
        <f t="shared" si="20"/>
        <v>Expiring Soon</v>
      </c>
      <c r="V687" t="s">
        <v>2523</v>
      </c>
      <c r="W687">
        <v>36</v>
      </c>
      <c r="X687" s="3">
        <f t="shared" si="21"/>
        <v>165310.19999999998</v>
      </c>
      <c r="Y687">
        <v>35</v>
      </c>
      <c r="Z687" t="s">
        <v>30</v>
      </c>
      <c r="AA687" s="3">
        <f>X687-Grocery_Inventory_and_Sales_Dat!N687</f>
        <v>160718.24999999997</v>
      </c>
    </row>
    <row r="688" spans="1:27" x14ac:dyDescent="0.3">
      <c r="A688" t="s">
        <v>2524</v>
      </c>
      <c r="B688" t="s">
        <v>69</v>
      </c>
      <c r="C688" t="s">
        <v>70</v>
      </c>
      <c r="D688" t="s">
        <v>2525</v>
      </c>
      <c r="E688" s="13" t="s">
        <v>2526</v>
      </c>
      <c r="G688" s="2">
        <v>60</v>
      </c>
      <c r="H688">
        <v>43</v>
      </c>
      <c r="I688">
        <v>32</v>
      </c>
      <c r="J688" t="s">
        <v>55</v>
      </c>
      <c r="K688">
        <v>0</v>
      </c>
      <c r="L688" t="s">
        <v>41</v>
      </c>
      <c r="M688" s="12">
        <v>2.5</v>
      </c>
      <c r="N688" s="3">
        <f>G688*M688</f>
        <v>150</v>
      </c>
      <c r="O688" s="1">
        <v>45419</v>
      </c>
      <c r="P688" s="1">
        <v>45392</v>
      </c>
      <c r="Q688" s="1">
        <v>45482</v>
      </c>
      <c r="R688">
        <v>660</v>
      </c>
      <c r="S688">
        <v>687</v>
      </c>
      <c r="T688">
        <v>597</v>
      </c>
      <c r="U688" t="str">
        <f t="shared" si="20"/>
        <v>Safe</v>
      </c>
      <c r="V688" t="s">
        <v>2527</v>
      </c>
      <c r="W688">
        <v>77</v>
      </c>
      <c r="X688" s="3">
        <f t="shared" si="21"/>
        <v>11550</v>
      </c>
      <c r="Y688">
        <v>60</v>
      </c>
      <c r="Z688" t="s">
        <v>49</v>
      </c>
      <c r="AA688" s="3">
        <f>X688-Grocery_Inventory_and_Sales_Dat!N688</f>
        <v>11400</v>
      </c>
    </row>
    <row r="689" spans="1:27" x14ac:dyDescent="0.3">
      <c r="A689" t="s">
        <v>2528</v>
      </c>
      <c r="B689" t="s">
        <v>651</v>
      </c>
      <c r="C689" t="s">
        <v>70</v>
      </c>
      <c r="D689" t="s">
        <v>2529</v>
      </c>
      <c r="E689" s="13" t="s">
        <v>2530</v>
      </c>
      <c r="G689" s="2">
        <v>22</v>
      </c>
      <c r="H689">
        <v>43</v>
      </c>
      <c r="I689">
        <v>3</v>
      </c>
      <c r="J689" t="s">
        <v>27</v>
      </c>
      <c r="K689">
        <v>43</v>
      </c>
      <c r="L689" t="s">
        <v>41</v>
      </c>
      <c r="M689" s="12">
        <v>4.0999999999999996</v>
      </c>
      <c r="N689" s="3">
        <f>G689*M689</f>
        <v>90.199999999999989</v>
      </c>
      <c r="O689" s="1">
        <v>45659</v>
      </c>
      <c r="P689" s="1">
        <v>45499</v>
      </c>
      <c r="Q689" s="1">
        <v>45573</v>
      </c>
      <c r="R689">
        <v>420</v>
      </c>
      <c r="S689">
        <v>580</v>
      </c>
      <c r="T689">
        <v>506</v>
      </c>
      <c r="U689" t="str">
        <f t="shared" si="20"/>
        <v>Expiring Soon</v>
      </c>
      <c r="V689" t="s">
        <v>2531</v>
      </c>
      <c r="W689">
        <v>45</v>
      </c>
      <c r="X689" s="3">
        <f t="shared" si="21"/>
        <v>4058.9999999999995</v>
      </c>
      <c r="Y689">
        <v>87</v>
      </c>
      <c r="Z689" t="s">
        <v>43</v>
      </c>
      <c r="AA689" s="3">
        <f>X689-Grocery_Inventory_and_Sales_Dat!N689</f>
        <v>3968.7999999999997</v>
      </c>
    </row>
    <row r="690" spans="1:27" x14ac:dyDescent="0.3">
      <c r="A690" t="s">
        <v>2532</v>
      </c>
      <c r="B690" t="s">
        <v>507</v>
      </c>
      <c r="C690" t="s">
        <v>24</v>
      </c>
      <c r="D690" t="s">
        <v>2533</v>
      </c>
      <c r="E690" s="13" t="s">
        <v>2534</v>
      </c>
      <c r="G690" s="2">
        <v>79</v>
      </c>
      <c r="H690">
        <v>47</v>
      </c>
      <c r="I690">
        <v>51</v>
      </c>
      <c r="J690" t="s">
        <v>55</v>
      </c>
      <c r="K690">
        <v>0</v>
      </c>
      <c r="L690" t="s">
        <v>41</v>
      </c>
      <c r="M690" s="12">
        <v>9.5</v>
      </c>
      <c r="N690" s="3">
        <f>G690*M690</f>
        <v>750.5</v>
      </c>
      <c r="O690" s="1">
        <v>45492</v>
      </c>
      <c r="P690" s="1">
        <v>45704</v>
      </c>
      <c r="Q690" s="1">
        <v>45685</v>
      </c>
      <c r="R690">
        <v>587</v>
      </c>
      <c r="S690">
        <v>375</v>
      </c>
      <c r="T690">
        <v>394</v>
      </c>
      <c r="U690" t="str">
        <f t="shared" si="20"/>
        <v>Expiring Soon</v>
      </c>
      <c r="V690" t="s">
        <v>2535</v>
      </c>
      <c r="W690">
        <v>83</v>
      </c>
      <c r="X690" s="3">
        <f t="shared" si="21"/>
        <v>62291.5</v>
      </c>
      <c r="Y690">
        <v>69</v>
      </c>
      <c r="Z690" t="s">
        <v>30</v>
      </c>
      <c r="AA690" s="3">
        <f>X690-Grocery_Inventory_and_Sales_Dat!N690</f>
        <v>61541</v>
      </c>
    </row>
    <row r="691" spans="1:27" x14ac:dyDescent="0.3">
      <c r="A691" t="s">
        <v>2536</v>
      </c>
      <c r="B691" t="s">
        <v>355</v>
      </c>
      <c r="C691" t="s">
        <v>52</v>
      </c>
      <c r="D691" t="s">
        <v>2537</v>
      </c>
      <c r="E691" s="13" t="s">
        <v>2048</v>
      </c>
      <c r="G691" s="2">
        <v>47</v>
      </c>
      <c r="H691">
        <v>63</v>
      </c>
      <c r="I691">
        <v>86</v>
      </c>
      <c r="J691" t="s">
        <v>27</v>
      </c>
      <c r="K691">
        <v>63</v>
      </c>
      <c r="L691" t="s">
        <v>28</v>
      </c>
      <c r="M691" s="12">
        <v>4</v>
      </c>
      <c r="N691" s="3">
        <f>G691*M691</f>
        <v>188</v>
      </c>
      <c r="O691" s="1">
        <v>45431</v>
      </c>
      <c r="P691" s="1">
        <v>45701</v>
      </c>
      <c r="Q691" s="1">
        <v>45419</v>
      </c>
      <c r="R691">
        <v>648</v>
      </c>
      <c r="S691">
        <v>378</v>
      </c>
      <c r="T691">
        <v>660</v>
      </c>
      <c r="U691" t="str">
        <f t="shared" si="20"/>
        <v>Safe</v>
      </c>
      <c r="V691" t="s">
        <v>2538</v>
      </c>
      <c r="W691">
        <v>76</v>
      </c>
      <c r="X691" s="3">
        <f t="shared" si="21"/>
        <v>14288</v>
      </c>
      <c r="Y691">
        <v>29</v>
      </c>
      <c r="Z691" t="s">
        <v>49</v>
      </c>
      <c r="AA691" s="3">
        <f>X691-Grocery_Inventory_and_Sales_Dat!N691</f>
        <v>14100</v>
      </c>
    </row>
    <row r="692" spans="1:27" x14ac:dyDescent="0.3">
      <c r="A692" t="s">
        <v>2539</v>
      </c>
      <c r="B692" t="s">
        <v>473</v>
      </c>
      <c r="C692" t="s">
        <v>24</v>
      </c>
      <c r="D692" t="s">
        <v>2540</v>
      </c>
      <c r="E692" s="13" t="s">
        <v>2274</v>
      </c>
      <c r="G692" s="2">
        <v>20</v>
      </c>
      <c r="H692">
        <v>25</v>
      </c>
      <c r="I692">
        <v>73</v>
      </c>
      <c r="J692" t="s">
        <v>27</v>
      </c>
      <c r="K692">
        <v>25</v>
      </c>
      <c r="L692" t="s">
        <v>41</v>
      </c>
      <c r="M692" s="12">
        <v>4.75</v>
      </c>
      <c r="N692" s="3">
        <f>G692*M692</f>
        <v>95</v>
      </c>
      <c r="O692" s="1">
        <v>45514</v>
      </c>
      <c r="P692" s="1">
        <v>45329</v>
      </c>
      <c r="Q692" s="1">
        <v>45560</v>
      </c>
      <c r="R692">
        <v>565</v>
      </c>
      <c r="S692">
        <v>750</v>
      </c>
      <c r="T692">
        <v>519</v>
      </c>
      <c r="U692" t="str">
        <f t="shared" si="20"/>
        <v>Expiring Soon</v>
      </c>
      <c r="V692" t="s">
        <v>2541</v>
      </c>
      <c r="W692">
        <v>78</v>
      </c>
      <c r="X692" s="3">
        <f t="shared" si="21"/>
        <v>7410</v>
      </c>
      <c r="Y692">
        <v>1</v>
      </c>
      <c r="Z692" t="s">
        <v>30</v>
      </c>
      <c r="AA692" s="3">
        <f>X692-Grocery_Inventory_and_Sales_Dat!N692</f>
        <v>7315</v>
      </c>
    </row>
    <row r="693" spans="1:27" x14ac:dyDescent="0.3">
      <c r="A693" t="s">
        <v>2542</v>
      </c>
      <c r="B693" t="s">
        <v>618</v>
      </c>
      <c r="C693" t="s">
        <v>70</v>
      </c>
      <c r="D693" t="s">
        <v>2543</v>
      </c>
      <c r="E693" s="13" t="s">
        <v>145</v>
      </c>
      <c r="G693" s="2">
        <v>41</v>
      </c>
      <c r="H693">
        <v>22</v>
      </c>
      <c r="I693">
        <v>11</v>
      </c>
      <c r="J693" t="s">
        <v>55</v>
      </c>
      <c r="K693">
        <v>0</v>
      </c>
      <c r="L693" t="s">
        <v>41</v>
      </c>
      <c r="M693" s="12">
        <v>7</v>
      </c>
      <c r="N693" s="3">
        <f>G693*M693</f>
        <v>287</v>
      </c>
      <c r="O693" s="1">
        <v>45462</v>
      </c>
      <c r="P693" s="1">
        <v>45405</v>
      </c>
      <c r="Q693" s="1">
        <v>45399</v>
      </c>
      <c r="R693">
        <v>617</v>
      </c>
      <c r="S693">
        <v>674</v>
      </c>
      <c r="T693">
        <v>680</v>
      </c>
      <c r="U693" t="str">
        <f t="shared" si="20"/>
        <v>Safe</v>
      </c>
      <c r="V693" t="s">
        <v>2544</v>
      </c>
      <c r="W693">
        <v>86</v>
      </c>
      <c r="X693" s="3">
        <f t="shared" si="21"/>
        <v>24682</v>
      </c>
      <c r="Y693">
        <v>30</v>
      </c>
      <c r="Z693" t="s">
        <v>49</v>
      </c>
      <c r="AA693" s="3">
        <f>X693-Grocery_Inventory_and_Sales_Dat!N693</f>
        <v>24395</v>
      </c>
    </row>
    <row r="694" spans="1:27" x14ac:dyDescent="0.3">
      <c r="A694" t="s">
        <v>2545</v>
      </c>
      <c r="B694" t="s">
        <v>514</v>
      </c>
      <c r="C694" t="s">
        <v>138</v>
      </c>
      <c r="D694" t="s">
        <v>2546</v>
      </c>
      <c r="E694" s="13" t="s">
        <v>1601</v>
      </c>
      <c r="G694" s="2">
        <v>46</v>
      </c>
      <c r="H694">
        <v>80</v>
      </c>
      <c r="I694">
        <v>88</v>
      </c>
      <c r="J694" t="s">
        <v>27</v>
      </c>
      <c r="K694">
        <v>80</v>
      </c>
      <c r="L694" t="s">
        <v>28</v>
      </c>
      <c r="M694" s="12">
        <v>7</v>
      </c>
      <c r="N694" s="3">
        <f>G694*M694</f>
        <v>322</v>
      </c>
      <c r="O694" s="1">
        <v>45554</v>
      </c>
      <c r="P694" s="1">
        <v>45479</v>
      </c>
      <c r="Q694" s="1">
        <v>45460</v>
      </c>
      <c r="R694">
        <v>525</v>
      </c>
      <c r="S694">
        <v>600</v>
      </c>
      <c r="T694">
        <v>619</v>
      </c>
      <c r="U694" t="str">
        <f t="shared" si="20"/>
        <v>Safe</v>
      </c>
      <c r="V694" t="s">
        <v>2547</v>
      </c>
      <c r="W694">
        <v>62</v>
      </c>
      <c r="X694" s="3">
        <f t="shared" si="21"/>
        <v>19964</v>
      </c>
      <c r="Y694">
        <v>22</v>
      </c>
      <c r="Z694" t="s">
        <v>30</v>
      </c>
      <c r="AA694" s="3">
        <f>X694-Grocery_Inventory_and_Sales_Dat!N694</f>
        <v>19642</v>
      </c>
    </row>
    <row r="695" spans="1:27" x14ac:dyDescent="0.3">
      <c r="A695" t="s">
        <v>2548</v>
      </c>
      <c r="B695" t="s">
        <v>461</v>
      </c>
      <c r="C695" t="s">
        <v>64</v>
      </c>
      <c r="D695" t="s">
        <v>2549</v>
      </c>
      <c r="E695" s="13" t="s">
        <v>344</v>
      </c>
      <c r="G695" s="2">
        <v>67</v>
      </c>
      <c r="H695">
        <v>57</v>
      </c>
      <c r="I695">
        <v>36</v>
      </c>
      <c r="J695" t="s">
        <v>55</v>
      </c>
      <c r="K695">
        <v>0</v>
      </c>
      <c r="L695" t="s">
        <v>41</v>
      </c>
      <c r="M695" s="12">
        <v>1.8</v>
      </c>
      <c r="N695" s="3">
        <f>G695*M695</f>
        <v>120.60000000000001</v>
      </c>
      <c r="O695" s="1">
        <v>45330</v>
      </c>
      <c r="P695" s="1">
        <v>45569</v>
      </c>
      <c r="Q695" s="1">
        <v>45439</v>
      </c>
      <c r="R695">
        <v>749</v>
      </c>
      <c r="S695">
        <v>510</v>
      </c>
      <c r="T695">
        <v>640</v>
      </c>
      <c r="U695" t="str">
        <f t="shared" si="20"/>
        <v>Safe</v>
      </c>
      <c r="V695" t="s">
        <v>2550</v>
      </c>
      <c r="W695">
        <v>78</v>
      </c>
      <c r="X695" s="3">
        <f t="shared" si="21"/>
        <v>9406.8000000000011</v>
      </c>
      <c r="Y695">
        <v>60</v>
      </c>
      <c r="Z695" t="s">
        <v>49</v>
      </c>
      <c r="AA695" s="3">
        <f>X695-Grocery_Inventory_and_Sales_Dat!N695</f>
        <v>9286.2000000000007</v>
      </c>
    </row>
    <row r="696" spans="1:27" x14ac:dyDescent="0.3">
      <c r="A696" t="s">
        <v>2551</v>
      </c>
      <c r="B696" t="s">
        <v>391</v>
      </c>
      <c r="C696" t="s">
        <v>24</v>
      </c>
      <c r="D696" t="s">
        <v>2552</v>
      </c>
      <c r="E696" s="13" t="s">
        <v>2553</v>
      </c>
      <c r="G696" s="2">
        <v>51</v>
      </c>
      <c r="H696">
        <v>19</v>
      </c>
      <c r="I696">
        <v>96</v>
      </c>
      <c r="J696" t="s">
        <v>55</v>
      </c>
      <c r="K696">
        <v>0</v>
      </c>
      <c r="L696" t="s">
        <v>41</v>
      </c>
      <c r="M696" s="12">
        <v>4.5</v>
      </c>
      <c r="N696" s="3">
        <f>G696*M696</f>
        <v>229.5</v>
      </c>
      <c r="O696" s="1">
        <v>45619</v>
      </c>
      <c r="P696" s="1">
        <v>45902</v>
      </c>
      <c r="Q696" s="1">
        <v>45469</v>
      </c>
      <c r="R696">
        <v>460</v>
      </c>
      <c r="S696">
        <v>177</v>
      </c>
      <c r="T696">
        <v>610</v>
      </c>
      <c r="U696" t="str">
        <f t="shared" si="20"/>
        <v>Safe</v>
      </c>
      <c r="V696" t="s">
        <v>2554</v>
      </c>
      <c r="W696">
        <v>73</v>
      </c>
      <c r="X696" s="3">
        <f t="shared" si="21"/>
        <v>16753.5</v>
      </c>
      <c r="Y696">
        <v>42</v>
      </c>
      <c r="Z696" t="s">
        <v>49</v>
      </c>
      <c r="AA696" s="3">
        <f>X696-Grocery_Inventory_and_Sales_Dat!N696</f>
        <v>16524</v>
      </c>
    </row>
    <row r="697" spans="1:27" x14ac:dyDescent="0.3">
      <c r="A697" t="s">
        <v>2555</v>
      </c>
      <c r="B697" t="s">
        <v>89</v>
      </c>
      <c r="C697" t="s">
        <v>24</v>
      </c>
      <c r="D697" t="s">
        <v>2556</v>
      </c>
      <c r="E697" s="13" t="s">
        <v>792</v>
      </c>
      <c r="G697" s="2">
        <v>42</v>
      </c>
      <c r="H697">
        <v>12</v>
      </c>
      <c r="I697">
        <v>28</v>
      </c>
      <c r="J697" t="s">
        <v>55</v>
      </c>
      <c r="K697">
        <v>0</v>
      </c>
      <c r="L697" t="s">
        <v>41</v>
      </c>
      <c r="M697" s="12">
        <v>2</v>
      </c>
      <c r="N697" s="3">
        <f>G697*M697</f>
        <v>84</v>
      </c>
      <c r="O697" s="1">
        <v>45568</v>
      </c>
      <c r="P697" s="1">
        <v>45295</v>
      </c>
      <c r="Q697" s="1">
        <v>45422</v>
      </c>
      <c r="R697">
        <v>511</v>
      </c>
      <c r="S697">
        <v>784</v>
      </c>
      <c r="T697">
        <v>657</v>
      </c>
      <c r="U697" t="str">
        <f t="shared" si="20"/>
        <v>Safe</v>
      </c>
      <c r="V697" t="s">
        <v>2557</v>
      </c>
      <c r="W697">
        <v>80</v>
      </c>
      <c r="X697" s="3">
        <f t="shared" si="21"/>
        <v>6720</v>
      </c>
      <c r="Y697">
        <v>8</v>
      </c>
      <c r="Z697" t="s">
        <v>30</v>
      </c>
      <c r="AA697" s="3">
        <f>X697-Grocery_Inventory_and_Sales_Dat!N697</f>
        <v>6636</v>
      </c>
    </row>
    <row r="698" spans="1:27" x14ac:dyDescent="0.3">
      <c r="A698" t="s">
        <v>2558</v>
      </c>
      <c r="B698" t="s">
        <v>743</v>
      </c>
      <c r="C698" t="s">
        <v>64</v>
      </c>
      <c r="D698" t="s">
        <v>2559</v>
      </c>
      <c r="E698" s="13" t="s">
        <v>2560</v>
      </c>
      <c r="G698" s="2">
        <v>85</v>
      </c>
      <c r="H698">
        <v>86</v>
      </c>
      <c r="I698">
        <v>21</v>
      </c>
      <c r="J698" t="s">
        <v>27</v>
      </c>
      <c r="K698">
        <v>86</v>
      </c>
      <c r="L698" t="s">
        <v>28</v>
      </c>
      <c r="M698" s="12">
        <v>6.5</v>
      </c>
      <c r="N698" s="3">
        <f>G698*M698</f>
        <v>552.5</v>
      </c>
      <c r="O698" s="1">
        <v>45473</v>
      </c>
      <c r="P698" s="1">
        <v>45497</v>
      </c>
      <c r="Q698" s="1">
        <v>45491</v>
      </c>
      <c r="R698">
        <v>606</v>
      </c>
      <c r="S698">
        <v>582</v>
      </c>
      <c r="T698">
        <v>588</v>
      </c>
      <c r="U698" t="str">
        <f t="shared" si="20"/>
        <v>Safe</v>
      </c>
      <c r="V698" t="s">
        <v>2561</v>
      </c>
      <c r="W698">
        <v>78</v>
      </c>
      <c r="X698" s="3">
        <f t="shared" si="21"/>
        <v>43095</v>
      </c>
      <c r="Y698">
        <v>53</v>
      </c>
      <c r="Z698" t="s">
        <v>43</v>
      </c>
      <c r="AA698" s="3">
        <f>X698-Grocery_Inventory_and_Sales_Dat!N698</f>
        <v>42542.5</v>
      </c>
    </row>
    <row r="699" spans="1:27" x14ac:dyDescent="0.3">
      <c r="A699" t="s">
        <v>2562</v>
      </c>
      <c r="B699" t="s">
        <v>870</v>
      </c>
      <c r="C699" t="s">
        <v>64</v>
      </c>
      <c r="D699" t="s">
        <v>2563</v>
      </c>
      <c r="E699" s="13" t="s">
        <v>763</v>
      </c>
      <c r="G699" s="2">
        <v>23</v>
      </c>
      <c r="H699">
        <v>43</v>
      </c>
      <c r="I699">
        <v>75</v>
      </c>
      <c r="J699" t="s">
        <v>27</v>
      </c>
      <c r="K699">
        <v>43</v>
      </c>
      <c r="L699" t="s">
        <v>41</v>
      </c>
      <c r="M699" s="12">
        <v>2.5</v>
      </c>
      <c r="N699" s="3">
        <f>G699*M699</f>
        <v>57.5</v>
      </c>
      <c r="O699" s="1">
        <v>45515</v>
      </c>
      <c r="P699" s="1">
        <v>45596</v>
      </c>
      <c r="Q699" s="1">
        <v>45385</v>
      </c>
      <c r="R699">
        <v>564</v>
      </c>
      <c r="S699">
        <v>483</v>
      </c>
      <c r="T699">
        <v>694</v>
      </c>
      <c r="U699" t="str">
        <f t="shared" si="20"/>
        <v>Safe</v>
      </c>
      <c r="V699" t="s">
        <v>2564</v>
      </c>
      <c r="W699">
        <v>91</v>
      </c>
      <c r="X699" s="3">
        <f t="shared" si="21"/>
        <v>5232.5</v>
      </c>
      <c r="Y699">
        <v>86</v>
      </c>
      <c r="Z699" t="s">
        <v>30</v>
      </c>
      <c r="AA699" s="3">
        <f>X699-Grocery_Inventory_and_Sales_Dat!N699</f>
        <v>5175</v>
      </c>
    </row>
    <row r="700" spans="1:27" x14ac:dyDescent="0.3">
      <c r="A700" t="s">
        <v>2565</v>
      </c>
      <c r="B700" t="s">
        <v>374</v>
      </c>
      <c r="C700" t="s">
        <v>52</v>
      </c>
      <c r="D700" t="s">
        <v>2566</v>
      </c>
      <c r="E700" s="13" t="s">
        <v>1779</v>
      </c>
      <c r="G700" s="2">
        <v>84</v>
      </c>
      <c r="H700">
        <v>26</v>
      </c>
      <c r="I700">
        <v>37</v>
      </c>
      <c r="J700" t="s">
        <v>55</v>
      </c>
      <c r="K700">
        <v>0</v>
      </c>
      <c r="L700" t="s">
        <v>41</v>
      </c>
      <c r="M700" s="12">
        <v>4.5</v>
      </c>
      <c r="N700" s="3">
        <f>G700*M700</f>
        <v>378</v>
      </c>
      <c r="O700" s="1">
        <v>45397</v>
      </c>
      <c r="P700" s="1">
        <v>45349</v>
      </c>
      <c r="Q700" s="1">
        <v>45681</v>
      </c>
      <c r="R700">
        <v>682</v>
      </c>
      <c r="S700">
        <v>730</v>
      </c>
      <c r="T700">
        <v>398</v>
      </c>
      <c r="U700" t="str">
        <f t="shared" si="20"/>
        <v>Expiring Soon</v>
      </c>
      <c r="V700" t="s">
        <v>2567</v>
      </c>
      <c r="W700">
        <v>46</v>
      </c>
      <c r="X700" s="3">
        <f t="shared" si="21"/>
        <v>17388</v>
      </c>
      <c r="Y700">
        <v>67</v>
      </c>
      <c r="Z700" t="s">
        <v>43</v>
      </c>
      <c r="AA700" s="3">
        <f>X700-Grocery_Inventory_and_Sales_Dat!N700</f>
        <v>17010</v>
      </c>
    </row>
    <row r="701" spans="1:27" x14ac:dyDescent="0.3">
      <c r="A701" t="s">
        <v>2568</v>
      </c>
      <c r="B701" t="s">
        <v>75</v>
      </c>
      <c r="C701" t="s">
        <v>52</v>
      </c>
      <c r="D701" t="s">
        <v>2569</v>
      </c>
      <c r="E701" s="13" t="s">
        <v>2570</v>
      </c>
      <c r="G701" s="2">
        <v>28</v>
      </c>
      <c r="H701">
        <v>38</v>
      </c>
      <c r="I701">
        <v>23</v>
      </c>
      <c r="J701" t="s">
        <v>27</v>
      </c>
      <c r="K701">
        <v>38</v>
      </c>
      <c r="L701" t="s">
        <v>41</v>
      </c>
      <c r="M701" s="12">
        <v>42.58</v>
      </c>
      <c r="N701" s="3">
        <f>G701*M701</f>
        <v>1192.24</v>
      </c>
      <c r="O701" s="1">
        <v>45593</v>
      </c>
      <c r="P701" s="1">
        <v>45641</v>
      </c>
      <c r="Q701" s="1">
        <v>45512</v>
      </c>
      <c r="R701">
        <v>486</v>
      </c>
      <c r="S701">
        <v>438</v>
      </c>
      <c r="T701">
        <v>567</v>
      </c>
      <c r="U701" t="str">
        <f t="shared" si="20"/>
        <v>Safe</v>
      </c>
      <c r="V701" t="s">
        <v>2571</v>
      </c>
      <c r="W701">
        <v>48</v>
      </c>
      <c r="X701" s="3">
        <f t="shared" si="21"/>
        <v>57227.520000000004</v>
      </c>
      <c r="Y701">
        <v>56</v>
      </c>
      <c r="Z701" t="s">
        <v>43</v>
      </c>
      <c r="AA701" s="3">
        <f>X701-Grocery_Inventory_and_Sales_Dat!N701</f>
        <v>56035.280000000006</v>
      </c>
    </row>
    <row r="702" spans="1:27" x14ac:dyDescent="0.3">
      <c r="A702" t="s">
        <v>2572</v>
      </c>
      <c r="B702" t="s">
        <v>288</v>
      </c>
      <c r="C702" t="s">
        <v>95</v>
      </c>
      <c r="D702" t="s">
        <v>2573</v>
      </c>
      <c r="E702" s="13" t="s">
        <v>1289</v>
      </c>
      <c r="G702" s="2">
        <v>62</v>
      </c>
      <c r="H702">
        <v>49</v>
      </c>
      <c r="I702">
        <v>38</v>
      </c>
      <c r="J702" t="s">
        <v>55</v>
      </c>
      <c r="K702">
        <v>0</v>
      </c>
      <c r="L702" t="s">
        <v>41</v>
      </c>
      <c r="M702" s="12">
        <v>2.5</v>
      </c>
      <c r="N702" s="3">
        <f>G702*M702</f>
        <v>155</v>
      </c>
      <c r="O702" s="1">
        <v>45642</v>
      </c>
      <c r="P702" s="1">
        <v>45441</v>
      </c>
      <c r="Q702" s="1">
        <v>45574</v>
      </c>
      <c r="R702">
        <v>437</v>
      </c>
      <c r="S702">
        <v>638</v>
      </c>
      <c r="T702">
        <v>505</v>
      </c>
      <c r="U702" t="str">
        <f t="shared" si="20"/>
        <v>Expiring Soon</v>
      </c>
      <c r="V702" t="s">
        <v>2574</v>
      </c>
      <c r="W702">
        <v>42</v>
      </c>
      <c r="X702" s="3">
        <f t="shared" si="21"/>
        <v>6510</v>
      </c>
      <c r="Y702">
        <v>44</v>
      </c>
      <c r="Z702" t="s">
        <v>30</v>
      </c>
      <c r="AA702" s="3">
        <f>X702-Grocery_Inventory_and_Sales_Dat!N702</f>
        <v>6355</v>
      </c>
    </row>
    <row r="703" spans="1:27" x14ac:dyDescent="0.3">
      <c r="A703" t="s">
        <v>2575</v>
      </c>
      <c r="B703" t="s">
        <v>69</v>
      </c>
      <c r="C703" t="s">
        <v>70</v>
      </c>
      <c r="D703" t="s">
        <v>2576</v>
      </c>
      <c r="E703" s="13" t="s">
        <v>1230</v>
      </c>
      <c r="G703" s="2">
        <v>65</v>
      </c>
      <c r="H703">
        <v>94</v>
      </c>
      <c r="I703">
        <v>4</v>
      </c>
      <c r="J703" t="s">
        <v>27</v>
      </c>
      <c r="K703">
        <v>94</v>
      </c>
      <c r="L703" t="s">
        <v>28</v>
      </c>
      <c r="M703" s="12">
        <v>2.5</v>
      </c>
      <c r="N703" s="3">
        <f>G703*M703</f>
        <v>162.5</v>
      </c>
      <c r="O703" s="1">
        <v>45504</v>
      </c>
      <c r="P703" s="1">
        <v>45687</v>
      </c>
      <c r="Q703" s="1">
        <v>45654</v>
      </c>
      <c r="R703">
        <v>575</v>
      </c>
      <c r="S703">
        <v>392</v>
      </c>
      <c r="T703">
        <v>425</v>
      </c>
      <c r="U703" t="str">
        <f t="shared" si="20"/>
        <v>Expiring Soon</v>
      </c>
      <c r="V703" t="s">
        <v>2577</v>
      </c>
      <c r="W703">
        <v>66</v>
      </c>
      <c r="X703" s="3">
        <f t="shared" si="21"/>
        <v>10725</v>
      </c>
      <c r="Y703">
        <v>36</v>
      </c>
      <c r="Z703" t="s">
        <v>43</v>
      </c>
      <c r="AA703" s="3">
        <f>X703-Grocery_Inventory_and_Sales_Dat!N703</f>
        <v>10562.5</v>
      </c>
    </row>
    <row r="704" spans="1:27" x14ac:dyDescent="0.3">
      <c r="A704" t="s">
        <v>2578</v>
      </c>
      <c r="B704" t="s">
        <v>887</v>
      </c>
      <c r="C704" t="s">
        <v>52</v>
      </c>
      <c r="D704" t="s">
        <v>2579</v>
      </c>
      <c r="E704" s="13" t="s">
        <v>2580</v>
      </c>
      <c r="G704" s="2">
        <v>18</v>
      </c>
      <c r="H704">
        <v>8</v>
      </c>
      <c r="I704">
        <v>68</v>
      </c>
      <c r="J704" t="s">
        <v>55</v>
      </c>
      <c r="K704">
        <v>0</v>
      </c>
      <c r="L704" t="s">
        <v>41</v>
      </c>
      <c r="M704" s="12">
        <v>2</v>
      </c>
      <c r="N704" s="3">
        <f>G704*M704</f>
        <v>36</v>
      </c>
      <c r="O704" s="1">
        <v>45328</v>
      </c>
      <c r="P704" s="1">
        <v>45361</v>
      </c>
      <c r="Q704" s="1">
        <v>45401</v>
      </c>
      <c r="R704">
        <v>751</v>
      </c>
      <c r="S704">
        <v>718</v>
      </c>
      <c r="T704">
        <v>678</v>
      </c>
      <c r="U704" t="str">
        <f t="shared" si="20"/>
        <v>Safe</v>
      </c>
      <c r="V704" t="s">
        <v>2581</v>
      </c>
      <c r="W704">
        <v>54</v>
      </c>
      <c r="X704" s="3">
        <f t="shared" si="21"/>
        <v>1944</v>
      </c>
      <c r="Y704">
        <v>45</v>
      </c>
      <c r="Z704" t="s">
        <v>43</v>
      </c>
      <c r="AA704" s="3">
        <f>X704-Grocery_Inventory_and_Sales_Dat!N704</f>
        <v>1908</v>
      </c>
    </row>
    <row r="705" spans="1:27" x14ac:dyDescent="0.3">
      <c r="A705" t="s">
        <v>2582</v>
      </c>
      <c r="B705" t="s">
        <v>2294</v>
      </c>
      <c r="C705" t="s">
        <v>70</v>
      </c>
      <c r="D705" t="s">
        <v>2583</v>
      </c>
      <c r="E705" s="13" t="s">
        <v>2584</v>
      </c>
      <c r="G705" s="2">
        <v>70</v>
      </c>
      <c r="H705">
        <v>29</v>
      </c>
      <c r="I705">
        <v>24</v>
      </c>
      <c r="J705" t="s">
        <v>55</v>
      </c>
      <c r="K705">
        <v>0</v>
      </c>
      <c r="L705" t="s">
        <v>41</v>
      </c>
      <c r="M705" s="12">
        <v>0.2</v>
      </c>
      <c r="N705" s="3">
        <f>G705*M705</f>
        <v>14</v>
      </c>
      <c r="O705" s="1">
        <v>45382</v>
      </c>
      <c r="P705" s="1">
        <v>45591</v>
      </c>
      <c r="Q705" s="1">
        <v>45552</v>
      </c>
      <c r="R705">
        <v>697</v>
      </c>
      <c r="S705">
        <v>488</v>
      </c>
      <c r="T705">
        <v>527</v>
      </c>
      <c r="U705" t="str">
        <f t="shared" si="20"/>
        <v>Expiring Soon</v>
      </c>
      <c r="V705" t="s">
        <v>2585</v>
      </c>
      <c r="W705">
        <v>62</v>
      </c>
      <c r="X705" s="3">
        <f t="shared" si="21"/>
        <v>868</v>
      </c>
      <c r="Y705">
        <v>55</v>
      </c>
      <c r="Z705" t="s">
        <v>43</v>
      </c>
      <c r="AA705" s="3">
        <f>X705-Grocery_Inventory_and_Sales_Dat!N705</f>
        <v>854</v>
      </c>
    </row>
    <row r="706" spans="1:27" x14ac:dyDescent="0.3">
      <c r="A706" t="s">
        <v>2586</v>
      </c>
      <c r="B706" t="s">
        <v>716</v>
      </c>
      <c r="C706" t="s">
        <v>64</v>
      </c>
      <c r="D706" t="s">
        <v>2587</v>
      </c>
      <c r="E706" s="13" t="s">
        <v>1017</v>
      </c>
      <c r="G706" s="2">
        <v>23</v>
      </c>
      <c r="H706">
        <v>71</v>
      </c>
      <c r="I706">
        <v>32</v>
      </c>
      <c r="J706" t="s">
        <v>27</v>
      </c>
      <c r="K706">
        <v>71</v>
      </c>
      <c r="L706" t="s">
        <v>28</v>
      </c>
      <c r="M706" s="12">
        <v>2</v>
      </c>
      <c r="N706" s="3">
        <f>G706*M706</f>
        <v>46</v>
      </c>
      <c r="O706" s="1">
        <v>45396</v>
      </c>
      <c r="P706" s="1">
        <v>45673</v>
      </c>
      <c r="Q706" s="1">
        <v>45522</v>
      </c>
      <c r="R706">
        <v>683</v>
      </c>
      <c r="S706">
        <v>406</v>
      </c>
      <c r="T706">
        <v>557</v>
      </c>
      <c r="U706" t="str">
        <f t="shared" si="20"/>
        <v>Safe</v>
      </c>
      <c r="V706" t="s">
        <v>2588</v>
      </c>
      <c r="W706">
        <v>63</v>
      </c>
      <c r="X706" s="3">
        <f t="shared" si="21"/>
        <v>2898</v>
      </c>
      <c r="Y706">
        <v>23</v>
      </c>
      <c r="Z706" t="s">
        <v>30</v>
      </c>
      <c r="AA706" s="3">
        <f>X706-Grocery_Inventory_and_Sales_Dat!N706</f>
        <v>2852</v>
      </c>
    </row>
    <row r="707" spans="1:27" x14ac:dyDescent="0.3">
      <c r="A707" t="s">
        <v>2589</v>
      </c>
      <c r="B707" t="s">
        <v>473</v>
      </c>
      <c r="C707" t="s">
        <v>24</v>
      </c>
      <c r="D707" t="s">
        <v>2590</v>
      </c>
      <c r="E707" s="13" t="s">
        <v>1030</v>
      </c>
      <c r="G707" s="2">
        <v>26</v>
      </c>
      <c r="H707">
        <v>83</v>
      </c>
      <c r="I707">
        <v>24</v>
      </c>
      <c r="J707" t="s">
        <v>27</v>
      </c>
      <c r="K707">
        <v>83</v>
      </c>
      <c r="L707" t="s">
        <v>28</v>
      </c>
      <c r="M707" s="12">
        <v>4.75</v>
      </c>
      <c r="N707" s="3">
        <f>G707*M707</f>
        <v>123.5</v>
      </c>
      <c r="O707" s="1">
        <v>45840</v>
      </c>
      <c r="P707" s="1">
        <v>45594</v>
      </c>
      <c r="Q707" s="1">
        <v>45429</v>
      </c>
      <c r="R707">
        <v>239</v>
      </c>
      <c r="S707">
        <v>485</v>
      </c>
      <c r="T707">
        <v>650</v>
      </c>
      <c r="U707" t="str">
        <f t="shared" ref="U707:U770" si="22">IF(T707&lt;0,"Expired",IF(T707&lt;=550,"Expiring Soon","Safe"))</f>
        <v>Safe</v>
      </c>
      <c r="V707" t="s">
        <v>2591</v>
      </c>
      <c r="W707">
        <v>75</v>
      </c>
      <c r="X707" s="3">
        <f t="shared" ref="X707:X770" si="23">W707*N707</f>
        <v>9262.5</v>
      </c>
      <c r="Y707">
        <v>12</v>
      </c>
      <c r="Z707" t="s">
        <v>43</v>
      </c>
      <c r="AA707" s="3">
        <f>X707-Grocery_Inventory_and_Sales_Dat!N707</f>
        <v>9139</v>
      </c>
    </row>
    <row r="708" spans="1:27" x14ac:dyDescent="0.3">
      <c r="A708" t="s">
        <v>2592</v>
      </c>
      <c r="B708" t="s">
        <v>781</v>
      </c>
      <c r="C708" t="s">
        <v>33</v>
      </c>
      <c r="D708" t="s">
        <v>2593</v>
      </c>
      <c r="E708" s="13" t="s">
        <v>1923</v>
      </c>
      <c r="G708" s="2">
        <v>20</v>
      </c>
      <c r="H708">
        <v>42</v>
      </c>
      <c r="I708">
        <v>45</v>
      </c>
      <c r="J708" t="s">
        <v>27</v>
      </c>
      <c r="K708">
        <v>42</v>
      </c>
      <c r="L708" t="s">
        <v>41</v>
      </c>
      <c r="M708" s="12">
        <v>10</v>
      </c>
      <c r="N708" s="3">
        <f>G708*M708</f>
        <v>200</v>
      </c>
      <c r="O708" s="1">
        <v>45373</v>
      </c>
      <c r="P708" s="1">
        <v>45468</v>
      </c>
      <c r="Q708" s="1">
        <v>45557</v>
      </c>
      <c r="R708">
        <v>706</v>
      </c>
      <c r="S708">
        <v>611</v>
      </c>
      <c r="T708">
        <v>522</v>
      </c>
      <c r="U708" t="str">
        <f t="shared" si="22"/>
        <v>Expiring Soon</v>
      </c>
      <c r="V708" t="s">
        <v>2594</v>
      </c>
      <c r="W708">
        <v>72</v>
      </c>
      <c r="X708" s="3">
        <f t="shared" si="23"/>
        <v>14400</v>
      </c>
      <c r="Y708">
        <v>28</v>
      </c>
      <c r="Z708" t="s">
        <v>30</v>
      </c>
      <c r="AA708" s="3">
        <f>X708-Grocery_Inventory_and_Sales_Dat!N708</f>
        <v>14200</v>
      </c>
    </row>
    <row r="709" spans="1:27" x14ac:dyDescent="0.3">
      <c r="A709" t="s">
        <v>2595</v>
      </c>
      <c r="B709" t="s">
        <v>350</v>
      </c>
      <c r="C709" t="s">
        <v>70</v>
      </c>
      <c r="D709" t="s">
        <v>2596</v>
      </c>
      <c r="E709" s="13" t="s">
        <v>2597</v>
      </c>
      <c r="G709" s="2">
        <v>55</v>
      </c>
      <c r="H709">
        <v>58</v>
      </c>
      <c r="I709">
        <v>6</v>
      </c>
      <c r="J709" t="s">
        <v>27</v>
      </c>
      <c r="K709">
        <v>58</v>
      </c>
      <c r="L709" t="s">
        <v>41</v>
      </c>
      <c r="M709" s="12">
        <v>7.2</v>
      </c>
      <c r="N709" s="3">
        <f>G709*M709</f>
        <v>396</v>
      </c>
      <c r="O709" s="1">
        <v>45674</v>
      </c>
      <c r="P709" s="1">
        <v>45633</v>
      </c>
      <c r="Q709" s="1">
        <v>45558</v>
      </c>
      <c r="R709">
        <v>405</v>
      </c>
      <c r="S709">
        <v>446</v>
      </c>
      <c r="T709">
        <v>521</v>
      </c>
      <c r="U709" t="str">
        <f t="shared" si="22"/>
        <v>Expiring Soon</v>
      </c>
      <c r="V709" t="s">
        <v>2598</v>
      </c>
      <c r="W709">
        <v>48</v>
      </c>
      <c r="X709" s="3">
        <f t="shared" si="23"/>
        <v>19008</v>
      </c>
      <c r="Y709">
        <v>17</v>
      </c>
      <c r="Z709" t="s">
        <v>30</v>
      </c>
      <c r="AA709" s="3">
        <f>X709-Grocery_Inventory_and_Sales_Dat!N709</f>
        <v>18612</v>
      </c>
    </row>
    <row r="710" spans="1:27" x14ac:dyDescent="0.3">
      <c r="A710" t="s">
        <v>2599</v>
      </c>
      <c r="B710" t="s">
        <v>777</v>
      </c>
      <c r="C710" t="s">
        <v>24</v>
      </c>
      <c r="D710" t="s">
        <v>2600</v>
      </c>
      <c r="E710" s="13" t="s">
        <v>2601</v>
      </c>
      <c r="G710" s="2">
        <v>82</v>
      </c>
      <c r="H710">
        <v>67</v>
      </c>
      <c r="I710">
        <v>67</v>
      </c>
      <c r="J710" t="s">
        <v>55</v>
      </c>
      <c r="K710">
        <v>0</v>
      </c>
      <c r="L710" t="s">
        <v>41</v>
      </c>
      <c r="M710" s="12">
        <v>2.75</v>
      </c>
      <c r="N710" s="3">
        <f>G710*M710</f>
        <v>225.5</v>
      </c>
      <c r="O710" s="1">
        <v>45376</v>
      </c>
      <c r="P710" s="1">
        <v>45480</v>
      </c>
      <c r="Q710" s="1">
        <v>45584</v>
      </c>
      <c r="R710">
        <v>703</v>
      </c>
      <c r="S710">
        <v>599</v>
      </c>
      <c r="T710">
        <v>495</v>
      </c>
      <c r="U710" t="str">
        <f t="shared" si="22"/>
        <v>Expiring Soon</v>
      </c>
      <c r="V710" t="s">
        <v>2602</v>
      </c>
      <c r="W710">
        <v>26</v>
      </c>
      <c r="X710" s="3">
        <f t="shared" si="23"/>
        <v>5863</v>
      </c>
      <c r="Y710">
        <v>1</v>
      </c>
      <c r="Z710" t="s">
        <v>43</v>
      </c>
      <c r="AA710" s="3">
        <f>X710-Grocery_Inventory_and_Sales_Dat!N710</f>
        <v>5637.5</v>
      </c>
    </row>
    <row r="711" spans="1:27" x14ac:dyDescent="0.3">
      <c r="A711" t="s">
        <v>2603</v>
      </c>
      <c r="B711" t="s">
        <v>1485</v>
      </c>
      <c r="C711" t="s">
        <v>138</v>
      </c>
      <c r="D711" t="s">
        <v>2604</v>
      </c>
      <c r="E711" s="13" t="s">
        <v>2605</v>
      </c>
      <c r="G711" s="2">
        <v>73</v>
      </c>
      <c r="H711">
        <v>12</v>
      </c>
      <c r="I711">
        <v>28</v>
      </c>
      <c r="J711" t="s">
        <v>55</v>
      </c>
      <c r="K711">
        <v>0</v>
      </c>
      <c r="L711" t="s">
        <v>41</v>
      </c>
      <c r="M711" s="12">
        <v>15</v>
      </c>
      <c r="N711" s="3">
        <f>G711*M711</f>
        <v>1095</v>
      </c>
      <c r="O711" s="1">
        <v>45550</v>
      </c>
      <c r="P711" s="1">
        <v>45510</v>
      </c>
      <c r="Q711" s="1">
        <v>45625</v>
      </c>
      <c r="R711">
        <v>529</v>
      </c>
      <c r="S711">
        <v>569</v>
      </c>
      <c r="T711">
        <v>454</v>
      </c>
      <c r="U711" t="str">
        <f t="shared" si="22"/>
        <v>Expiring Soon</v>
      </c>
      <c r="V711" t="s">
        <v>2606</v>
      </c>
      <c r="W711">
        <v>89</v>
      </c>
      <c r="X711" s="3">
        <f t="shared" si="23"/>
        <v>97455</v>
      </c>
      <c r="Y711">
        <v>92</v>
      </c>
      <c r="Z711" t="s">
        <v>49</v>
      </c>
      <c r="AA711" s="3">
        <f>X711-Grocery_Inventory_and_Sales_Dat!N711</f>
        <v>96360</v>
      </c>
    </row>
    <row r="712" spans="1:27" x14ac:dyDescent="0.3">
      <c r="A712" t="s">
        <v>2607</v>
      </c>
      <c r="B712" t="s">
        <v>342</v>
      </c>
      <c r="C712" t="s">
        <v>33</v>
      </c>
      <c r="D712" t="s">
        <v>2608</v>
      </c>
      <c r="E712" s="13" t="s">
        <v>2609</v>
      </c>
      <c r="G712" s="2">
        <v>81</v>
      </c>
      <c r="H712">
        <v>83</v>
      </c>
      <c r="I712">
        <v>36</v>
      </c>
      <c r="J712" t="s">
        <v>27</v>
      </c>
      <c r="K712">
        <v>83</v>
      </c>
      <c r="L712" t="s">
        <v>28</v>
      </c>
      <c r="M712" s="12">
        <v>25</v>
      </c>
      <c r="N712" s="3">
        <f>G712*M712</f>
        <v>2025</v>
      </c>
      <c r="O712" s="1">
        <v>45591</v>
      </c>
      <c r="P712" s="1">
        <v>45839</v>
      </c>
      <c r="Q712" s="1">
        <v>45581</v>
      </c>
      <c r="R712">
        <v>488</v>
      </c>
      <c r="S712">
        <v>240</v>
      </c>
      <c r="T712">
        <v>498</v>
      </c>
      <c r="U712" t="str">
        <f t="shared" si="22"/>
        <v>Expiring Soon</v>
      </c>
      <c r="V712" t="s">
        <v>2610</v>
      </c>
      <c r="W712">
        <v>74</v>
      </c>
      <c r="X712" s="3">
        <f t="shared" si="23"/>
        <v>149850</v>
      </c>
      <c r="Y712">
        <v>86</v>
      </c>
      <c r="Z712" t="s">
        <v>43</v>
      </c>
      <c r="AA712" s="3">
        <f>X712-Grocery_Inventory_and_Sales_Dat!N712</f>
        <v>147825</v>
      </c>
    </row>
    <row r="713" spans="1:27" x14ac:dyDescent="0.3">
      <c r="A713" t="s">
        <v>2611</v>
      </c>
      <c r="B713" t="s">
        <v>207</v>
      </c>
      <c r="C713" t="s">
        <v>52</v>
      </c>
      <c r="D713" t="s">
        <v>2612</v>
      </c>
      <c r="E713" s="13" t="s">
        <v>920</v>
      </c>
      <c r="G713" s="2">
        <v>20</v>
      </c>
      <c r="H713">
        <v>65</v>
      </c>
      <c r="I713">
        <v>61</v>
      </c>
      <c r="J713" t="s">
        <v>27</v>
      </c>
      <c r="K713">
        <v>65</v>
      </c>
      <c r="L713" t="s">
        <v>28</v>
      </c>
      <c r="M713" s="12">
        <v>2</v>
      </c>
      <c r="N713" s="3">
        <f>G713*M713</f>
        <v>40</v>
      </c>
      <c r="O713" s="1">
        <v>45389</v>
      </c>
      <c r="P713" s="1">
        <v>45572</v>
      </c>
      <c r="Q713" s="1">
        <v>45580</v>
      </c>
      <c r="R713">
        <v>690</v>
      </c>
      <c r="S713">
        <v>507</v>
      </c>
      <c r="T713">
        <v>499</v>
      </c>
      <c r="U713" t="str">
        <f t="shared" si="22"/>
        <v>Expiring Soon</v>
      </c>
      <c r="V713" t="s">
        <v>2613</v>
      </c>
      <c r="W713">
        <v>51</v>
      </c>
      <c r="X713" s="3">
        <f t="shared" si="23"/>
        <v>2040</v>
      </c>
      <c r="Y713">
        <v>78</v>
      </c>
      <c r="Z713" t="s">
        <v>49</v>
      </c>
      <c r="AA713" s="3">
        <f>X713-Grocery_Inventory_and_Sales_Dat!N713</f>
        <v>2000</v>
      </c>
    </row>
    <row r="714" spans="1:27" x14ac:dyDescent="0.3">
      <c r="A714" t="s">
        <v>2614</v>
      </c>
      <c r="B714" t="s">
        <v>240</v>
      </c>
      <c r="C714" t="s">
        <v>33</v>
      </c>
      <c r="D714" t="s">
        <v>2615</v>
      </c>
      <c r="E714" s="13" t="s">
        <v>1645</v>
      </c>
      <c r="G714" s="2">
        <v>78</v>
      </c>
      <c r="H714">
        <v>38</v>
      </c>
      <c r="I714">
        <v>27</v>
      </c>
      <c r="J714" t="s">
        <v>55</v>
      </c>
      <c r="K714">
        <v>0</v>
      </c>
      <c r="L714" t="s">
        <v>41</v>
      </c>
      <c r="M714" s="12">
        <v>15</v>
      </c>
      <c r="N714" s="3">
        <f>G714*M714</f>
        <v>1170</v>
      </c>
      <c r="O714" s="1">
        <v>45447</v>
      </c>
      <c r="P714" s="1">
        <v>45542</v>
      </c>
      <c r="Q714" s="1">
        <v>45547</v>
      </c>
      <c r="R714">
        <v>632</v>
      </c>
      <c r="S714">
        <v>537</v>
      </c>
      <c r="T714">
        <v>532</v>
      </c>
      <c r="U714" t="str">
        <f t="shared" si="22"/>
        <v>Expiring Soon</v>
      </c>
      <c r="V714" t="s">
        <v>2616</v>
      </c>
      <c r="W714">
        <v>54</v>
      </c>
      <c r="X714" s="3">
        <f t="shared" si="23"/>
        <v>63180</v>
      </c>
      <c r="Y714">
        <v>42</v>
      </c>
      <c r="Z714" t="s">
        <v>49</v>
      </c>
      <c r="AA714" s="3">
        <f>X714-Grocery_Inventory_and_Sales_Dat!N714</f>
        <v>62010</v>
      </c>
    </row>
    <row r="715" spans="1:27" x14ac:dyDescent="0.3">
      <c r="A715" t="s">
        <v>2617</v>
      </c>
      <c r="B715" t="s">
        <v>403</v>
      </c>
      <c r="C715" t="s">
        <v>95</v>
      </c>
      <c r="D715" t="s">
        <v>2618</v>
      </c>
      <c r="E715" s="13" t="s">
        <v>2619</v>
      </c>
      <c r="G715" s="2">
        <v>84</v>
      </c>
      <c r="H715">
        <v>58</v>
      </c>
      <c r="I715">
        <v>28</v>
      </c>
      <c r="J715" t="s">
        <v>55</v>
      </c>
      <c r="K715">
        <v>0</v>
      </c>
      <c r="L715" t="s">
        <v>41</v>
      </c>
      <c r="M715" s="12">
        <v>6</v>
      </c>
      <c r="N715" s="3">
        <f>G715*M715</f>
        <v>504</v>
      </c>
      <c r="O715" s="1">
        <v>45399</v>
      </c>
      <c r="P715" s="1">
        <v>45749</v>
      </c>
      <c r="Q715" s="1">
        <v>45437</v>
      </c>
      <c r="R715">
        <v>680</v>
      </c>
      <c r="S715">
        <v>330</v>
      </c>
      <c r="T715">
        <v>642</v>
      </c>
      <c r="U715" t="str">
        <f t="shared" si="22"/>
        <v>Safe</v>
      </c>
      <c r="V715" t="s">
        <v>2620</v>
      </c>
      <c r="W715">
        <v>51</v>
      </c>
      <c r="X715" s="3">
        <f t="shared" si="23"/>
        <v>25704</v>
      </c>
      <c r="Y715">
        <v>12</v>
      </c>
      <c r="Z715" t="s">
        <v>49</v>
      </c>
      <c r="AA715" s="3">
        <f>X715-Grocery_Inventory_and_Sales_Dat!N715</f>
        <v>25200</v>
      </c>
    </row>
    <row r="716" spans="1:27" x14ac:dyDescent="0.3">
      <c r="A716" t="s">
        <v>2621</v>
      </c>
      <c r="B716" t="s">
        <v>63</v>
      </c>
      <c r="C716" t="s">
        <v>64</v>
      </c>
      <c r="D716" t="s">
        <v>2622</v>
      </c>
      <c r="E716" s="13" t="s">
        <v>179</v>
      </c>
      <c r="G716" s="2">
        <v>32</v>
      </c>
      <c r="H716">
        <v>38</v>
      </c>
      <c r="I716">
        <v>23</v>
      </c>
      <c r="J716" t="s">
        <v>27</v>
      </c>
      <c r="K716">
        <v>38</v>
      </c>
      <c r="L716" t="s">
        <v>41</v>
      </c>
      <c r="M716" s="12">
        <v>2.5</v>
      </c>
      <c r="N716" s="3">
        <f>G716*M716</f>
        <v>80</v>
      </c>
      <c r="O716" s="1">
        <v>45459</v>
      </c>
      <c r="P716" s="1">
        <v>45441</v>
      </c>
      <c r="Q716" s="1">
        <v>45690</v>
      </c>
      <c r="R716">
        <v>620</v>
      </c>
      <c r="S716">
        <v>638</v>
      </c>
      <c r="T716">
        <v>389</v>
      </c>
      <c r="U716" t="str">
        <f t="shared" si="22"/>
        <v>Expiring Soon</v>
      </c>
      <c r="V716" t="s">
        <v>2623</v>
      </c>
      <c r="W716">
        <v>52</v>
      </c>
      <c r="X716" s="3">
        <f t="shared" si="23"/>
        <v>4160</v>
      </c>
      <c r="Y716">
        <v>11</v>
      </c>
      <c r="Z716" t="s">
        <v>30</v>
      </c>
      <c r="AA716" s="3">
        <f>X716-Grocery_Inventory_and_Sales_Dat!N716</f>
        <v>4080</v>
      </c>
    </row>
    <row r="717" spans="1:27" x14ac:dyDescent="0.3">
      <c r="A717" t="s">
        <v>2624</v>
      </c>
      <c r="B717" t="s">
        <v>1544</v>
      </c>
      <c r="C717" t="s">
        <v>64</v>
      </c>
      <c r="D717" t="s">
        <v>2625</v>
      </c>
      <c r="E717" s="13" t="s">
        <v>2619</v>
      </c>
      <c r="G717" s="2">
        <v>90</v>
      </c>
      <c r="H717">
        <v>75</v>
      </c>
      <c r="I717">
        <v>6</v>
      </c>
      <c r="J717" t="s">
        <v>55</v>
      </c>
      <c r="K717">
        <v>0</v>
      </c>
      <c r="L717" t="s">
        <v>41</v>
      </c>
      <c r="M717" s="12">
        <v>5</v>
      </c>
      <c r="N717" s="3">
        <f>G717*M717</f>
        <v>450</v>
      </c>
      <c r="O717" s="1">
        <v>45450</v>
      </c>
      <c r="P717" s="1">
        <v>45658</v>
      </c>
      <c r="Q717" s="1">
        <v>45535</v>
      </c>
      <c r="R717">
        <v>629</v>
      </c>
      <c r="S717">
        <v>421</v>
      </c>
      <c r="T717">
        <v>544</v>
      </c>
      <c r="U717" t="str">
        <f t="shared" si="22"/>
        <v>Expiring Soon</v>
      </c>
      <c r="V717" t="s">
        <v>2626</v>
      </c>
      <c r="W717">
        <v>55</v>
      </c>
      <c r="X717" s="3">
        <f t="shared" si="23"/>
        <v>24750</v>
      </c>
      <c r="Y717">
        <v>64</v>
      </c>
      <c r="Z717" t="s">
        <v>49</v>
      </c>
      <c r="AA717" s="3">
        <f>X717-Grocery_Inventory_and_Sales_Dat!N717</f>
        <v>24300</v>
      </c>
    </row>
    <row r="718" spans="1:27" x14ac:dyDescent="0.3">
      <c r="A718" t="s">
        <v>2627</v>
      </c>
      <c r="B718" t="s">
        <v>1198</v>
      </c>
      <c r="C718" t="s">
        <v>70</v>
      </c>
      <c r="D718" t="s">
        <v>2628</v>
      </c>
      <c r="E718" s="13" t="s">
        <v>1226</v>
      </c>
      <c r="G718" s="2">
        <v>70</v>
      </c>
      <c r="H718">
        <v>81</v>
      </c>
      <c r="I718">
        <v>75</v>
      </c>
      <c r="J718" t="s">
        <v>27</v>
      </c>
      <c r="K718">
        <v>81</v>
      </c>
      <c r="L718" t="s">
        <v>28</v>
      </c>
      <c r="M718" s="12">
        <v>2</v>
      </c>
      <c r="N718" s="3">
        <f>G718*M718</f>
        <v>140</v>
      </c>
      <c r="O718" s="1">
        <v>45513</v>
      </c>
      <c r="P718" s="1">
        <v>45349</v>
      </c>
      <c r="Q718" s="1">
        <v>45351</v>
      </c>
      <c r="R718">
        <v>566</v>
      </c>
      <c r="S718">
        <v>730</v>
      </c>
      <c r="T718">
        <v>728</v>
      </c>
      <c r="U718" t="str">
        <f t="shared" si="22"/>
        <v>Safe</v>
      </c>
      <c r="V718" t="s">
        <v>2629</v>
      </c>
      <c r="W718">
        <v>24</v>
      </c>
      <c r="X718" s="3">
        <f t="shared" si="23"/>
        <v>3360</v>
      </c>
      <c r="Y718">
        <v>54</v>
      </c>
      <c r="Z718" t="s">
        <v>43</v>
      </c>
      <c r="AA718" s="3">
        <f>X718-Grocery_Inventory_and_Sales_Dat!N718</f>
        <v>3220</v>
      </c>
    </row>
    <row r="719" spans="1:27" x14ac:dyDescent="0.3">
      <c r="A719" t="s">
        <v>2630</v>
      </c>
      <c r="B719" t="s">
        <v>374</v>
      </c>
      <c r="C719" t="s">
        <v>52</v>
      </c>
      <c r="D719" t="s">
        <v>2631</v>
      </c>
      <c r="E719" s="13" t="s">
        <v>2632</v>
      </c>
      <c r="G719" s="2">
        <v>90</v>
      </c>
      <c r="H719">
        <v>22</v>
      </c>
      <c r="I719">
        <v>20</v>
      </c>
      <c r="J719" t="s">
        <v>55</v>
      </c>
      <c r="K719">
        <v>0</v>
      </c>
      <c r="L719" t="s">
        <v>41</v>
      </c>
      <c r="M719" s="12">
        <v>4.5</v>
      </c>
      <c r="N719" s="3">
        <f>G719*M719</f>
        <v>405</v>
      </c>
      <c r="O719" s="1">
        <v>45473</v>
      </c>
      <c r="P719" s="1">
        <v>45710</v>
      </c>
      <c r="Q719" s="1">
        <v>45670</v>
      </c>
      <c r="R719">
        <v>606</v>
      </c>
      <c r="S719">
        <v>369</v>
      </c>
      <c r="T719">
        <v>409</v>
      </c>
      <c r="U719" t="str">
        <f t="shared" si="22"/>
        <v>Expiring Soon</v>
      </c>
      <c r="V719" t="s">
        <v>2633</v>
      </c>
      <c r="W719">
        <v>81</v>
      </c>
      <c r="X719" s="3">
        <f t="shared" si="23"/>
        <v>32805</v>
      </c>
      <c r="Y719">
        <v>88</v>
      </c>
      <c r="Z719" t="s">
        <v>43</v>
      </c>
      <c r="AA719" s="3">
        <f>X719-Grocery_Inventory_and_Sales_Dat!N719</f>
        <v>32400</v>
      </c>
    </row>
    <row r="720" spans="1:27" x14ac:dyDescent="0.3">
      <c r="A720" t="s">
        <v>2634</v>
      </c>
      <c r="B720" t="s">
        <v>518</v>
      </c>
      <c r="C720" t="s">
        <v>52</v>
      </c>
      <c r="D720" t="s">
        <v>2635</v>
      </c>
      <c r="E720" s="13" t="s">
        <v>632</v>
      </c>
      <c r="G720" s="2">
        <v>100</v>
      </c>
      <c r="H720">
        <v>7</v>
      </c>
      <c r="I720">
        <v>14</v>
      </c>
      <c r="J720" t="s">
        <v>55</v>
      </c>
      <c r="K720">
        <v>0</v>
      </c>
      <c r="L720" t="s">
        <v>41</v>
      </c>
      <c r="M720" s="12">
        <v>2</v>
      </c>
      <c r="N720" s="3">
        <f>G720*M720</f>
        <v>200</v>
      </c>
      <c r="O720" s="1">
        <v>45642</v>
      </c>
      <c r="P720" s="1">
        <v>45446</v>
      </c>
      <c r="Q720" s="1">
        <v>45498</v>
      </c>
      <c r="R720">
        <v>437</v>
      </c>
      <c r="S720">
        <v>633</v>
      </c>
      <c r="T720">
        <v>581</v>
      </c>
      <c r="U720" t="str">
        <f t="shared" si="22"/>
        <v>Safe</v>
      </c>
      <c r="V720" t="s">
        <v>2636</v>
      </c>
      <c r="W720">
        <v>26</v>
      </c>
      <c r="X720" s="3">
        <f t="shared" si="23"/>
        <v>5200</v>
      </c>
      <c r="Y720">
        <v>33</v>
      </c>
      <c r="Z720" t="s">
        <v>43</v>
      </c>
      <c r="AA720" s="3">
        <f>X720-Grocery_Inventory_and_Sales_Dat!N720</f>
        <v>5000</v>
      </c>
    </row>
    <row r="721" spans="1:27" x14ac:dyDescent="0.3">
      <c r="A721" t="s">
        <v>2637</v>
      </c>
      <c r="B721" t="s">
        <v>1151</v>
      </c>
      <c r="C721" t="s">
        <v>24</v>
      </c>
      <c r="D721" t="s">
        <v>2638</v>
      </c>
      <c r="E721" s="13" t="s">
        <v>1587</v>
      </c>
      <c r="G721" s="2">
        <v>89</v>
      </c>
      <c r="H721">
        <v>54</v>
      </c>
      <c r="I721">
        <v>15</v>
      </c>
      <c r="J721" t="s">
        <v>55</v>
      </c>
      <c r="K721">
        <v>0</v>
      </c>
      <c r="L721" t="s">
        <v>41</v>
      </c>
      <c r="M721" s="12">
        <v>2.5</v>
      </c>
      <c r="N721" s="3">
        <f>G721*M721</f>
        <v>222.5</v>
      </c>
      <c r="O721" s="1">
        <v>45545</v>
      </c>
      <c r="P721" s="1">
        <v>45299</v>
      </c>
      <c r="Q721" s="1">
        <v>45415</v>
      </c>
      <c r="R721">
        <v>534</v>
      </c>
      <c r="S721">
        <v>780</v>
      </c>
      <c r="T721">
        <v>664</v>
      </c>
      <c r="U721" t="str">
        <f t="shared" si="22"/>
        <v>Safe</v>
      </c>
      <c r="V721" t="s">
        <v>2639</v>
      </c>
      <c r="W721">
        <v>64</v>
      </c>
      <c r="X721" s="3">
        <f t="shared" si="23"/>
        <v>14240</v>
      </c>
      <c r="Y721">
        <v>63</v>
      </c>
      <c r="Z721" t="s">
        <v>49</v>
      </c>
      <c r="AA721" s="3">
        <f>X721-Grocery_Inventory_and_Sales_Dat!N721</f>
        <v>14017.5</v>
      </c>
    </row>
    <row r="722" spans="1:27" x14ac:dyDescent="0.3">
      <c r="A722" t="s">
        <v>2640</v>
      </c>
      <c r="B722" t="s">
        <v>777</v>
      </c>
      <c r="C722" t="s">
        <v>24</v>
      </c>
      <c r="D722" t="s">
        <v>2641</v>
      </c>
      <c r="E722" s="13" t="s">
        <v>60</v>
      </c>
      <c r="G722" s="2">
        <v>38</v>
      </c>
      <c r="H722">
        <v>43</v>
      </c>
      <c r="I722">
        <v>28</v>
      </c>
      <c r="J722" t="s">
        <v>27</v>
      </c>
      <c r="K722">
        <v>43</v>
      </c>
      <c r="L722" t="s">
        <v>41</v>
      </c>
      <c r="M722" s="12">
        <v>2.7</v>
      </c>
      <c r="N722" s="3">
        <f>G722*M722</f>
        <v>102.60000000000001</v>
      </c>
      <c r="O722" s="1">
        <v>45301</v>
      </c>
      <c r="P722" s="1">
        <v>45499</v>
      </c>
      <c r="Q722" s="1">
        <v>45550</v>
      </c>
      <c r="R722">
        <v>778</v>
      </c>
      <c r="S722">
        <v>580</v>
      </c>
      <c r="T722">
        <v>529</v>
      </c>
      <c r="U722" t="str">
        <f t="shared" si="22"/>
        <v>Expiring Soon</v>
      </c>
      <c r="V722" t="s">
        <v>2642</v>
      </c>
      <c r="W722">
        <v>34</v>
      </c>
      <c r="X722" s="3">
        <f t="shared" si="23"/>
        <v>3488.4</v>
      </c>
      <c r="Y722">
        <v>54</v>
      </c>
      <c r="Z722" t="s">
        <v>43</v>
      </c>
      <c r="AA722" s="3">
        <f>X722-Grocery_Inventory_and_Sales_Dat!N722</f>
        <v>3385.8</v>
      </c>
    </row>
    <row r="723" spans="1:27" x14ac:dyDescent="0.3">
      <c r="A723" t="s">
        <v>2643</v>
      </c>
      <c r="B723" t="s">
        <v>94</v>
      </c>
      <c r="C723" t="s">
        <v>95</v>
      </c>
      <c r="D723" t="s">
        <v>2644</v>
      </c>
      <c r="E723" s="13" t="s">
        <v>2645</v>
      </c>
      <c r="G723" s="2">
        <v>61</v>
      </c>
      <c r="H723">
        <v>20</v>
      </c>
      <c r="I723">
        <v>29</v>
      </c>
      <c r="J723" t="s">
        <v>55</v>
      </c>
      <c r="K723">
        <v>0</v>
      </c>
      <c r="L723" t="s">
        <v>41</v>
      </c>
      <c r="M723" s="12">
        <v>3</v>
      </c>
      <c r="N723" s="3">
        <f>G723*M723</f>
        <v>183</v>
      </c>
      <c r="O723" s="1">
        <v>45401</v>
      </c>
      <c r="P723" s="1">
        <v>45364</v>
      </c>
      <c r="Q723" s="1">
        <v>45547</v>
      </c>
      <c r="R723">
        <v>678</v>
      </c>
      <c r="S723">
        <v>715</v>
      </c>
      <c r="T723">
        <v>532</v>
      </c>
      <c r="U723" t="str">
        <f t="shared" si="22"/>
        <v>Expiring Soon</v>
      </c>
      <c r="V723" t="s">
        <v>2646</v>
      </c>
      <c r="W723">
        <v>71</v>
      </c>
      <c r="X723" s="3">
        <f t="shared" si="23"/>
        <v>12993</v>
      </c>
      <c r="Y723">
        <v>97</v>
      </c>
      <c r="Z723" t="s">
        <v>43</v>
      </c>
      <c r="AA723" s="3">
        <f>X723-Grocery_Inventory_and_Sales_Dat!N723</f>
        <v>12810</v>
      </c>
    </row>
    <row r="724" spans="1:27" x14ac:dyDescent="0.3">
      <c r="A724" t="s">
        <v>2647</v>
      </c>
      <c r="B724" t="s">
        <v>280</v>
      </c>
      <c r="C724" t="s">
        <v>52</v>
      </c>
      <c r="D724" t="s">
        <v>2648</v>
      </c>
      <c r="E724" s="13" t="s">
        <v>1230</v>
      </c>
      <c r="G724" s="2">
        <v>75</v>
      </c>
      <c r="H724">
        <v>48</v>
      </c>
      <c r="I724">
        <v>25</v>
      </c>
      <c r="J724" t="s">
        <v>55</v>
      </c>
      <c r="K724">
        <v>0</v>
      </c>
      <c r="L724" t="s">
        <v>41</v>
      </c>
      <c r="M724" s="12">
        <v>3</v>
      </c>
      <c r="N724" s="3">
        <f>G724*M724</f>
        <v>225</v>
      </c>
      <c r="O724" s="1">
        <v>45608</v>
      </c>
      <c r="P724" s="1">
        <v>45521</v>
      </c>
      <c r="Q724" s="1">
        <v>45533</v>
      </c>
      <c r="R724">
        <v>471</v>
      </c>
      <c r="S724">
        <v>558</v>
      </c>
      <c r="T724">
        <v>546</v>
      </c>
      <c r="U724" t="str">
        <f t="shared" si="22"/>
        <v>Expiring Soon</v>
      </c>
      <c r="V724" t="s">
        <v>2649</v>
      </c>
      <c r="W724">
        <v>96</v>
      </c>
      <c r="X724" s="3">
        <f t="shared" si="23"/>
        <v>21600</v>
      </c>
      <c r="Y724">
        <v>65</v>
      </c>
      <c r="Z724" t="s">
        <v>43</v>
      </c>
      <c r="AA724" s="3">
        <f>X724-Grocery_Inventory_and_Sales_Dat!N724</f>
        <v>21375</v>
      </c>
    </row>
    <row r="725" spans="1:27" x14ac:dyDescent="0.3">
      <c r="A725" t="s">
        <v>2650</v>
      </c>
      <c r="B725" t="s">
        <v>249</v>
      </c>
      <c r="C725" t="s">
        <v>95</v>
      </c>
      <c r="D725" t="s">
        <v>2651</v>
      </c>
      <c r="E725" s="13" t="s">
        <v>2652</v>
      </c>
      <c r="G725" s="2">
        <v>87</v>
      </c>
      <c r="H725">
        <v>70</v>
      </c>
      <c r="I725">
        <v>77</v>
      </c>
      <c r="J725" t="s">
        <v>55</v>
      </c>
      <c r="K725">
        <v>0</v>
      </c>
      <c r="L725" t="s">
        <v>41</v>
      </c>
      <c r="M725" s="12">
        <v>3.2</v>
      </c>
      <c r="N725" s="3">
        <f>G725*M725</f>
        <v>278.40000000000003</v>
      </c>
      <c r="O725" s="1">
        <v>45509</v>
      </c>
      <c r="P725" s="1">
        <v>45349</v>
      </c>
      <c r="Q725" s="1">
        <v>45690</v>
      </c>
      <c r="R725">
        <v>570</v>
      </c>
      <c r="S725">
        <v>730</v>
      </c>
      <c r="T725">
        <v>389</v>
      </c>
      <c r="U725" t="str">
        <f t="shared" si="22"/>
        <v>Expiring Soon</v>
      </c>
      <c r="V725" t="s">
        <v>2653</v>
      </c>
      <c r="W725">
        <v>73</v>
      </c>
      <c r="X725" s="3">
        <f t="shared" si="23"/>
        <v>20323.2</v>
      </c>
      <c r="Y725">
        <v>44</v>
      </c>
      <c r="Z725" t="s">
        <v>49</v>
      </c>
      <c r="AA725" s="3">
        <f>X725-Grocery_Inventory_and_Sales_Dat!N725</f>
        <v>20044.8</v>
      </c>
    </row>
    <row r="726" spans="1:27" x14ac:dyDescent="0.3">
      <c r="A726" t="s">
        <v>2654</v>
      </c>
      <c r="B726" t="s">
        <v>114</v>
      </c>
      <c r="C726" t="s">
        <v>24</v>
      </c>
      <c r="D726" t="s">
        <v>2655</v>
      </c>
      <c r="E726" s="13" t="s">
        <v>2656</v>
      </c>
      <c r="G726" s="2">
        <v>71</v>
      </c>
      <c r="H726">
        <v>77</v>
      </c>
      <c r="I726">
        <v>30</v>
      </c>
      <c r="J726" t="s">
        <v>27</v>
      </c>
      <c r="K726">
        <v>77</v>
      </c>
      <c r="L726" t="s">
        <v>28</v>
      </c>
      <c r="M726" s="12">
        <v>1.5</v>
      </c>
      <c r="N726" s="3">
        <f>G726*M726</f>
        <v>106.5</v>
      </c>
      <c r="O726" s="1">
        <v>45490</v>
      </c>
      <c r="P726" s="1">
        <v>45546</v>
      </c>
      <c r="Q726" s="1">
        <v>45677</v>
      </c>
      <c r="R726">
        <v>589</v>
      </c>
      <c r="S726">
        <v>533</v>
      </c>
      <c r="T726">
        <v>402</v>
      </c>
      <c r="U726" t="str">
        <f t="shared" si="22"/>
        <v>Expiring Soon</v>
      </c>
      <c r="V726" t="s">
        <v>2657</v>
      </c>
      <c r="W726">
        <v>34</v>
      </c>
      <c r="X726" s="3">
        <f t="shared" si="23"/>
        <v>3621</v>
      </c>
      <c r="Y726">
        <v>57</v>
      </c>
      <c r="Z726" t="s">
        <v>43</v>
      </c>
      <c r="AA726" s="3">
        <f>X726-Grocery_Inventory_and_Sales_Dat!N726</f>
        <v>3514.5</v>
      </c>
    </row>
    <row r="727" spans="1:27" x14ac:dyDescent="0.3">
      <c r="A727" t="s">
        <v>2658</v>
      </c>
      <c r="B727" t="s">
        <v>202</v>
      </c>
      <c r="C727" t="s">
        <v>138</v>
      </c>
      <c r="D727" t="s">
        <v>2659</v>
      </c>
      <c r="E727" s="13" t="s">
        <v>2660</v>
      </c>
      <c r="G727" s="2">
        <v>98</v>
      </c>
      <c r="H727">
        <v>100</v>
      </c>
      <c r="I727">
        <v>34</v>
      </c>
      <c r="J727" t="s">
        <v>27</v>
      </c>
      <c r="K727">
        <v>100</v>
      </c>
      <c r="L727" t="s">
        <v>28</v>
      </c>
      <c r="M727" s="12">
        <v>9</v>
      </c>
      <c r="N727" s="3">
        <f>G727*M727</f>
        <v>882</v>
      </c>
      <c r="O727" s="1">
        <v>45578</v>
      </c>
      <c r="P727" s="1">
        <v>45350</v>
      </c>
      <c r="Q727" s="1">
        <v>45531</v>
      </c>
      <c r="R727">
        <v>501</v>
      </c>
      <c r="S727">
        <v>729</v>
      </c>
      <c r="T727">
        <v>548</v>
      </c>
      <c r="U727" t="str">
        <f t="shared" si="22"/>
        <v>Expiring Soon</v>
      </c>
      <c r="V727" t="s">
        <v>2661</v>
      </c>
      <c r="W727">
        <v>53</v>
      </c>
      <c r="X727" s="3">
        <f t="shared" si="23"/>
        <v>46746</v>
      </c>
      <c r="Y727">
        <v>20</v>
      </c>
      <c r="Z727" t="s">
        <v>49</v>
      </c>
      <c r="AA727" s="3">
        <f>X727-Grocery_Inventory_and_Sales_Dat!N727</f>
        <v>45864</v>
      </c>
    </row>
    <row r="728" spans="1:27" x14ac:dyDescent="0.3">
      <c r="A728" t="s">
        <v>2662</v>
      </c>
      <c r="B728" t="s">
        <v>143</v>
      </c>
      <c r="C728" t="s">
        <v>52</v>
      </c>
      <c r="D728" t="s">
        <v>2663</v>
      </c>
      <c r="E728" s="13" t="s">
        <v>991</v>
      </c>
      <c r="G728" s="2">
        <v>19</v>
      </c>
      <c r="H728">
        <v>92</v>
      </c>
      <c r="I728">
        <v>41</v>
      </c>
      <c r="J728" t="s">
        <v>27</v>
      </c>
      <c r="K728">
        <v>92</v>
      </c>
      <c r="L728" t="s">
        <v>28</v>
      </c>
      <c r="M728" s="12">
        <v>2</v>
      </c>
      <c r="N728" s="3">
        <f>G728*M728</f>
        <v>38</v>
      </c>
      <c r="O728" s="1">
        <v>45778</v>
      </c>
      <c r="P728" s="1">
        <v>45962</v>
      </c>
      <c r="Q728" s="1">
        <v>45578</v>
      </c>
      <c r="R728">
        <v>301</v>
      </c>
      <c r="S728">
        <v>117</v>
      </c>
      <c r="T728">
        <v>501</v>
      </c>
      <c r="U728" t="str">
        <f t="shared" si="22"/>
        <v>Expiring Soon</v>
      </c>
      <c r="V728" t="s">
        <v>2664</v>
      </c>
      <c r="W728">
        <v>51</v>
      </c>
      <c r="X728" s="3">
        <f t="shared" si="23"/>
        <v>1938</v>
      </c>
      <c r="Y728">
        <v>79</v>
      </c>
      <c r="Z728" t="s">
        <v>49</v>
      </c>
      <c r="AA728" s="3">
        <f>X728-Grocery_Inventory_and_Sales_Dat!N728</f>
        <v>1900</v>
      </c>
    </row>
    <row r="729" spans="1:27" x14ac:dyDescent="0.3">
      <c r="A729" t="s">
        <v>2665</v>
      </c>
      <c r="B729" t="s">
        <v>534</v>
      </c>
      <c r="C729" t="s">
        <v>52</v>
      </c>
      <c r="D729" t="s">
        <v>2666</v>
      </c>
      <c r="E729" s="13" t="s">
        <v>2667</v>
      </c>
      <c r="G729" s="2">
        <v>85</v>
      </c>
      <c r="H729">
        <v>90</v>
      </c>
      <c r="I729">
        <v>16</v>
      </c>
      <c r="J729" t="s">
        <v>27</v>
      </c>
      <c r="K729">
        <v>90</v>
      </c>
      <c r="L729" t="s">
        <v>28</v>
      </c>
      <c r="M729" s="12">
        <v>5</v>
      </c>
      <c r="N729" s="3">
        <f>G729*M729</f>
        <v>425</v>
      </c>
      <c r="O729" s="1">
        <v>45437</v>
      </c>
      <c r="P729" s="1">
        <v>45357</v>
      </c>
      <c r="Q729" s="1">
        <v>45503</v>
      </c>
      <c r="R729">
        <v>642</v>
      </c>
      <c r="S729">
        <v>722</v>
      </c>
      <c r="T729">
        <v>576</v>
      </c>
      <c r="U729" t="str">
        <f t="shared" si="22"/>
        <v>Safe</v>
      </c>
      <c r="V729" t="s">
        <v>2668</v>
      </c>
      <c r="W729">
        <v>61</v>
      </c>
      <c r="X729" s="3">
        <f t="shared" si="23"/>
        <v>25925</v>
      </c>
      <c r="Y729">
        <v>80</v>
      </c>
      <c r="Z729" t="s">
        <v>43</v>
      </c>
      <c r="AA729" s="3">
        <f>X729-Grocery_Inventory_and_Sales_Dat!N729</f>
        <v>25500</v>
      </c>
    </row>
    <row r="730" spans="1:27" x14ac:dyDescent="0.3">
      <c r="A730" t="s">
        <v>2669</v>
      </c>
      <c r="B730" t="s">
        <v>1240</v>
      </c>
      <c r="C730" t="s">
        <v>52</v>
      </c>
      <c r="D730" t="s">
        <v>2670</v>
      </c>
      <c r="E730" s="13" t="s">
        <v>957</v>
      </c>
      <c r="G730" s="2">
        <v>71</v>
      </c>
      <c r="H730">
        <v>36</v>
      </c>
      <c r="I730">
        <v>45</v>
      </c>
      <c r="J730" t="s">
        <v>55</v>
      </c>
      <c r="K730">
        <v>0</v>
      </c>
      <c r="L730" t="s">
        <v>41</v>
      </c>
      <c r="M730" s="12">
        <v>3.5</v>
      </c>
      <c r="N730" s="3">
        <f>G730*M730</f>
        <v>248.5</v>
      </c>
      <c r="O730" s="1">
        <v>45686</v>
      </c>
      <c r="P730" s="1">
        <v>45613</v>
      </c>
      <c r="Q730" s="1">
        <v>45659</v>
      </c>
      <c r="R730">
        <v>393</v>
      </c>
      <c r="S730">
        <v>466</v>
      </c>
      <c r="T730">
        <v>420</v>
      </c>
      <c r="U730" t="str">
        <f t="shared" si="22"/>
        <v>Expiring Soon</v>
      </c>
      <c r="V730" t="s">
        <v>2671</v>
      </c>
      <c r="W730">
        <v>87</v>
      </c>
      <c r="X730" s="3">
        <f t="shared" si="23"/>
        <v>21619.5</v>
      </c>
      <c r="Y730">
        <v>2</v>
      </c>
      <c r="Z730" t="s">
        <v>43</v>
      </c>
      <c r="AA730" s="3">
        <f>X730-Grocery_Inventory_and_Sales_Dat!N730</f>
        <v>21371</v>
      </c>
    </row>
    <row r="731" spans="1:27" x14ac:dyDescent="0.3">
      <c r="A731" t="s">
        <v>2672</v>
      </c>
      <c r="B731" t="s">
        <v>1151</v>
      </c>
      <c r="C731" t="s">
        <v>24</v>
      </c>
      <c r="D731" t="s">
        <v>2673</v>
      </c>
      <c r="E731" s="13" t="s">
        <v>268</v>
      </c>
      <c r="G731" s="2">
        <v>44</v>
      </c>
      <c r="H731">
        <v>48</v>
      </c>
      <c r="I731">
        <v>77</v>
      </c>
      <c r="J731" t="s">
        <v>27</v>
      </c>
      <c r="K731">
        <v>48</v>
      </c>
      <c r="L731" t="s">
        <v>41</v>
      </c>
      <c r="M731" s="12">
        <v>2.5</v>
      </c>
      <c r="N731" s="3">
        <f>G731*M731</f>
        <v>110</v>
      </c>
      <c r="O731" s="1">
        <v>45527</v>
      </c>
      <c r="P731" s="1">
        <v>45552</v>
      </c>
      <c r="Q731" s="1">
        <v>45680</v>
      </c>
      <c r="R731">
        <v>552</v>
      </c>
      <c r="S731">
        <v>527</v>
      </c>
      <c r="T731">
        <v>399</v>
      </c>
      <c r="U731" t="str">
        <f t="shared" si="22"/>
        <v>Expiring Soon</v>
      </c>
      <c r="V731" t="s">
        <v>2674</v>
      </c>
      <c r="W731">
        <v>67</v>
      </c>
      <c r="X731" s="3">
        <f t="shared" si="23"/>
        <v>7370</v>
      </c>
      <c r="Y731">
        <v>79</v>
      </c>
      <c r="Z731" t="s">
        <v>30</v>
      </c>
      <c r="AA731" s="3">
        <f>X731-Grocery_Inventory_and_Sales_Dat!N731</f>
        <v>7260</v>
      </c>
    </row>
    <row r="732" spans="1:27" x14ac:dyDescent="0.3">
      <c r="A732" t="s">
        <v>2675</v>
      </c>
      <c r="B732" t="s">
        <v>478</v>
      </c>
      <c r="C732" t="s">
        <v>24</v>
      </c>
      <c r="D732" t="s">
        <v>2676</v>
      </c>
      <c r="E732" s="13" t="s">
        <v>483</v>
      </c>
      <c r="G732" s="2">
        <v>25</v>
      </c>
      <c r="H732">
        <v>95</v>
      </c>
      <c r="I732">
        <v>71</v>
      </c>
      <c r="J732" t="s">
        <v>27</v>
      </c>
      <c r="K732">
        <v>95</v>
      </c>
      <c r="L732" t="s">
        <v>28</v>
      </c>
      <c r="M732" s="12">
        <v>2</v>
      </c>
      <c r="N732" s="3">
        <f>G732*M732</f>
        <v>50</v>
      </c>
      <c r="O732" s="1">
        <v>45468</v>
      </c>
      <c r="P732" s="1">
        <v>45542</v>
      </c>
      <c r="Q732" s="1">
        <v>45671</v>
      </c>
      <c r="R732">
        <v>611</v>
      </c>
      <c r="S732">
        <v>537</v>
      </c>
      <c r="T732">
        <v>408</v>
      </c>
      <c r="U732" t="str">
        <f t="shared" si="22"/>
        <v>Expiring Soon</v>
      </c>
      <c r="V732" t="s">
        <v>2677</v>
      </c>
      <c r="W732">
        <v>24</v>
      </c>
      <c r="X732" s="3">
        <f t="shared" si="23"/>
        <v>1200</v>
      </c>
      <c r="Y732">
        <v>76</v>
      </c>
      <c r="Z732" t="s">
        <v>43</v>
      </c>
      <c r="AA732" s="3">
        <f>X732-Grocery_Inventory_and_Sales_Dat!N732</f>
        <v>1150</v>
      </c>
    </row>
    <row r="733" spans="1:27" x14ac:dyDescent="0.3">
      <c r="A733" t="s">
        <v>2678</v>
      </c>
      <c r="B733" t="s">
        <v>441</v>
      </c>
      <c r="C733" t="s">
        <v>64</v>
      </c>
      <c r="D733" t="s">
        <v>2679</v>
      </c>
      <c r="E733" s="13" t="s">
        <v>1611</v>
      </c>
      <c r="G733" s="2">
        <v>24</v>
      </c>
      <c r="H733">
        <v>14</v>
      </c>
      <c r="I733">
        <v>5</v>
      </c>
      <c r="J733" t="s">
        <v>55</v>
      </c>
      <c r="K733">
        <v>0</v>
      </c>
      <c r="L733" t="s">
        <v>41</v>
      </c>
      <c r="M733" s="12">
        <v>4</v>
      </c>
      <c r="N733" s="3">
        <f>G733*M733</f>
        <v>96</v>
      </c>
      <c r="O733" s="1">
        <v>45463</v>
      </c>
      <c r="P733" s="1">
        <v>45381</v>
      </c>
      <c r="Q733" s="1">
        <v>45460</v>
      </c>
      <c r="R733">
        <v>616</v>
      </c>
      <c r="S733">
        <v>698</v>
      </c>
      <c r="T733">
        <v>619</v>
      </c>
      <c r="U733" t="str">
        <f t="shared" si="22"/>
        <v>Safe</v>
      </c>
      <c r="V733" t="s">
        <v>2680</v>
      </c>
      <c r="W733">
        <v>98</v>
      </c>
      <c r="X733" s="3">
        <f t="shared" si="23"/>
        <v>9408</v>
      </c>
      <c r="Y733">
        <v>9</v>
      </c>
      <c r="Z733" t="s">
        <v>49</v>
      </c>
      <c r="AA733" s="3">
        <f>X733-Grocery_Inventory_and_Sales_Dat!N733</f>
        <v>9312</v>
      </c>
    </row>
    <row r="734" spans="1:27" x14ac:dyDescent="0.3">
      <c r="A734" t="s">
        <v>2681</v>
      </c>
      <c r="B734" t="s">
        <v>806</v>
      </c>
      <c r="C734" t="s">
        <v>138</v>
      </c>
      <c r="D734" t="s">
        <v>2682</v>
      </c>
      <c r="E734" s="13" t="s">
        <v>268</v>
      </c>
      <c r="G734" s="2">
        <v>44</v>
      </c>
      <c r="H734">
        <v>97</v>
      </c>
      <c r="I734">
        <v>76</v>
      </c>
      <c r="J734" t="s">
        <v>27</v>
      </c>
      <c r="K734">
        <v>97</v>
      </c>
      <c r="L734" t="s">
        <v>28</v>
      </c>
      <c r="M734" s="12">
        <v>10</v>
      </c>
      <c r="N734" s="3">
        <f>G734*M734</f>
        <v>440</v>
      </c>
      <c r="O734" s="1">
        <v>45439</v>
      </c>
      <c r="P734" s="1">
        <v>45569</v>
      </c>
      <c r="Q734" s="1">
        <v>45641</v>
      </c>
      <c r="R734">
        <v>640</v>
      </c>
      <c r="S734">
        <v>510</v>
      </c>
      <c r="T734">
        <v>438</v>
      </c>
      <c r="U734" t="str">
        <f t="shared" si="22"/>
        <v>Expiring Soon</v>
      </c>
      <c r="V734" t="s">
        <v>2683</v>
      </c>
      <c r="W734">
        <v>80</v>
      </c>
      <c r="X734" s="3">
        <f t="shared" si="23"/>
        <v>35200</v>
      </c>
      <c r="Y734">
        <v>33</v>
      </c>
      <c r="Z734" t="s">
        <v>30</v>
      </c>
      <c r="AA734" s="3">
        <f>X734-Grocery_Inventory_and_Sales_Dat!N734</f>
        <v>34760</v>
      </c>
    </row>
    <row r="735" spans="1:27" x14ac:dyDescent="0.3">
      <c r="A735" t="s">
        <v>2684</v>
      </c>
      <c r="B735" t="s">
        <v>693</v>
      </c>
      <c r="C735" t="s">
        <v>24</v>
      </c>
      <c r="D735" t="s">
        <v>2685</v>
      </c>
      <c r="E735" s="13" t="s">
        <v>1289</v>
      </c>
      <c r="G735" s="2">
        <v>63</v>
      </c>
      <c r="H735">
        <v>4</v>
      </c>
      <c r="I735">
        <v>46</v>
      </c>
      <c r="J735" t="s">
        <v>55</v>
      </c>
      <c r="K735">
        <v>0</v>
      </c>
      <c r="L735" t="s">
        <v>41</v>
      </c>
      <c r="M735" s="12">
        <v>2.5</v>
      </c>
      <c r="N735" s="3">
        <f>G735*M735</f>
        <v>157.5</v>
      </c>
      <c r="O735" s="1">
        <v>45521</v>
      </c>
      <c r="P735" s="1">
        <v>45372</v>
      </c>
      <c r="Q735" s="1">
        <v>45360</v>
      </c>
      <c r="R735">
        <v>558</v>
      </c>
      <c r="S735">
        <v>707</v>
      </c>
      <c r="T735">
        <v>719</v>
      </c>
      <c r="U735" t="str">
        <f t="shared" si="22"/>
        <v>Safe</v>
      </c>
      <c r="V735" t="s">
        <v>2686</v>
      </c>
      <c r="W735">
        <v>40</v>
      </c>
      <c r="X735" s="3">
        <f t="shared" si="23"/>
        <v>6300</v>
      </c>
      <c r="Y735">
        <v>69</v>
      </c>
      <c r="Z735" t="s">
        <v>30</v>
      </c>
      <c r="AA735" s="3">
        <f>X735-Grocery_Inventory_and_Sales_Dat!N735</f>
        <v>6142.5</v>
      </c>
    </row>
    <row r="736" spans="1:27" x14ac:dyDescent="0.3">
      <c r="A736" t="s">
        <v>2687</v>
      </c>
      <c r="B736" t="s">
        <v>461</v>
      </c>
      <c r="C736" t="s">
        <v>64</v>
      </c>
      <c r="D736" t="s">
        <v>2688</v>
      </c>
      <c r="E736" s="13" t="s">
        <v>553</v>
      </c>
      <c r="G736" s="2">
        <v>69</v>
      </c>
      <c r="H736">
        <v>59</v>
      </c>
      <c r="I736">
        <v>29</v>
      </c>
      <c r="J736" t="s">
        <v>55</v>
      </c>
      <c r="K736">
        <v>0</v>
      </c>
      <c r="L736" t="s">
        <v>41</v>
      </c>
      <c r="M736" s="12">
        <v>1.8</v>
      </c>
      <c r="N736" s="3">
        <f>G736*M736</f>
        <v>124.2</v>
      </c>
      <c r="O736" s="1">
        <v>45595</v>
      </c>
      <c r="P736" s="1">
        <v>45435</v>
      </c>
      <c r="Q736" s="1">
        <v>45434</v>
      </c>
      <c r="R736">
        <v>484</v>
      </c>
      <c r="S736">
        <v>644</v>
      </c>
      <c r="T736">
        <v>645</v>
      </c>
      <c r="U736" t="str">
        <f t="shared" si="22"/>
        <v>Safe</v>
      </c>
      <c r="V736" t="s">
        <v>2689</v>
      </c>
      <c r="W736">
        <v>63</v>
      </c>
      <c r="X736" s="3">
        <f t="shared" si="23"/>
        <v>7824.6</v>
      </c>
      <c r="Y736">
        <v>91</v>
      </c>
      <c r="Z736" t="s">
        <v>49</v>
      </c>
      <c r="AA736" s="3">
        <f>X736-Grocery_Inventory_and_Sales_Dat!N736</f>
        <v>7700.4000000000005</v>
      </c>
    </row>
    <row r="737" spans="1:27" x14ac:dyDescent="0.3">
      <c r="A737" t="s">
        <v>2690</v>
      </c>
      <c r="B737" t="s">
        <v>630</v>
      </c>
      <c r="C737" t="s">
        <v>138</v>
      </c>
      <c r="D737" t="s">
        <v>2691</v>
      </c>
      <c r="E737" s="13" t="s">
        <v>1991</v>
      </c>
      <c r="G737" s="2">
        <v>88</v>
      </c>
      <c r="H737">
        <v>71</v>
      </c>
      <c r="I737">
        <v>9</v>
      </c>
      <c r="J737" t="s">
        <v>55</v>
      </c>
      <c r="K737">
        <v>0</v>
      </c>
      <c r="L737" t="s">
        <v>41</v>
      </c>
      <c r="M737" s="12">
        <v>18</v>
      </c>
      <c r="N737" s="3">
        <f>G737*M737</f>
        <v>1584</v>
      </c>
      <c r="O737" s="1">
        <v>45365</v>
      </c>
      <c r="P737" s="1">
        <v>45654</v>
      </c>
      <c r="Q737" s="1">
        <v>45367</v>
      </c>
      <c r="R737">
        <v>714</v>
      </c>
      <c r="S737">
        <v>425</v>
      </c>
      <c r="T737">
        <v>712</v>
      </c>
      <c r="U737" t="str">
        <f t="shared" si="22"/>
        <v>Safe</v>
      </c>
      <c r="V737" t="s">
        <v>2692</v>
      </c>
      <c r="W737">
        <v>28</v>
      </c>
      <c r="X737" s="3">
        <f t="shared" si="23"/>
        <v>44352</v>
      </c>
      <c r="Y737">
        <v>14</v>
      </c>
      <c r="Z737" t="s">
        <v>43</v>
      </c>
      <c r="AA737" s="3">
        <f>X737-Grocery_Inventory_and_Sales_Dat!N737</f>
        <v>42768</v>
      </c>
    </row>
    <row r="738" spans="1:27" x14ac:dyDescent="0.3">
      <c r="A738" t="s">
        <v>2693</v>
      </c>
      <c r="B738" t="s">
        <v>781</v>
      </c>
      <c r="C738" t="s">
        <v>33</v>
      </c>
      <c r="D738" t="s">
        <v>2694</v>
      </c>
      <c r="E738" s="13" t="s">
        <v>2695</v>
      </c>
      <c r="G738" s="2">
        <v>74</v>
      </c>
      <c r="H738">
        <v>2</v>
      </c>
      <c r="I738">
        <v>45</v>
      </c>
      <c r="J738" t="s">
        <v>55</v>
      </c>
      <c r="K738">
        <v>0</v>
      </c>
      <c r="L738" t="s">
        <v>41</v>
      </c>
      <c r="M738" s="12">
        <v>10</v>
      </c>
      <c r="N738" s="3">
        <f>G738*M738</f>
        <v>740</v>
      </c>
      <c r="O738" s="1">
        <v>45351</v>
      </c>
      <c r="P738" s="1">
        <v>45718</v>
      </c>
      <c r="Q738" s="1">
        <v>45388</v>
      </c>
      <c r="R738">
        <v>728</v>
      </c>
      <c r="S738">
        <v>361</v>
      </c>
      <c r="T738">
        <v>691</v>
      </c>
      <c r="U738" t="str">
        <f t="shared" si="22"/>
        <v>Safe</v>
      </c>
      <c r="V738" t="s">
        <v>2696</v>
      </c>
      <c r="W738">
        <v>37</v>
      </c>
      <c r="X738" s="3">
        <f t="shared" si="23"/>
        <v>27380</v>
      </c>
      <c r="Y738">
        <v>99</v>
      </c>
      <c r="Z738" t="s">
        <v>49</v>
      </c>
      <c r="AA738" s="3">
        <f>X738-Grocery_Inventory_and_Sales_Dat!N738</f>
        <v>26640</v>
      </c>
    </row>
    <row r="739" spans="1:27" x14ac:dyDescent="0.3">
      <c r="A739" t="s">
        <v>2697</v>
      </c>
      <c r="B739" t="s">
        <v>374</v>
      </c>
      <c r="C739" t="s">
        <v>52</v>
      </c>
      <c r="D739" t="s">
        <v>2698</v>
      </c>
      <c r="E739" s="13" t="s">
        <v>2699</v>
      </c>
      <c r="G739" s="2">
        <v>98</v>
      </c>
      <c r="H739">
        <v>43</v>
      </c>
      <c r="I739">
        <v>9</v>
      </c>
      <c r="J739" t="s">
        <v>55</v>
      </c>
      <c r="K739">
        <v>0</v>
      </c>
      <c r="L739" t="s">
        <v>41</v>
      </c>
      <c r="M739" s="12">
        <v>4.5</v>
      </c>
      <c r="N739" s="3">
        <f>G739*M739</f>
        <v>441</v>
      </c>
      <c r="O739" s="1">
        <v>45468</v>
      </c>
      <c r="P739" s="1">
        <v>45446</v>
      </c>
      <c r="Q739" s="1">
        <v>45655</v>
      </c>
      <c r="R739">
        <v>611</v>
      </c>
      <c r="S739">
        <v>633</v>
      </c>
      <c r="T739">
        <v>424</v>
      </c>
      <c r="U739" t="str">
        <f t="shared" si="22"/>
        <v>Expiring Soon</v>
      </c>
      <c r="V739" t="s">
        <v>2700</v>
      </c>
      <c r="W739">
        <v>86</v>
      </c>
      <c r="X739" s="3">
        <f t="shared" si="23"/>
        <v>37926</v>
      </c>
      <c r="Y739">
        <v>62</v>
      </c>
      <c r="Z739" t="s">
        <v>43</v>
      </c>
      <c r="AA739" s="3">
        <f>X739-Grocery_Inventory_and_Sales_Dat!N739</f>
        <v>37485</v>
      </c>
    </row>
    <row r="740" spans="1:27" x14ac:dyDescent="0.3">
      <c r="A740" t="s">
        <v>2701</v>
      </c>
      <c r="B740" t="s">
        <v>2294</v>
      </c>
      <c r="C740" t="s">
        <v>70</v>
      </c>
      <c r="D740" t="s">
        <v>2702</v>
      </c>
      <c r="E740" s="13" t="s">
        <v>1092</v>
      </c>
      <c r="G740" s="2">
        <v>22</v>
      </c>
      <c r="H740">
        <v>19</v>
      </c>
      <c r="I740">
        <v>4</v>
      </c>
      <c r="J740" t="s">
        <v>55</v>
      </c>
      <c r="K740">
        <v>0</v>
      </c>
      <c r="L740" t="s">
        <v>41</v>
      </c>
      <c r="M740" s="12">
        <v>0.2</v>
      </c>
      <c r="N740" s="3">
        <f>G740*M740</f>
        <v>4.4000000000000004</v>
      </c>
      <c r="O740" s="1">
        <v>45400</v>
      </c>
      <c r="P740" s="1">
        <v>45368</v>
      </c>
      <c r="Q740" s="1">
        <v>45552</v>
      </c>
      <c r="R740">
        <v>679</v>
      </c>
      <c r="S740">
        <v>711</v>
      </c>
      <c r="T740">
        <v>527</v>
      </c>
      <c r="U740" t="str">
        <f t="shared" si="22"/>
        <v>Expiring Soon</v>
      </c>
      <c r="V740" t="s">
        <v>2703</v>
      </c>
      <c r="W740">
        <v>88</v>
      </c>
      <c r="X740" s="3">
        <f t="shared" si="23"/>
        <v>387.20000000000005</v>
      </c>
      <c r="Y740">
        <v>24</v>
      </c>
      <c r="Z740" t="s">
        <v>30</v>
      </c>
      <c r="AA740" s="3">
        <f>X740-Grocery_Inventory_and_Sales_Dat!N740</f>
        <v>382.80000000000007</v>
      </c>
    </row>
    <row r="741" spans="1:27" x14ac:dyDescent="0.3">
      <c r="A741" t="s">
        <v>2704</v>
      </c>
      <c r="B741" t="s">
        <v>1190</v>
      </c>
      <c r="C741" t="s">
        <v>52</v>
      </c>
      <c r="D741" t="s">
        <v>2705</v>
      </c>
      <c r="E741" s="13" t="s">
        <v>86</v>
      </c>
      <c r="G741" s="2">
        <v>55</v>
      </c>
      <c r="H741">
        <v>96</v>
      </c>
      <c r="I741">
        <v>40</v>
      </c>
      <c r="J741" t="s">
        <v>27</v>
      </c>
      <c r="K741">
        <v>96</v>
      </c>
      <c r="L741" t="s">
        <v>28</v>
      </c>
      <c r="M741" s="12">
        <v>5</v>
      </c>
      <c r="N741" s="3">
        <f>G741*M741</f>
        <v>275</v>
      </c>
      <c r="O741" s="1">
        <v>45428</v>
      </c>
      <c r="P741" s="1">
        <v>45601</v>
      </c>
      <c r="Q741" s="1">
        <v>45449</v>
      </c>
      <c r="R741">
        <v>651</v>
      </c>
      <c r="S741">
        <v>478</v>
      </c>
      <c r="T741">
        <v>630</v>
      </c>
      <c r="U741" t="str">
        <f t="shared" si="22"/>
        <v>Safe</v>
      </c>
      <c r="V741" t="s">
        <v>2706</v>
      </c>
      <c r="W741">
        <v>23</v>
      </c>
      <c r="X741" s="3">
        <f t="shared" si="23"/>
        <v>6325</v>
      </c>
      <c r="Y741">
        <v>47</v>
      </c>
      <c r="Z741" t="s">
        <v>30</v>
      </c>
      <c r="AA741" s="3">
        <f>X741-Grocery_Inventory_and_Sales_Dat!N741</f>
        <v>6050</v>
      </c>
    </row>
    <row r="742" spans="1:27" x14ac:dyDescent="0.3">
      <c r="A742" t="s">
        <v>2707</v>
      </c>
      <c r="B742" t="s">
        <v>334</v>
      </c>
      <c r="C742" t="s">
        <v>70</v>
      </c>
      <c r="D742" t="s">
        <v>2708</v>
      </c>
      <c r="E742" s="13" t="s">
        <v>2645</v>
      </c>
      <c r="G742" s="2">
        <v>96</v>
      </c>
      <c r="H742">
        <v>80</v>
      </c>
      <c r="I742">
        <v>20</v>
      </c>
      <c r="J742" t="s">
        <v>55</v>
      </c>
      <c r="K742">
        <v>0</v>
      </c>
      <c r="L742" t="s">
        <v>41</v>
      </c>
      <c r="M742" s="12">
        <v>6.1</v>
      </c>
      <c r="N742" s="3">
        <f>G742*M742</f>
        <v>585.59999999999991</v>
      </c>
      <c r="O742" s="1">
        <v>45645</v>
      </c>
      <c r="P742" s="1">
        <v>45503</v>
      </c>
      <c r="Q742" s="1">
        <v>45685</v>
      </c>
      <c r="R742">
        <v>434</v>
      </c>
      <c r="S742">
        <v>576</v>
      </c>
      <c r="T742">
        <v>394</v>
      </c>
      <c r="U742" t="str">
        <f t="shared" si="22"/>
        <v>Expiring Soon</v>
      </c>
      <c r="V742" t="s">
        <v>2709</v>
      </c>
      <c r="W742">
        <v>94</v>
      </c>
      <c r="X742" s="3">
        <f t="shared" si="23"/>
        <v>55046.399999999994</v>
      </c>
      <c r="Y742">
        <v>49</v>
      </c>
      <c r="Z742" t="s">
        <v>30</v>
      </c>
      <c r="AA742" s="3">
        <f>X742-Grocery_Inventory_and_Sales_Dat!N742</f>
        <v>54460.799999999996</v>
      </c>
    </row>
    <row r="743" spans="1:27" x14ac:dyDescent="0.3">
      <c r="A743" t="s">
        <v>2710</v>
      </c>
      <c r="B743" t="s">
        <v>109</v>
      </c>
      <c r="C743" t="s">
        <v>70</v>
      </c>
      <c r="D743" t="s">
        <v>2711</v>
      </c>
      <c r="E743" s="13" t="s">
        <v>2570</v>
      </c>
      <c r="G743" s="2">
        <v>91</v>
      </c>
      <c r="H743">
        <v>7</v>
      </c>
      <c r="I743">
        <v>64</v>
      </c>
      <c r="J743" t="s">
        <v>55</v>
      </c>
      <c r="K743">
        <v>0</v>
      </c>
      <c r="L743" t="s">
        <v>41</v>
      </c>
      <c r="M743" s="12">
        <v>7</v>
      </c>
      <c r="N743" s="3">
        <f>G743*M743</f>
        <v>637</v>
      </c>
      <c r="O743" s="1">
        <v>45546</v>
      </c>
      <c r="P743" s="1">
        <v>45634</v>
      </c>
      <c r="Q743" s="1">
        <v>45712</v>
      </c>
      <c r="R743">
        <v>533</v>
      </c>
      <c r="S743">
        <v>445</v>
      </c>
      <c r="T743">
        <v>367</v>
      </c>
      <c r="U743" t="str">
        <f t="shared" si="22"/>
        <v>Expiring Soon</v>
      </c>
      <c r="V743" t="s">
        <v>2712</v>
      </c>
      <c r="W743">
        <v>32</v>
      </c>
      <c r="X743" s="3">
        <f t="shared" si="23"/>
        <v>20384</v>
      </c>
      <c r="Y743">
        <v>65</v>
      </c>
      <c r="Z743" t="s">
        <v>30</v>
      </c>
      <c r="AA743" s="3">
        <f>X743-Grocery_Inventory_and_Sales_Dat!N743</f>
        <v>19747</v>
      </c>
    </row>
    <row r="744" spans="1:27" x14ac:dyDescent="0.3">
      <c r="A744" t="s">
        <v>2713</v>
      </c>
      <c r="B744" t="s">
        <v>989</v>
      </c>
      <c r="C744" t="s">
        <v>95</v>
      </c>
      <c r="D744" t="s">
        <v>2714</v>
      </c>
      <c r="E744" s="13" t="s">
        <v>1180</v>
      </c>
      <c r="G744" s="2">
        <v>40</v>
      </c>
      <c r="H744">
        <v>91</v>
      </c>
      <c r="I744">
        <v>24</v>
      </c>
      <c r="J744" t="s">
        <v>27</v>
      </c>
      <c r="K744">
        <v>91</v>
      </c>
      <c r="L744" t="s">
        <v>28</v>
      </c>
      <c r="M744" s="12">
        <v>4</v>
      </c>
      <c r="N744" s="3">
        <f>G744*M744</f>
        <v>160</v>
      </c>
      <c r="O744" s="1">
        <v>45502</v>
      </c>
      <c r="P744" s="1">
        <v>45638</v>
      </c>
      <c r="Q744" s="1">
        <v>45626</v>
      </c>
      <c r="R744">
        <v>577</v>
      </c>
      <c r="S744">
        <v>441</v>
      </c>
      <c r="T744">
        <v>453</v>
      </c>
      <c r="U744" t="str">
        <f t="shared" si="22"/>
        <v>Expiring Soon</v>
      </c>
      <c r="V744" t="s">
        <v>2715</v>
      </c>
      <c r="W744">
        <v>28</v>
      </c>
      <c r="X744" s="3">
        <f t="shared" si="23"/>
        <v>4480</v>
      </c>
      <c r="Y744">
        <v>47</v>
      </c>
      <c r="Z744" t="s">
        <v>30</v>
      </c>
      <c r="AA744" s="3">
        <f>X744-Grocery_Inventory_and_Sales_Dat!N744</f>
        <v>4320</v>
      </c>
    </row>
    <row r="745" spans="1:27" x14ac:dyDescent="0.3">
      <c r="A745" t="s">
        <v>2716</v>
      </c>
      <c r="B745" t="s">
        <v>1485</v>
      </c>
      <c r="C745" t="s">
        <v>138</v>
      </c>
      <c r="D745" t="s">
        <v>2717</v>
      </c>
      <c r="E745" s="13" t="s">
        <v>675</v>
      </c>
      <c r="G745" s="2">
        <v>52</v>
      </c>
      <c r="H745">
        <v>46</v>
      </c>
      <c r="I745">
        <v>12</v>
      </c>
      <c r="J745" t="s">
        <v>55</v>
      </c>
      <c r="K745">
        <v>0</v>
      </c>
      <c r="L745" t="s">
        <v>41</v>
      </c>
      <c r="M745" s="12">
        <v>15</v>
      </c>
      <c r="N745" s="3">
        <f>G745*M745</f>
        <v>780</v>
      </c>
      <c r="O745" s="1">
        <v>45644</v>
      </c>
      <c r="P745" s="1">
        <v>45388</v>
      </c>
      <c r="Q745" s="1">
        <v>45398</v>
      </c>
      <c r="R745">
        <v>435</v>
      </c>
      <c r="S745">
        <v>691</v>
      </c>
      <c r="T745">
        <v>681</v>
      </c>
      <c r="U745" t="str">
        <f t="shared" si="22"/>
        <v>Safe</v>
      </c>
      <c r="V745" t="s">
        <v>2718</v>
      </c>
      <c r="W745">
        <v>43</v>
      </c>
      <c r="X745" s="3">
        <f t="shared" si="23"/>
        <v>33540</v>
      </c>
      <c r="Y745">
        <v>34</v>
      </c>
      <c r="Z745" t="s">
        <v>43</v>
      </c>
      <c r="AA745" s="3">
        <f>X745-Grocery_Inventory_and_Sales_Dat!N745</f>
        <v>32760</v>
      </c>
    </row>
    <row r="746" spans="1:27" x14ac:dyDescent="0.3">
      <c r="A746" t="s">
        <v>2719</v>
      </c>
      <c r="B746" t="s">
        <v>518</v>
      </c>
      <c r="C746" t="s">
        <v>52</v>
      </c>
      <c r="D746" t="s">
        <v>2720</v>
      </c>
      <c r="E746" s="13" t="s">
        <v>1380</v>
      </c>
      <c r="G746" s="2">
        <v>22</v>
      </c>
      <c r="H746">
        <v>22</v>
      </c>
      <c r="I746">
        <v>65</v>
      </c>
      <c r="J746" t="s">
        <v>27</v>
      </c>
      <c r="K746">
        <v>22</v>
      </c>
      <c r="L746" t="s">
        <v>41</v>
      </c>
      <c r="M746" s="12">
        <v>2</v>
      </c>
      <c r="N746" s="3">
        <f>G746*M746</f>
        <v>44</v>
      </c>
      <c r="O746" s="1">
        <v>45672</v>
      </c>
      <c r="P746" s="1">
        <v>45412</v>
      </c>
      <c r="Q746" s="1">
        <v>45455</v>
      </c>
      <c r="R746">
        <v>407</v>
      </c>
      <c r="S746">
        <v>667</v>
      </c>
      <c r="T746">
        <v>624</v>
      </c>
      <c r="U746" t="str">
        <f t="shared" si="22"/>
        <v>Safe</v>
      </c>
      <c r="V746" t="s">
        <v>2721</v>
      </c>
      <c r="W746">
        <v>62</v>
      </c>
      <c r="X746" s="3">
        <f t="shared" si="23"/>
        <v>2728</v>
      </c>
      <c r="Y746">
        <v>78</v>
      </c>
      <c r="Z746" t="s">
        <v>43</v>
      </c>
      <c r="AA746" s="3">
        <f>X746-Grocery_Inventory_and_Sales_Dat!N746</f>
        <v>2684</v>
      </c>
    </row>
    <row r="747" spans="1:27" x14ac:dyDescent="0.3">
      <c r="A747" t="s">
        <v>2722</v>
      </c>
      <c r="B747" t="s">
        <v>38</v>
      </c>
      <c r="C747" t="s">
        <v>24</v>
      </c>
      <c r="D747" t="s">
        <v>2723</v>
      </c>
      <c r="E747" s="13" t="s">
        <v>1200</v>
      </c>
      <c r="G747" s="2">
        <v>98</v>
      </c>
      <c r="H747">
        <v>41</v>
      </c>
      <c r="I747">
        <v>98</v>
      </c>
      <c r="J747" t="s">
        <v>55</v>
      </c>
      <c r="K747">
        <v>0</v>
      </c>
      <c r="L747" t="s">
        <v>41</v>
      </c>
      <c r="M747" s="12">
        <v>6.35</v>
      </c>
      <c r="N747" s="3">
        <f>G747*M747</f>
        <v>622.29999999999995</v>
      </c>
      <c r="O747" s="1">
        <v>45778</v>
      </c>
      <c r="P747" s="1">
        <v>45535</v>
      </c>
      <c r="Q747" s="1">
        <v>45675</v>
      </c>
      <c r="R747">
        <v>301</v>
      </c>
      <c r="S747">
        <v>544</v>
      </c>
      <c r="T747">
        <v>404</v>
      </c>
      <c r="U747" t="str">
        <f t="shared" si="22"/>
        <v>Expiring Soon</v>
      </c>
      <c r="V747" t="s">
        <v>2724</v>
      </c>
      <c r="W747">
        <v>70</v>
      </c>
      <c r="X747" s="3">
        <f t="shared" si="23"/>
        <v>43561</v>
      </c>
      <c r="Y747">
        <v>75</v>
      </c>
      <c r="Z747" t="s">
        <v>43</v>
      </c>
      <c r="AA747" s="3">
        <f>X747-Grocery_Inventory_and_Sales_Dat!N747</f>
        <v>42938.7</v>
      </c>
    </row>
    <row r="748" spans="1:27" x14ac:dyDescent="0.3">
      <c r="A748" t="s">
        <v>2725</v>
      </c>
      <c r="B748" t="s">
        <v>777</v>
      </c>
      <c r="C748" t="s">
        <v>24</v>
      </c>
      <c r="D748" t="s">
        <v>2726</v>
      </c>
      <c r="E748" s="13" t="s">
        <v>54</v>
      </c>
      <c r="G748" s="2">
        <v>59</v>
      </c>
      <c r="H748">
        <v>73</v>
      </c>
      <c r="I748">
        <v>86</v>
      </c>
      <c r="J748" t="s">
        <v>27</v>
      </c>
      <c r="K748">
        <v>73</v>
      </c>
      <c r="L748" t="s">
        <v>28</v>
      </c>
      <c r="M748" s="12">
        <v>2.75</v>
      </c>
      <c r="N748" s="3">
        <f>G748*M748</f>
        <v>162.25</v>
      </c>
      <c r="O748" s="1">
        <v>45701</v>
      </c>
      <c r="P748" s="1">
        <v>45658</v>
      </c>
      <c r="Q748" s="1">
        <v>45546</v>
      </c>
      <c r="R748">
        <v>378</v>
      </c>
      <c r="S748">
        <v>421</v>
      </c>
      <c r="T748">
        <v>533</v>
      </c>
      <c r="U748" t="str">
        <f t="shared" si="22"/>
        <v>Expiring Soon</v>
      </c>
      <c r="V748" t="s">
        <v>2727</v>
      </c>
      <c r="W748">
        <v>32</v>
      </c>
      <c r="X748" s="3">
        <f t="shared" si="23"/>
        <v>5192</v>
      </c>
      <c r="Y748">
        <v>56</v>
      </c>
      <c r="Z748" t="s">
        <v>43</v>
      </c>
      <c r="AA748" s="3">
        <f>X748-Grocery_Inventory_and_Sales_Dat!N748</f>
        <v>5029.75</v>
      </c>
    </row>
    <row r="749" spans="1:27" x14ac:dyDescent="0.3">
      <c r="A749" t="s">
        <v>2728</v>
      </c>
      <c r="B749" t="s">
        <v>451</v>
      </c>
      <c r="C749" t="s">
        <v>95</v>
      </c>
      <c r="D749" t="s">
        <v>2729</v>
      </c>
      <c r="E749" s="13" t="s">
        <v>1779</v>
      </c>
      <c r="G749" s="2">
        <v>99</v>
      </c>
      <c r="H749">
        <v>3</v>
      </c>
      <c r="I749">
        <v>79</v>
      </c>
      <c r="J749" t="s">
        <v>55</v>
      </c>
      <c r="K749">
        <v>0</v>
      </c>
      <c r="L749" t="s">
        <v>41</v>
      </c>
      <c r="M749" s="12">
        <v>5</v>
      </c>
      <c r="N749" s="3">
        <f>G749*M749</f>
        <v>495</v>
      </c>
      <c r="O749" s="1">
        <v>45418</v>
      </c>
      <c r="P749" s="1">
        <v>45673</v>
      </c>
      <c r="Q749" s="1">
        <v>45617</v>
      </c>
      <c r="R749">
        <v>661</v>
      </c>
      <c r="S749">
        <v>406</v>
      </c>
      <c r="T749">
        <v>462</v>
      </c>
      <c r="U749" t="str">
        <f t="shared" si="22"/>
        <v>Expiring Soon</v>
      </c>
      <c r="V749" t="s">
        <v>2730</v>
      </c>
      <c r="W749">
        <v>65</v>
      </c>
      <c r="X749" s="3">
        <f t="shared" si="23"/>
        <v>32175</v>
      </c>
      <c r="Y749">
        <v>16</v>
      </c>
      <c r="Z749" t="s">
        <v>43</v>
      </c>
      <c r="AA749" s="3">
        <f>X749-Grocery_Inventory_and_Sales_Dat!N749</f>
        <v>31680</v>
      </c>
    </row>
    <row r="750" spans="1:27" x14ac:dyDescent="0.3">
      <c r="A750" t="s">
        <v>2731</v>
      </c>
      <c r="B750" t="s">
        <v>322</v>
      </c>
      <c r="C750" t="s">
        <v>33</v>
      </c>
      <c r="D750" t="s">
        <v>2732</v>
      </c>
      <c r="E750" s="13" t="s">
        <v>448</v>
      </c>
      <c r="G750" s="2">
        <v>18</v>
      </c>
      <c r="H750">
        <v>36</v>
      </c>
      <c r="I750">
        <v>53</v>
      </c>
      <c r="J750" t="s">
        <v>27</v>
      </c>
      <c r="K750">
        <v>36</v>
      </c>
      <c r="L750" t="s">
        <v>41</v>
      </c>
      <c r="M750" s="12">
        <v>5.3</v>
      </c>
      <c r="N750" s="3">
        <f>G750*M750</f>
        <v>95.399999999999991</v>
      </c>
      <c r="O750" s="1">
        <v>45631</v>
      </c>
      <c r="P750" s="1">
        <v>45296</v>
      </c>
      <c r="Q750" s="1">
        <v>45467</v>
      </c>
      <c r="R750">
        <v>448</v>
      </c>
      <c r="S750">
        <v>783</v>
      </c>
      <c r="T750">
        <v>612</v>
      </c>
      <c r="U750" t="str">
        <f t="shared" si="22"/>
        <v>Safe</v>
      </c>
      <c r="V750" t="s">
        <v>2733</v>
      </c>
      <c r="W750">
        <v>65</v>
      </c>
      <c r="X750" s="3">
        <f t="shared" si="23"/>
        <v>6200.9999999999991</v>
      </c>
      <c r="Y750">
        <v>100</v>
      </c>
      <c r="Z750" t="s">
        <v>49</v>
      </c>
      <c r="AA750" s="3">
        <f>X750-Grocery_Inventory_and_Sales_Dat!N750</f>
        <v>6105.5999999999995</v>
      </c>
    </row>
    <row r="751" spans="1:27" x14ac:dyDescent="0.3">
      <c r="A751" t="s">
        <v>2734</v>
      </c>
      <c r="B751" t="s">
        <v>786</v>
      </c>
      <c r="C751" t="s">
        <v>52</v>
      </c>
      <c r="D751" t="s">
        <v>2735</v>
      </c>
      <c r="E751" s="13" t="s">
        <v>808</v>
      </c>
      <c r="G751" s="2">
        <v>58</v>
      </c>
      <c r="H751">
        <v>12</v>
      </c>
      <c r="I751">
        <v>99</v>
      </c>
      <c r="J751" t="s">
        <v>55</v>
      </c>
      <c r="K751">
        <v>0</v>
      </c>
      <c r="L751" t="s">
        <v>41</v>
      </c>
      <c r="M751" s="12">
        <v>3</v>
      </c>
      <c r="N751" s="3">
        <f>G751*M751</f>
        <v>174</v>
      </c>
      <c r="O751" s="1">
        <v>45679</v>
      </c>
      <c r="P751" s="1">
        <v>45992</v>
      </c>
      <c r="Q751" s="1">
        <v>45438</v>
      </c>
      <c r="R751">
        <v>400</v>
      </c>
      <c r="S751">
        <v>87</v>
      </c>
      <c r="T751">
        <v>641</v>
      </c>
      <c r="U751" t="str">
        <f t="shared" si="22"/>
        <v>Safe</v>
      </c>
      <c r="V751" t="s">
        <v>2736</v>
      </c>
      <c r="W751">
        <v>71</v>
      </c>
      <c r="X751" s="3">
        <f t="shared" si="23"/>
        <v>12354</v>
      </c>
      <c r="Y751">
        <v>30</v>
      </c>
      <c r="Z751" t="s">
        <v>49</v>
      </c>
      <c r="AA751" s="3">
        <f>X751-Grocery_Inventory_and_Sales_Dat!N751</f>
        <v>12180</v>
      </c>
    </row>
    <row r="752" spans="1:27" x14ac:dyDescent="0.3">
      <c r="A752" t="s">
        <v>2737</v>
      </c>
      <c r="B752" t="s">
        <v>38</v>
      </c>
      <c r="C752" t="s">
        <v>24</v>
      </c>
      <c r="D752" t="s">
        <v>2738</v>
      </c>
      <c r="E752" s="13" t="s">
        <v>991</v>
      </c>
      <c r="G752" s="2">
        <v>30</v>
      </c>
      <c r="H752">
        <v>34</v>
      </c>
      <c r="I752">
        <v>96</v>
      </c>
      <c r="J752" t="s">
        <v>27</v>
      </c>
      <c r="K752">
        <v>34</v>
      </c>
      <c r="L752" t="s">
        <v>41</v>
      </c>
      <c r="M752" s="12">
        <v>6.3</v>
      </c>
      <c r="N752" s="3">
        <f>G752*M752</f>
        <v>189</v>
      </c>
      <c r="O752" s="1">
        <v>45393</v>
      </c>
      <c r="P752" s="1">
        <v>45645</v>
      </c>
      <c r="Q752" s="1">
        <v>45404</v>
      </c>
      <c r="R752">
        <v>686</v>
      </c>
      <c r="S752">
        <v>434</v>
      </c>
      <c r="T752">
        <v>675</v>
      </c>
      <c r="U752" t="str">
        <f t="shared" si="22"/>
        <v>Safe</v>
      </c>
      <c r="V752" t="s">
        <v>2739</v>
      </c>
      <c r="W752">
        <v>61</v>
      </c>
      <c r="X752" s="3">
        <f t="shared" si="23"/>
        <v>11529</v>
      </c>
      <c r="Y752">
        <v>13</v>
      </c>
      <c r="Z752" t="s">
        <v>43</v>
      </c>
      <c r="AA752" s="3">
        <f>X752-Grocery_Inventory_and_Sales_Dat!N752</f>
        <v>11340</v>
      </c>
    </row>
    <row r="753" spans="1:27" x14ac:dyDescent="0.3">
      <c r="A753" t="s">
        <v>2740</v>
      </c>
      <c r="B753" t="s">
        <v>1211</v>
      </c>
      <c r="C753" t="s">
        <v>52</v>
      </c>
      <c r="D753" t="s">
        <v>2741</v>
      </c>
      <c r="E753" s="13" t="s">
        <v>305</v>
      </c>
      <c r="G753" s="2">
        <v>97</v>
      </c>
      <c r="H753">
        <v>97</v>
      </c>
      <c r="I753">
        <v>71</v>
      </c>
      <c r="J753" t="s">
        <v>27</v>
      </c>
      <c r="K753">
        <v>97</v>
      </c>
      <c r="L753" t="s">
        <v>28</v>
      </c>
      <c r="M753" s="12">
        <v>4.5</v>
      </c>
      <c r="N753" s="3">
        <f>G753*M753</f>
        <v>436.5</v>
      </c>
      <c r="O753" s="1">
        <v>45633</v>
      </c>
      <c r="P753" s="1">
        <v>45564</v>
      </c>
      <c r="Q753" s="1">
        <v>45526</v>
      </c>
      <c r="R753">
        <v>446</v>
      </c>
      <c r="S753">
        <v>515</v>
      </c>
      <c r="T753">
        <v>553</v>
      </c>
      <c r="U753" t="str">
        <f t="shared" si="22"/>
        <v>Safe</v>
      </c>
      <c r="V753" t="s">
        <v>2742</v>
      </c>
      <c r="W753">
        <v>53</v>
      </c>
      <c r="X753" s="3">
        <f t="shared" si="23"/>
        <v>23134.5</v>
      </c>
      <c r="Y753">
        <v>31</v>
      </c>
      <c r="Z753" t="s">
        <v>49</v>
      </c>
      <c r="AA753" s="3">
        <f>X753-Grocery_Inventory_and_Sales_Dat!N753</f>
        <v>22698</v>
      </c>
    </row>
    <row r="754" spans="1:27" x14ac:dyDescent="0.3">
      <c r="A754" t="s">
        <v>2743</v>
      </c>
      <c r="B754" t="s">
        <v>69</v>
      </c>
      <c r="C754" t="s">
        <v>70</v>
      </c>
      <c r="D754" t="s">
        <v>2744</v>
      </c>
      <c r="E754" s="13" t="s">
        <v>1099</v>
      </c>
      <c r="G754" s="2">
        <v>50</v>
      </c>
      <c r="H754">
        <v>93</v>
      </c>
      <c r="I754">
        <v>37</v>
      </c>
      <c r="J754" t="s">
        <v>27</v>
      </c>
      <c r="K754">
        <v>93</v>
      </c>
      <c r="L754" t="s">
        <v>28</v>
      </c>
      <c r="M754" s="12">
        <v>2.4500000000000002</v>
      </c>
      <c r="N754" s="3">
        <f>G754*M754</f>
        <v>122.50000000000001</v>
      </c>
      <c r="O754" s="1">
        <v>45962</v>
      </c>
      <c r="P754" s="1">
        <v>45325</v>
      </c>
      <c r="Q754" s="1">
        <v>45424</v>
      </c>
      <c r="R754">
        <v>117</v>
      </c>
      <c r="S754">
        <v>754</v>
      </c>
      <c r="T754">
        <v>655</v>
      </c>
      <c r="U754" t="str">
        <f t="shared" si="22"/>
        <v>Safe</v>
      </c>
      <c r="V754" t="s">
        <v>2745</v>
      </c>
      <c r="W754">
        <v>78</v>
      </c>
      <c r="X754" s="3">
        <f t="shared" si="23"/>
        <v>9555.0000000000018</v>
      </c>
      <c r="Y754">
        <v>79</v>
      </c>
      <c r="Z754" t="s">
        <v>43</v>
      </c>
      <c r="AA754" s="3">
        <f>X754-Grocery_Inventory_and_Sales_Dat!N754</f>
        <v>9432.5000000000018</v>
      </c>
    </row>
    <row r="755" spans="1:27" x14ac:dyDescent="0.3">
      <c r="A755" t="s">
        <v>2746</v>
      </c>
      <c r="B755" t="s">
        <v>725</v>
      </c>
      <c r="C755" t="s">
        <v>70</v>
      </c>
      <c r="D755" t="s">
        <v>2747</v>
      </c>
      <c r="E755" s="13" t="s">
        <v>2382</v>
      </c>
      <c r="G755" s="2">
        <v>70</v>
      </c>
      <c r="H755">
        <v>96</v>
      </c>
      <c r="I755">
        <v>35</v>
      </c>
      <c r="J755" t="s">
        <v>27</v>
      </c>
      <c r="K755">
        <v>96</v>
      </c>
      <c r="L755" t="s">
        <v>28</v>
      </c>
      <c r="M755" s="12">
        <v>9</v>
      </c>
      <c r="N755" s="3">
        <f>G755*M755</f>
        <v>630</v>
      </c>
      <c r="O755" s="1">
        <v>45871</v>
      </c>
      <c r="P755" s="1">
        <v>45467</v>
      </c>
      <c r="Q755" s="1">
        <v>45674</v>
      </c>
      <c r="R755">
        <v>208</v>
      </c>
      <c r="S755">
        <v>612</v>
      </c>
      <c r="T755">
        <v>405</v>
      </c>
      <c r="U755" t="str">
        <f t="shared" si="22"/>
        <v>Expiring Soon</v>
      </c>
      <c r="V755" t="s">
        <v>2748</v>
      </c>
      <c r="W755">
        <v>63</v>
      </c>
      <c r="X755" s="3">
        <f t="shared" si="23"/>
        <v>39690</v>
      </c>
      <c r="Y755">
        <v>84</v>
      </c>
      <c r="Z755" t="s">
        <v>43</v>
      </c>
      <c r="AA755" s="3">
        <f>X755-Grocery_Inventory_and_Sales_Dat!N755</f>
        <v>39060</v>
      </c>
    </row>
    <row r="756" spans="1:27" x14ac:dyDescent="0.3">
      <c r="A756" t="s">
        <v>2749</v>
      </c>
      <c r="B756" t="s">
        <v>446</v>
      </c>
      <c r="C756" t="s">
        <v>52</v>
      </c>
      <c r="D756" t="s">
        <v>2750</v>
      </c>
      <c r="E756" s="13" t="s">
        <v>2225</v>
      </c>
      <c r="G756" s="2">
        <v>40</v>
      </c>
      <c r="H756">
        <v>61</v>
      </c>
      <c r="I756">
        <v>47</v>
      </c>
      <c r="J756" t="s">
        <v>27</v>
      </c>
      <c r="K756">
        <v>61</v>
      </c>
      <c r="L756" t="s">
        <v>28</v>
      </c>
      <c r="M756" s="12">
        <v>10</v>
      </c>
      <c r="N756" s="3">
        <f>G756*M756</f>
        <v>400</v>
      </c>
      <c r="O756" s="1">
        <v>45532</v>
      </c>
      <c r="P756" s="1">
        <v>45602</v>
      </c>
      <c r="Q756" s="1">
        <v>45439</v>
      </c>
      <c r="R756">
        <v>547</v>
      </c>
      <c r="S756">
        <v>477</v>
      </c>
      <c r="T756">
        <v>640</v>
      </c>
      <c r="U756" t="str">
        <f t="shared" si="22"/>
        <v>Safe</v>
      </c>
      <c r="V756" t="s">
        <v>2751</v>
      </c>
      <c r="W756">
        <v>76</v>
      </c>
      <c r="X756" s="3">
        <f t="shared" si="23"/>
        <v>30400</v>
      </c>
      <c r="Y756">
        <v>10</v>
      </c>
      <c r="Z756" t="s">
        <v>30</v>
      </c>
      <c r="AA756" s="3">
        <f>X756-Grocery_Inventory_and_Sales_Dat!N756</f>
        <v>30000</v>
      </c>
    </row>
    <row r="757" spans="1:27" x14ac:dyDescent="0.3">
      <c r="A757" t="s">
        <v>2752</v>
      </c>
      <c r="B757" t="s">
        <v>63</v>
      </c>
      <c r="C757" t="s">
        <v>64</v>
      </c>
      <c r="D757" t="s">
        <v>2753</v>
      </c>
      <c r="E757" s="13" t="s">
        <v>1665</v>
      </c>
      <c r="G757" s="2">
        <v>75</v>
      </c>
      <c r="H757">
        <v>23</v>
      </c>
      <c r="I757">
        <v>34</v>
      </c>
      <c r="J757" t="s">
        <v>55</v>
      </c>
      <c r="K757">
        <v>0</v>
      </c>
      <c r="L757" t="s">
        <v>41</v>
      </c>
      <c r="M757" s="12">
        <v>2.5</v>
      </c>
      <c r="N757" s="3">
        <f>G757*M757</f>
        <v>187.5</v>
      </c>
      <c r="O757" s="1">
        <v>45465</v>
      </c>
      <c r="P757" s="1">
        <v>45391</v>
      </c>
      <c r="Q757" s="1">
        <v>45477</v>
      </c>
      <c r="R757">
        <v>614</v>
      </c>
      <c r="S757">
        <v>688</v>
      </c>
      <c r="T757">
        <v>602</v>
      </c>
      <c r="U757" t="str">
        <f t="shared" si="22"/>
        <v>Safe</v>
      </c>
      <c r="V757" t="s">
        <v>2754</v>
      </c>
      <c r="W757">
        <v>100</v>
      </c>
      <c r="X757" s="3">
        <f t="shared" si="23"/>
        <v>18750</v>
      </c>
      <c r="Y757">
        <v>54</v>
      </c>
      <c r="Z757" t="s">
        <v>43</v>
      </c>
      <c r="AA757" s="3">
        <f>X757-Grocery_Inventory_and_Sales_Dat!N757</f>
        <v>18562.5</v>
      </c>
    </row>
    <row r="758" spans="1:27" x14ac:dyDescent="0.3">
      <c r="A758" t="s">
        <v>2755</v>
      </c>
      <c r="B758" t="s">
        <v>104</v>
      </c>
      <c r="C758" t="s">
        <v>52</v>
      </c>
      <c r="D758" t="s">
        <v>2756</v>
      </c>
      <c r="E758" s="13" t="s">
        <v>668</v>
      </c>
      <c r="G758" s="2">
        <v>26</v>
      </c>
      <c r="H758">
        <v>97</v>
      </c>
      <c r="I758">
        <v>12</v>
      </c>
      <c r="J758" t="s">
        <v>27</v>
      </c>
      <c r="K758">
        <v>97</v>
      </c>
      <c r="L758" t="s">
        <v>28</v>
      </c>
      <c r="M758" s="12">
        <v>6</v>
      </c>
      <c r="N758" s="3">
        <f>G758*M758</f>
        <v>156</v>
      </c>
      <c r="O758" s="1">
        <v>45560</v>
      </c>
      <c r="P758" s="1">
        <v>45624</v>
      </c>
      <c r="Q758" s="1">
        <v>45455</v>
      </c>
      <c r="R758">
        <v>519</v>
      </c>
      <c r="S758">
        <v>455</v>
      </c>
      <c r="T758">
        <v>624</v>
      </c>
      <c r="U758" t="str">
        <f t="shared" si="22"/>
        <v>Safe</v>
      </c>
      <c r="V758" t="s">
        <v>2757</v>
      </c>
      <c r="W758">
        <v>94</v>
      </c>
      <c r="X758" s="3">
        <f t="shared" si="23"/>
        <v>14664</v>
      </c>
      <c r="Y758">
        <v>58</v>
      </c>
      <c r="Z758" t="s">
        <v>30</v>
      </c>
      <c r="AA758" s="3">
        <f>X758-Grocery_Inventory_and_Sales_Dat!N758</f>
        <v>14508</v>
      </c>
    </row>
    <row r="759" spans="1:27" x14ac:dyDescent="0.3">
      <c r="A759" t="s">
        <v>2758</v>
      </c>
      <c r="B759" t="s">
        <v>32</v>
      </c>
      <c r="C759" t="s">
        <v>33</v>
      </c>
      <c r="D759" t="s">
        <v>2759</v>
      </c>
      <c r="E759" s="13" t="s">
        <v>1005</v>
      </c>
      <c r="G759" s="2">
        <v>13</v>
      </c>
      <c r="H759">
        <v>55</v>
      </c>
      <c r="I759">
        <v>77</v>
      </c>
      <c r="J759" t="s">
        <v>27</v>
      </c>
      <c r="K759">
        <v>55</v>
      </c>
      <c r="L759" t="s">
        <v>41</v>
      </c>
      <c r="M759" s="12">
        <v>20</v>
      </c>
      <c r="N759" s="3">
        <f>G759*M759</f>
        <v>260</v>
      </c>
      <c r="O759" s="1">
        <v>45582</v>
      </c>
      <c r="P759" s="1">
        <v>45642</v>
      </c>
      <c r="Q759" s="1">
        <v>45599</v>
      </c>
      <c r="R759">
        <v>497</v>
      </c>
      <c r="S759">
        <v>437</v>
      </c>
      <c r="T759">
        <v>480</v>
      </c>
      <c r="U759" t="str">
        <f t="shared" si="22"/>
        <v>Expiring Soon</v>
      </c>
      <c r="V759" t="s">
        <v>2760</v>
      </c>
      <c r="W759">
        <v>67</v>
      </c>
      <c r="X759" s="3">
        <f t="shared" si="23"/>
        <v>17420</v>
      </c>
      <c r="Y759">
        <v>68</v>
      </c>
      <c r="Z759" t="s">
        <v>43</v>
      </c>
      <c r="AA759" s="3">
        <f>X759-Grocery_Inventory_and_Sales_Dat!N759</f>
        <v>17160</v>
      </c>
    </row>
    <row r="760" spans="1:27" x14ac:dyDescent="0.3">
      <c r="A760" t="s">
        <v>2761</v>
      </c>
      <c r="B760" t="s">
        <v>51</v>
      </c>
      <c r="C760" t="s">
        <v>52</v>
      </c>
      <c r="D760" t="s">
        <v>2762</v>
      </c>
      <c r="E760" s="13" t="s">
        <v>2763</v>
      </c>
      <c r="G760" s="2">
        <v>11</v>
      </c>
      <c r="H760">
        <v>58</v>
      </c>
      <c r="I760">
        <v>32</v>
      </c>
      <c r="J760" t="s">
        <v>27</v>
      </c>
      <c r="K760">
        <v>58</v>
      </c>
      <c r="L760" t="s">
        <v>41</v>
      </c>
      <c r="M760" s="12">
        <v>4</v>
      </c>
      <c r="N760" s="3">
        <f>G760*M760</f>
        <v>44</v>
      </c>
      <c r="O760" s="1">
        <v>45350</v>
      </c>
      <c r="P760" s="1">
        <v>45542</v>
      </c>
      <c r="Q760" s="1">
        <v>45620</v>
      </c>
      <c r="R760">
        <v>729</v>
      </c>
      <c r="S760">
        <v>537</v>
      </c>
      <c r="T760">
        <v>459</v>
      </c>
      <c r="U760" t="str">
        <f t="shared" si="22"/>
        <v>Expiring Soon</v>
      </c>
      <c r="V760" t="s">
        <v>2764</v>
      </c>
      <c r="W760">
        <v>99</v>
      </c>
      <c r="X760" s="3">
        <f t="shared" si="23"/>
        <v>4356</v>
      </c>
      <c r="Y760">
        <v>94</v>
      </c>
      <c r="Z760" t="s">
        <v>49</v>
      </c>
      <c r="AA760" s="3">
        <f>X760-Grocery_Inventory_and_Sales_Dat!N760</f>
        <v>4312</v>
      </c>
    </row>
    <row r="761" spans="1:27" x14ac:dyDescent="0.3">
      <c r="A761" t="s">
        <v>2765</v>
      </c>
      <c r="B761" t="s">
        <v>1485</v>
      </c>
      <c r="C761" t="s">
        <v>138</v>
      </c>
      <c r="D761" t="s">
        <v>2766</v>
      </c>
      <c r="E761" s="13" t="s">
        <v>194</v>
      </c>
      <c r="G761" s="2">
        <v>98</v>
      </c>
      <c r="H761">
        <v>67</v>
      </c>
      <c r="I761">
        <v>49</v>
      </c>
      <c r="J761" t="s">
        <v>55</v>
      </c>
      <c r="K761">
        <v>0</v>
      </c>
      <c r="L761" t="s">
        <v>41</v>
      </c>
      <c r="M761" s="12">
        <v>15</v>
      </c>
      <c r="N761" s="3">
        <f>G761*M761</f>
        <v>1470</v>
      </c>
      <c r="O761" s="1">
        <v>45543</v>
      </c>
      <c r="P761" s="1">
        <v>45655</v>
      </c>
      <c r="Q761" s="1">
        <v>45386</v>
      </c>
      <c r="R761">
        <v>536</v>
      </c>
      <c r="S761">
        <v>424</v>
      </c>
      <c r="T761">
        <v>693</v>
      </c>
      <c r="U761" t="str">
        <f t="shared" si="22"/>
        <v>Safe</v>
      </c>
      <c r="V761" t="s">
        <v>2767</v>
      </c>
      <c r="W761">
        <v>21</v>
      </c>
      <c r="X761" s="3">
        <f t="shared" si="23"/>
        <v>30870</v>
      </c>
      <c r="Y761">
        <v>61</v>
      </c>
      <c r="Z761" t="s">
        <v>49</v>
      </c>
      <c r="AA761" s="3">
        <f>X761-Grocery_Inventory_and_Sales_Dat!N761</f>
        <v>29400</v>
      </c>
    </row>
    <row r="762" spans="1:27" x14ac:dyDescent="0.3">
      <c r="A762" t="s">
        <v>2768</v>
      </c>
      <c r="B762" t="s">
        <v>355</v>
      </c>
      <c r="C762" t="s">
        <v>52</v>
      </c>
      <c r="D762" t="s">
        <v>2769</v>
      </c>
      <c r="E762" s="13" t="s">
        <v>419</v>
      </c>
      <c r="G762" s="2">
        <v>35</v>
      </c>
      <c r="H762">
        <v>4</v>
      </c>
      <c r="I762">
        <v>76</v>
      </c>
      <c r="J762" t="s">
        <v>55</v>
      </c>
      <c r="K762">
        <v>0</v>
      </c>
      <c r="L762" t="s">
        <v>41</v>
      </c>
      <c r="M762" s="12">
        <v>4</v>
      </c>
      <c r="N762" s="3">
        <f>G762*M762</f>
        <v>140</v>
      </c>
      <c r="O762" s="1">
        <v>45543</v>
      </c>
      <c r="P762" s="1">
        <v>45526</v>
      </c>
      <c r="Q762" s="1">
        <v>45520</v>
      </c>
      <c r="R762">
        <v>536</v>
      </c>
      <c r="S762">
        <v>553</v>
      </c>
      <c r="T762">
        <v>559</v>
      </c>
      <c r="U762" t="str">
        <f t="shared" si="22"/>
        <v>Safe</v>
      </c>
      <c r="V762" t="s">
        <v>2770</v>
      </c>
      <c r="W762">
        <v>90</v>
      </c>
      <c r="X762" s="3">
        <f t="shared" si="23"/>
        <v>12600</v>
      </c>
      <c r="Y762">
        <v>30</v>
      </c>
      <c r="Z762" t="s">
        <v>30</v>
      </c>
      <c r="AA762" s="3">
        <f>X762-Grocery_Inventory_and_Sales_Dat!N762</f>
        <v>12460</v>
      </c>
    </row>
    <row r="763" spans="1:27" x14ac:dyDescent="0.3">
      <c r="A763" t="s">
        <v>2771</v>
      </c>
      <c r="B763" t="s">
        <v>1048</v>
      </c>
      <c r="C763" t="s">
        <v>138</v>
      </c>
      <c r="D763" t="s">
        <v>2772</v>
      </c>
      <c r="E763" s="13" t="s">
        <v>2349</v>
      </c>
      <c r="G763" s="2">
        <v>45</v>
      </c>
      <c r="H763">
        <v>56</v>
      </c>
      <c r="I763">
        <v>64</v>
      </c>
      <c r="J763" t="s">
        <v>27</v>
      </c>
      <c r="K763">
        <v>56</v>
      </c>
      <c r="L763" t="s">
        <v>41</v>
      </c>
      <c r="M763" s="12">
        <v>7.5</v>
      </c>
      <c r="N763" s="3">
        <f>G763*M763</f>
        <v>337.5</v>
      </c>
      <c r="O763" s="1">
        <v>45487</v>
      </c>
      <c r="P763" s="1">
        <v>45530</v>
      </c>
      <c r="Q763" s="1">
        <v>45478</v>
      </c>
      <c r="R763">
        <v>592</v>
      </c>
      <c r="S763">
        <v>549</v>
      </c>
      <c r="T763">
        <v>601</v>
      </c>
      <c r="U763" t="str">
        <f t="shared" si="22"/>
        <v>Safe</v>
      </c>
      <c r="V763" t="s">
        <v>2773</v>
      </c>
      <c r="W763">
        <v>35</v>
      </c>
      <c r="X763" s="3">
        <f t="shared" si="23"/>
        <v>11812.5</v>
      </c>
      <c r="Y763">
        <v>82</v>
      </c>
      <c r="Z763" t="s">
        <v>30</v>
      </c>
      <c r="AA763" s="3">
        <f>X763-Grocery_Inventory_and_Sales_Dat!N763</f>
        <v>11475</v>
      </c>
    </row>
    <row r="764" spans="1:27" x14ac:dyDescent="0.3">
      <c r="A764" t="s">
        <v>2774</v>
      </c>
      <c r="B764" t="s">
        <v>1008</v>
      </c>
      <c r="C764" t="s">
        <v>52</v>
      </c>
      <c r="D764" t="s">
        <v>2775</v>
      </c>
      <c r="E764" s="13" t="s">
        <v>2143</v>
      </c>
      <c r="G764" s="2">
        <v>47</v>
      </c>
      <c r="H764">
        <v>22</v>
      </c>
      <c r="I764">
        <v>69</v>
      </c>
      <c r="J764" t="s">
        <v>55</v>
      </c>
      <c r="K764">
        <v>0</v>
      </c>
      <c r="L764" t="s">
        <v>41</v>
      </c>
      <c r="M764" s="12">
        <v>4</v>
      </c>
      <c r="N764" s="3">
        <f>G764*M764</f>
        <v>188</v>
      </c>
      <c r="O764" s="1">
        <v>45325</v>
      </c>
      <c r="P764" s="1">
        <v>45487</v>
      </c>
      <c r="Q764" s="1">
        <v>45446</v>
      </c>
      <c r="R764">
        <v>754</v>
      </c>
      <c r="S764">
        <v>592</v>
      </c>
      <c r="T764">
        <v>633</v>
      </c>
      <c r="U764" t="str">
        <f t="shared" si="22"/>
        <v>Safe</v>
      </c>
      <c r="V764" t="s">
        <v>2776</v>
      </c>
      <c r="W764">
        <v>26</v>
      </c>
      <c r="X764" s="3">
        <f t="shared" si="23"/>
        <v>4888</v>
      </c>
      <c r="Y764">
        <v>59</v>
      </c>
      <c r="Z764" t="s">
        <v>43</v>
      </c>
      <c r="AA764" s="3">
        <f>X764-Grocery_Inventory_and_Sales_Dat!N764</f>
        <v>4700</v>
      </c>
    </row>
    <row r="765" spans="1:27" x14ac:dyDescent="0.3">
      <c r="A765" t="s">
        <v>2777</v>
      </c>
      <c r="B765" t="s">
        <v>743</v>
      </c>
      <c r="C765" t="s">
        <v>64</v>
      </c>
      <c r="D765" t="s">
        <v>2778</v>
      </c>
      <c r="E765" s="13" t="s">
        <v>953</v>
      </c>
      <c r="G765" s="2">
        <v>89</v>
      </c>
      <c r="H765">
        <v>66</v>
      </c>
      <c r="I765">
        <v>28</v>
      </c>
      <c r="J765" t="s">
        <v>55</v>
      </c>
      <c r="K765">
        <v>0</v>
      </c>
      <c r="L765" t="s">
        <v>41</v>
      </c>
      <c r="M765" s="12">
        <v>6.5</v>
      </c>
      <c r="N765" s="3">
        <f>G765*M765</f>
        <v>578.5</v>
      </c>
      <c r="O765" s="1">
        <v>45670</v>
      </c>
      <c r="P765" s="1">
        <v>45615</v>
      </c>
      <c r="Q765" s="1">
        <v>45621</v>
      </c>
      <c r="R765">
        <v>409</v>
      </c>
      <c r="S765">
        <v>464</v>
      </c>
      <c r="T765">
        <v>458</v>
      </c>
      <c r="U765" t="str">
        <f t="shared" si="22"/>
        <v>Expiring Soon</v>
      </c>
      <c r="V765" t="s">
        <v>2779</v>
      </c>
      <c r="W765">
        <v>39</v>
      </c>
      <c r="X765" s="3">
        <f t="shared" si="23"/>
        <v>22561.5</v>
      </c>
      <c r="Y765">
        <v>25</v>
      </c>
      <c r="Z765" t="s">
        <v>49</v>
      </c>
      <c r="AA765" s="3">
        <f>X765-Grocery_Inventory_and_Sales_Dat!N765</f>
        <v>21983</v>
      </c>
    </row>
    <row r="766" spans="1:27" x14ac:dyDescent="0.3">
      <c r="A766" t="s">
        <v>2780</v>
      </c>
      <c r="B766" t="s">
        <v>240</v>
      </c>
      <c r="C766" t="s">
        <v>33</v>
      </c>
      <c r="D766" t="s">
        <v>2781</v>
      </c>
      <c r="E766" s="13" t="s">
        <v>184</v>
      </c>
      <c r="G766" s="2">
        <v>33</v>
      </c>
      <c r="H766">
        <v>22</v>
      </c>
      <c r="I766">
        <v>94</v>
      </c>
      <c r="J766" t="s">
        <v>55</v>
      </c>
      <c r="K766">
        <v>0</v>
      </c>
      <c r="L766" t="s">
        <v>41</v>
      </c>
      <c r="M766" s="12">
        <v>15</v>
      </c>
      <c r="N766" s="3">
        <f>G766*M766</f>
        <v>495</v>
      </c>
      <c r="O766" s="1">
        <v>45624</v>
      </c>
      <c r="P766" s="1">
        <v>45559</v>
      </c>
      <c r="Q766" s="1">
        <v>45534</v>
      </c>
      <c r="R766">
        <v>455</v>
      </c>
      <c r="S766">
        <v>520</v>
      </c>
      <c r="T766">
        <v>545</v>
      </c>
      <c r="U766" t="str">
        <f t="shared" si="22"/>
        <v>Expiring Soon</v>
      </c>
      <c r="V766" t="s">
        <v>2782</v>
      </c>
      <c r="W766">
        <v>96</v>
      </c>
      <c r="X766" s="3">
        <f t="shared" si="23"/>
        <v>47520</v>
      </c>
      <c r="Y766">
        <v>56</v>
      </c>
      <c r="Z766" t="s">
        <v>30</v>
      </c>
      <c r="AA766" s="3">
        <f>X766-Grocery_Inventory_and_Sales_Dat!N766</f>
        <v>47025</v>
      </c>
    </row>
    <row r="767" spans="1:27" x14ac:dyDescent="0.3">
      <c r="A767" t="s">
        <v>2783</v>
      </c>
      <c r="B767" t="s">
        <v>1190</v>
      </c>
      <c r="C767" t="s">
        <v>52</v>
      </c>
      <c r="D767" t="s">
        <v>2784</v>
      </c>
      <c r="E767" s="13" t="s">
        <v>1200</v>
      </c>
      <c r="G767" s="2">
        <v>90</v>
      </c>
      <c r="H767">
        <v>30</v>
      </c>
      <c r="I767">
        <v>42</v>
      </c>
      <c r="J767" t="s">
        <v>55</v>
      </c>
      <c r="K767">
        <v>0</v>
      </c>
      <c r="L767" t="s">
        <v>41</v>
      </c>
      <c r="M767" s="12">
        <v>5</v>
      </c>
      <c r="N767" s="3">
        <f>G767*M767</f>
        <v>450</v>
      </c>
      <c r="O767" s="1">
        <v>45523</v>
      </c>
      <c r="P767" s="1">
        <v>45502</v>
      </c>
      <c r="Q767" s="1">
        <v>45353</v>
      </c>
      <c r="R767">
        <v>556</v>
      </c>
      <c r="S767">
        <v>577</v>
      </c>
      <c r="T767">
        <v>726</v>
      </c>
      <c r="U767" t="str">
        <f t="shared" si="22"/>
        <v>Safe</v>
      </c>
      <c r="V767" t="s">
        <v>2785</v>
      </c>
      <c r="W767">
        <v>76</v>
      </c>
      <c r="X767" s="3">
        <f t="shared" si="23"/>
        <v>34200</v>
      </c>
      <c r="Y767">
        <v>69</v>
      </c>
      <c r="Z767" t="s">
        <v>43</v>
      </c>
      <c r="AA767" s="3">
        <f>X767-Grocery_Inventory_and_Sales_Dat!N767</f>
        <v>33750</v>
      </c>
    </row>
    <row r="768" spans="1:27" x14ac:dyDescent="0.3">
      <c r="A768" t="s">
        <v>2786</v>
      </c>
      <c r="B768" t="s">
        <v>473</v>
      </c>
      <c r="C768" t="s">
        <v>24</v>
      </c>
      <c r="D768" t="s">
        <v>2787</v>
      </c>
      <c r="E768" s="13" t="s">
        <v>1401</v>
      </c>
      <c r="G768" s="2">
        <v>44</v>
      </c>
      <c r="H768">
        <v>26</v>
      </c>
      <c r="I768">
        <v>60</v>
      </c>
      <c r="J768" t="s">
        <v>55</v>
      </c>
      <c r="K768">
        <v>0</v>
      </c>
      <c r="L768" t="s">
        <v>41</v>
      </c>
      <c r="M768" s="12">
        <v>4.75</v>
      </c>
      <c r="N768" s="3">
        <f>G768*M768</f>
        <v>209</v>
      </c>
      <c r="O768" s="1">
        <v>45366</v>
      </c>
      <c r="P768" s="1">
        <v>45527</v>
      </c>
      <c r="Q768" s="1">
        <v>45509</v>
      </c>
      <c r="R768">
        <v>713</v>
      </c>
      <c r="S768">
        <v>552</v>
      </c>
      <c r="T768">
        <v>570</v>
      </c>
      <c r="U768" t="str">
        <f t="shared" si="22"/>
        <v>Safe</v>
      </c>
      <c r="V768" t="s">
        <v>2788</v>
      </c>
      <c r="W768">
        <v>63</v>
      </c>
      <c r="X768" s="3">
        <f t="shared" si="23"/>
        <v>13167</v>
      </c>
      <c r="Y768">
        <v>59</v>
      </c>
      <c r="Z768" t="s">
        <v>30</v>
      </c>
      <c r="AA768" s="3">
        <f>X768-Grocery_Inventory_and_Sales_Dat!N768</f>
        <v>12958</v>
      </c>
    </row>
    <row r="769" spans="1:27" x14ac:dyDescent="0.3">
      <c r="A769" t="s">
        <v>2789</v>
      </c>
      <c r="B769" t="s">
        <v>1474</v>
      </c>
      <c r="C769" t="s">
        <v>24</v>
      </c>
      <c r="D769" t="s">
        <v>2790</v>
      </c>
      <c r="E769" s="13" t="s">
        <v>2791</v>
      </c>
      <c r="G769" s="2">
        <v>41</v>
      </c>
      <c r="H769">
        <v>56</v>
      </c>
      <c r="I769">
        <v>12</v>
      </c>
      <c r="J769" t="s">
        <v>27</v>
      </c>
      <c r="K769">
        <v>56</v>
      </c>
      <c r="L769" t="s">
        <v>41</v>
      </c>
      <c r="M769" s="12">
        <v>9.75</v>
      </c>
      <c r="N769" s="3">
        <f>G769*M769</f>
        <v>399.75</v>
      </c>
      <c r="O769" s="1">
        <v>45448</v>
      </c>
      <c r="P769" s="1">
        <v>45621</v>
      </c>
      <c r="Q769" s="1">
        <v>45351</v>
      </c>
      <c r="R769">
        <v>631</v>
      </c>
      <c r="S769">
        <v>458</v>
      </c>
      <c r="T769">
        <v>728</v>
      </c>
      <c r="U769" t="str">
        <f t="shared" si="22"/>
        <v>Safe</v>
      </c>
      <c r="V769" t="s">
        <v>2792</v>
      </c>
      <c r="W769">
        <v>93</v>
      </c>
      <c r="X769" s="3">
        <f t="shared" si="23"/>
        <v>37176.75</v>
      </c>
      <c r="Y769">
        <v>88</v>
      </c>
      <c r="Z769" t="s">
        <v>49</v>
      </c>
      <c r="AA769" s="3">
        <f>X769-Grocery_Inventory_and_Sales_Dat!N769</f>
        <v>36777</v>
      </c>
    </row>
    <row r="770" spans="1:27" x14ac:dyDescent="0.3">
      <c r="A770" t="s">
        <v>2793</v>
      </c>
      <c r="B770" t="s">
        <v>395</v>
      </c>
      <c r="C770" t="s">
        <v>52</v>
      </c>
      <c r="D770" t="s">
        <v>2794</v>
      </c>
      <c r="E770" s="13" t="s">
        <v>1991</v>
      </c>
      <c r="G770" s="2">
        <v>72</v>
      </c>
      <c r="H770">
        <v>58</v>
      </c>
      <c r="I770">
        <v>69</v>
      </c>
      <c r="J770" t="s">
        <v>55</v>
      </c>
      <c r="K770">
        <v>0</v>
      </c>
      <c r="L770" t="s">
        <v>41</v>
      </c>
      <c r="M770" s="12">
        <v>1.2</v>
      </c>
      <c r="N770" s="3">
        <f>G770*M770</f>
        <v>86.399999999999991</v>
      </c>
      <c r="O770" s="1">
        <v>45581</v>
      </c>
      <c r="P770" s="1">
        <v>45718</v>
      </c>
      <c r="Q770" s="1">
        <v>45711</v>
      </c>
      <c r="R770">
        <v>498</v>
      </c>
      <c r="S770">
        <v>361</v>
      </c>
      <c r="T770">
        <v>368</v>
      </c>
      <c r="U770" t="str">
        <f t="shared" si="22"/>
        <v>Expiring Soon</v>
      </c>
      <c r="V770" t="s">
        <v>2795</v>
      </c>
      <c r="W770">
        <v>96</v>
      </c>
      <c r="X770" s="3">
        <f t="shared" si="23"/>
        <v>8294.4</v>
      </c>
      <c r="Y770">
        <v>23</v>
      </c>
      <c r="Z770" t="s">
        <v>43</v>
      </c>
      <c r="AA770" s="3">
        <f>X770-Grocery_Inventory_and_Sales_Dat!N770</f>
        <v>8208</v>
      </c>
    </row>
    <row r="771" spans="1:27" x14ac:dyDescent="0.3">
      <c r="A771" t="s">
        <v>2796</v>
      </c>
      <c r="B771" t="s">
        <v>69</v>
      </c>
      <c r="C771" t="s">
        <v>70</v>
      </c>
      <c r="D771" t="s">
        <v>2797</v>
      </c>
      <c r="E771" s="13" t="s">
        <v>209</v>
      </c>
      <c r="G771" s="2">
        <v>72</v>
      </c>
      <c r="H771">
        <v>58</v>
      </c>
      <c r="I771">
        <v>52</v>
      </c>
      <c r="J771" t="s">
        <v>55</v>
      </c>
      <c r="K771">
        <v>0</v>
      </c>
      <c r="L771" t="s">
        <v>41</v>
      </c>
      <c r="M771" s="12">
        <v>2.4</v>
      </c>
      <c r="N771" s="3">
        <f>G771*M771</f>
        <v>172.79999999999998</v>
      </c>
      <c r="O771" s="1">
        <v>45703</v>
      </c>
      <c r="P771" s="1">
        <v>45428</v>
      </c>
      <c r="Q771" s="1">
        <v>45588</v>
      </c>
      <c r="R771">
        <v>376</v>
      </c>
      <c r="S771">
        <v>651</v>
      </c>
      <c r="T771">
        <v>491</v>
      </c>
      <c r="U771" t="str">
        <f t="shared" ref="U771:U834" si="24">IF(T771&lt;0,"Expired",IF(T771&lt;=550,"Expiring Soon","Safe"))</f>
        <v>Expiring Soon</v>
      </c>
      <c r="V771" t="s">
        <v>2798</v>
      </c>
      <c r="W771">
        <v>36</v>
      </c>
      <c r="X771" s="3">
        <f t="shared" ref="X771:X834" si="25">W771*N771</f>
        <v>6220.7999999999993</v>
      </c>
      <c r="Y771">
        <v>14</v>
      </c>
      <c r="Z771" t="s">
        <v>49</v>
      </c>
      <c r="AA771" s="3">
        <f>X771-Grocery_Inventory_and_Sales_Dat!N771</f>
        <v>6047.9999999999991</v>
      </c>
    </row>
    <row r="772" spans="1:27" x14ac:dyDescent="0.3">
      <c r="A772" t="s">
        <v>2799</v>
      </c>
      <c r="B772" t="s">
        <v>240</v>
      </c>
      <c r="C772" t="s">
        <v>33</v>
      </c>
      <c r="D772" t="s">
        <v>2800</v>
      </c>
      <c r="E772" s="13" t="s">
        <v>945</v>
      </c>
      <c r="G772" s="2">
        <v>40</v>
      </c>
      <c r="H772">
        <v>30</v>
      </c>
      <c r="I772">
        <v>60</v>
      </c>
      <c r="J772" t="s">
        <v>55</v>
      </c>
      <c r="K772">
        <v>0</v>
      </c>
      <c r="L772" t="s">
        <v>41</v>
      </c>
      <c r="M772" s="12">
        <v>15</v>
      </c>
      <c r="N772" s="3">
        <f>G772*M772</f>
        <v>600</v>
      </c>
      <c r="O772" s="1">
        <v>45421</v>
      </c>
      <c r="P772" s="1">
        <v>45588</v>
      </c>
      <c r="Q772" s="1">
        <v>45415</v>
      </c>
      <c r="R772">
        <v>658</v>
      </c>
      <c r="S772">
        <v>491</v>
      </c>
      <c r="T772">
        <v>664</v>
      </c>
      <c r="U772" t="str">
        <f t="shared" si="24"/>
        <v>Safe</v>
      </c>
      <c r="V772" t="s">
        <v>2801</v>
      </c>
      <c r="W772">
        <v>33</v>
      </c>
      <c r="X772" s="3">
        <f t="shared" si="25"/>
        <v>19800</v>
      </c>
      <c r="Y772">
        <v>84</v>
      </c>
      <c r="Z772" t="s">
        <v>49</v>
      </c>
      <c r="AA772" s="3">
        <f>X772-Grocery_Inventory_and_Sales_Dat!N772</f>
        <v>19200</v>
      </c>
    </row>
    <row r="773" spans="1:27" x14ac:dyDescent="0.3">
      <c r="A773" t="s">
        <v>2802</v>
      </c>
      <c r="B773" t="s">
        <v>1557</v>
      </c>
      <c r="C773" t="s">
        <v>95</v>
      </c>
      <c r="D773" t="s">
        <v>2803</v>
      </c>
      <c r="E773" s="13" t="s">
        <v>491</v>
      </c>
      <c r="G773" s="2">
        <v>36</v>
      </c>
      <c r="H773">
        <v>53</v>
      </c>
      <c r="I773">
        <v>92</v>
      </c>
      <c r="J773" t="s">
        <v>27</v>
      </c>
      <c r="K773">
        <v>53</v>
      </c>
      <c r="L773" t="s">
        <v>41</v>
      </c>
      <c r="M773" s="12">
        <v>3.5</v>
      </c>
      <c r="N773" s="3">
        <f>G773*M773</f>
        <v>126</v>
      </c>
      <c r="O773" s="1">
        <v>45480</v>
      </c>
      <c r="P773" s="1">
        <v>45297</v>
      </c>
      <c r="Q773" s="1">
        <v>45373</v>
      </c>
      <c r="R773">
        <v>599</v>
      </c>
      <c r="S773">
        <v>782</v>
      </c>
      <c r="T773">
        <v>706</v>
      </c>
      <c r="U773" t="str">
        <f t="shared" si="24"/>
        <v>Safe</v>
      </c>
      <c r="V773" t="s">
        <v>2804</v>
      </c>
      <c r="W773">
        <v>67</v>
      </c>
      <c r="X773" s="3">
        <f t="shared" si="25"/>
        <v>8442</v>
      </c>
      <c r="Y773">
        <v>43</v>
      </c>
      <c r="Z773" t="s">
        <v>43</v>
      </c>
      <c r="AA773" s="3">
        <f>X773-Grocery_Inventory_and_Sales_Dat!N773</f>
        <v>8316</v>
      </c>
    </row>
    <row r="774" spans="1:27" x14ac:dyDescent="0.3">
      <c r="A774" t="s">
        <v>2805</v>
      </c>
      <c r="B774" t="s">
        <v>716</v>
      </c>
      <c r="C774" t="s">
        <v>64</v>
      </c>
      <c r="D774" t="s">
        <v>2806</v>
      </c>
      <c r="E774" s="13" t="s">
        <v>1645</v>
      </c>
      <c r="G774" s="2">
        <v>51</v>
      </c>
      <c r="H774">
        <v>87</v>
      </c>
      <c r="I774">
        <v>86</v>
      </c>
      <c r="J774" t="s">
        <v>27</v>
      </c>
      <c r="K774">
        <v>87</v>
      </c>
      <c r="L774" t="s">
        <v>28</v>
      </c>
      <c r="M774" s="12">
        <v>2</v>
      </c>
      <c r="N774" s="3">
        <f>G774*M774</f>
        <v>102</v>
      </c>
      <c r="O774" s="1">
        <v>45295</v>
      </c>
      <c r="P774" s="1">
        <v>45431</v>
      </c>
      <c r="Q774" s="1">
        <v>45454</v>
      </c>
      <c r="R774">
        <v>784</v>
      </c>
      <c r="S774">
        <v>648</v>
      </c>
      <c r="T774">
        <v>625</v>
      </c>
      <c r="U774" t="str">
        <f t="shared" si="24"/>
        <v>Safe</v>
      </c>
      <c r="V774" t="s">
        <v>2807</v>
      </c>
      <c r="W774">
        <v>24</v>
      </c>
      <c r="X774" s="3">
        <f t="shared" si="25"/>
        <v>2448</v>
      </c>
      <c r="Y774">
        <v>83</v>
      </c>
      <c r="Z774" t="s">
        <v>43</v>
      </c>
      <c r="AA774" s="3">
        <f>X774-Grocery_Inventory_and_Sales_Dat!N774</f>
        <v>2346</v>
      </c>
    </row>
    <row r="775" spans="1:27" x14ac:dyDescent="0.3">
      <c r="A775" t="s">
        <v>2808</v>
      </c>
      <c r="B775" t="s">
        <v>240</v>
      </c>
      <c r="C775" t="s">
        <v>33</v>
      </c>
      <c r="D775" t="s">
        <v>2809</v>
      </c>
      <c r="E775" s="13" t="s">
        <v>1872</v>
      </c>
      <c r="G775" s="2">
        <v>87</v>
      </c>
      <c r="H775">
        <v>91</v>
      </c>
      <c r="I775">
        <v>23</v>
      </c>
      <c r="J775" t="s">
        <v>27</v>
      </c>
      <c r="K775">
        <v>91</v>
      </c>
      <c r="L775" t="s">
        <v>28</v>
      </c>
      <c r="M775" s="12">
        <v>14.9</v>
      </c>
      <c r="N775" s="3">
        <f>G775*M775</f>
        <v>1296.3</v>
      </c>
      <c r="O775" s="1">
        <v>45655</v>
      </c>
      <c r="P775" s="1">
        <v>45435</v>
      </c>
      <c r="Q775" s="1">
        <v>45521</v>
      </c>
      <c r="R775">
        <v>424</v>
      </c>
      <c r="S775">
        <v>644</v>
      </c>
      <c r="T775">
        <v>558</v>
      </c>
      <c r="U775" t="str">
        <f t="shared" si="24"/>
        <v>Safe</v>
      </c>
      <c r="V775" t="s">
        <v>2810</v>
      </c>
      <c r="W775">
        <v>90</v>
      </c>
      <c r="X775" s="3">
        <f t="shared" si="25"/>
        <v>116667</v>
      </c>
      <c r="Y775">
        <v>75</v>
      </c>
      <c r="Z775" t="s">
        <v>43</v>
      </c>
      <c r="AA775" s="3">
        <f>X775-Grocery_Inventory_and_Sales_Dat!N775</f>
        <v>115370.7</v>
      </c>
    </row>
    <row r="776" spans="1:27" x14ac:dyDescent="0.3">
      <c r="A776" t="s">
        <v>2811</v>
      </c>
      <c r="B776" t="s">
        <v>177</v>
      </c>
      <c r="C776" t="s">
        <v>52</v>
      </c>
      <c r="D776" t="s">
        <v>2812</v>
      </c>
      <c r="E776" s="13" t="s">
        <v>2597</v>
      </c>
      <c r="G776" s="2">
        <v>79</v>
      </c>
      <c r="H776">
        <v>37</v>
      </c>
      <c r="I776">
        <v>98</v>
      </c>
      <c r="J776" t="s">
        <v>55</v>
      </c>
      <c r="K776">
        <v>0</v>
      </c>
      <c r="L776" t="s">
        <v>41</v>
      </c>
      <c r="M776" s="12">
        <v>4.5</v>
      </c>
      <c r="N776" s="3">
        <f>G776*M776</f>
        <v>355.5</v>
      </c>
      <c r="O776" s="1">
        <v>45300</v>
      </c>
      <c r="P776" s="1">
        <v>45325</v>
      </c>
      <c r="Q776" s="1">
        <v>45381</v>
      </c>
      <c r="R776">
        <v>779</v>
      </c>
      <c r="S776">
        <v>754</v>
      </c>
      <c r="T776">
        <v>698</v>
      </c>
      <c r="U776" t="str">
        <f t="shared" si="24"/>
        <v>Safe</v>
      </c>
      <c r="V776" t="s">
        <v>2813</v>
      </c>
      <c r="W776">
        <v>33</v>
      </c>
      <c r="X776" s="3">
        <f t="shared" si="25"/>
        <v>11731.5</v>
      </c>
      <c r="Y776">
        <v>20</v>
      </c>
      <c r="Z776" t="s">
        <v>30</v>
      </c>
      <c r="AA776" s="3">
        <f>X776-Grocery_Inventory_and_Sales_Dat!N776</f>
        <v>11376</v>
      </c>
    </row>
    <row r="777" spans="1:27" x14ac:dyDescent="0.3">
      <c r="A777" t="s">
        <v>2814</v>
      </c>
      <c r="B777" t="s">
        <v>514</v>
      </c>
      <c r="C777" t="s">
        <v>138</v>
      </c>
      <c r="D777" t="s">
        <v>2815</v>
      </c>
      <c r="E777" s="13" t="s">
        <v>1895</v>
      </c>
      <c r="G777" s="2">
        <v>14</v>
      </c>
      <c r="H777">
        <v>52</v>
      </c>
      <c r="I777">
        <v>80</v>
      </c>
      <c r="J777" t="s">
        <v>27</v>
      </c>
      <c r="K777">
        <v>52</v>
      </c>
      <c r="L777" t="s">
        <v>41</v>
      </c>
      <c r="M777" s="12">
        <v>6.8</v>
      </c>
      <c r="N777" s="3">
        <f>G777*M777</f>
        <v>95.2</v>
      </c>
      <c r="O777" s="1">
        <v>45499</v>
      </c>
      <c r="P777" s="1">
        <v>45486</v>
      </c>
      <c r="Q777" s="1">
        <v>45496</v>
      </c>
      <c r="R777">
        <v>580</v>
      </c>
      <c r="S777">
        <v>593</v>
      </c>
      <c r="T777">
        <v>583</v>
      </c>
      <c r="U777" t="str">
        <f t="shared" si="24"/>
        <v>Safe</v>
      </c>
      <c r="V777" t="s">
        <v>2816</v>
      </c>
      <c r="W777">
        <v>64</v>
      </c>
      <c r="X777" s="3">
        <f t="shared" si="25"/>
        <v>6092.8</v>
      </c>
      <c r="Y777">
        <v>17</v>
      </c>
      <c r="Z777" t="s">
        <v>30</v>
      </c>
      <c r="AA777" s="3">
        <f>X777-Grocery_Inventory_and_Sales_Dat!N777</f>
        <v>5997.6</v>
      </c>
    </row>
    <row r="778" spans="1:27" x14ac:dyDescent="0.3">
      <c r="A778" t="s">
        <v>2817</v>
      </c>
      <c r="B778" t="s">
        <v>280</v>
      </c>
      <c r="C778" t="s">
        <v>52</v>
      </c>
      <c r="D778" t="s">
        <v>2818</v>
      </c>
      <c r="E778" s="13" t="s">
        <v>1070</v>
      </c>
      <c r="G778" s="2">
        <v>81</v>
      </c>
      <c r="H778">
        <v>35</v>
      </c>
      <c r="I778">
        <v>82</v>
      </c>
      <c r="J778" t="s">
        <v>55</v>
      </c>
      <c r="K778">
        <v>0</v>
      </c>
      <c r="L778" t="s">
        <v>41</v>
      </c>
      <c r="M778" s="12">
        <v>3</v>
      </c>
      <c r="N778" s="3">
        <f>G778*M778</f>
        <v>243</v>
      </c>
      <c r="O778" s="1">
        <v>45656</v>
      </c>
      <c r="P778" s="1">
        <v>45376</v>
      </c>
      <c r="Q778" s="1">
        <v>45698</v>
      </c>
      <c r="R778">
        <v>423</v>
      </c>
      <c r="S778">
        <v>703</v>
      </c>
      <c r="T778">
        <v>381</v>
      </c>
      <c r="U778" t="str">
        <f t="shared" si="24"/>
        <v>Expiring Soon</v>
      </c>
      <c r="V778" t="s">
        <v>2819</v>
      </c>
      <c r="W778">
        <v>86</v>
      </c>
      <c r="X778" s="3">
        <f t="shared" si="25"/>
        <v>20898</v>
      </c>
      <c r="Y778">
        <v>71</v>
      </c>
      <c r="Z778" t="s">
        <v>43</v>
      </c>
      <c r="AA778" s="3">
        <f>X778-Grocery_Inventory_and_Sales_Dat!N778</f>
        <v>20655</v>
      </c>
    </row>
    <row r="779" spans="1:27" x14ac:dyDescent="0.3">
      <c r="A779" t="s">
        <v>2820</v>
      </c>
      <c r="B779" t="s">
        <v>887</v>
      </c>
      <c r="C779" t="s">
        <v>52</v>
      </c>
      <c r="D779" t="s">
        <v>2821</v>
      </c>
      <c r="E779" s="13" t="s">
        <v>336</v>
      </c>
      <c r="G779" s="2">
        <v>75</v>
      </c>
      <c r="H779">
        <v>18</v>
      </c>
      <c r="I779">
        <v>65</v>
      </c>
      <c r="J779" t="s">
        <v>55</v>
      </c>
      <c r="K779">
        <v>0</v>
      </c>
      <c r="L779" t="s">
        <v>41</v>
      </c>
      <c r="M779" s="12">
        <v>2</v>
      </c>
      <c r="N779" s="3">
        <f>G779*M779</f>
        <v>150</v>
      </c>
      <c r="O779" s="1">
        <v>45705</v>
      </c>
      <c r="P779" s="1">
        <v>45656</v>
      </c>
      <c r="Q779" s="1">
        <v>45366</v>
      </c>
      <c r="R779">
        <v>374</v>
      </c>
      <c r="S779">
        <v>423</v>
      </c>
      <c r="T779">
        <v>713</v>
      </c>
      <c r="U779" t="str">
        <f t="shared" si="24"/>
        <v>Safe</v>
      </c>
      <c r="V779" t="s">
        <v>2822</v>
      </c>
      <c r="W779">
        <v>32</v>
      </c>
      <c r="X779" s="3">
        <f t="shared" si="25"/>
        <v>4800</v>
      </c>
      <c r="Y779">
        <v>92</v>
      </c>
      <c r="Z779" t="s">
        <v>49</v>
      </c>
      <c r="AA779" s="3">
        <f>X779-Grocery_Inventory_and_Sales_Dat!N779</f>
        <v>4650</v>
      </c>
    </row>
    <row r="780" spans="1:27" x14ac:dyDescent="0.3">
      <c r="A780" t="s">
        <v>2823</v>
      </c>
      <c r="B780" t="s">
        <v>618</v>
      </c>
      <c r="C780" t="s">
        <v>70</v>
      </c>
      <c r="D780" t="s">
        <v>2824</v>
      </c>
      <c r="E780" s="13" t="s">
        <v>319</v>
      </c>
      <c r="G780" s="2">
        <v>48</v>
      </c>
      <c r="H780">
        <v>12</v>
      </c>
      <c r="I780">
        <v>62</v>
      </c>
      <c r="J780" t="s">
        <v>55</v>
      </c>
      <c r="K780">
        <v>0</v>
      </c>
      <c r="L780" t="s">
        <v>41</v>
      </c>
      <c r="M780" s="12">
        <v>7</v>
      </c>
      <c r="N780" s="3">
        <f>G780*M780</f>
        <v>336</v>
      </c>
      <c r="O780" s="1">
        <v>45458</v>
      </c>
      <c r="P780" s="1">
        <v>45387</v>
      </c>
      <c r="Q780" s="1">
        <v>45554</v>
      </c>
      <c r="R780">
        <v>621</v>
      </c>
      <c r="S780">
        <v>692</v>
      </c>
      <c r="T780">
        <v>525</v>
      </c>
      <c r="U780" t="str">
        <f t="shared" si="24"/>
        <v>Expiring Soon</v>
      </c>
      <c r="V780" t="s">
        <v>2825</v>
      </c>
      <c r="W780">
        <v>59</v>
      </c>
      <c r="X780" s="3">
        <f t="shared" si="25"/>
        <v>19824</v>
      </c>
      <c r="Y780">
        <v>23</v>
      </c>
      <c r="Z780" t="s">
        <v>49</v>
      </c>
      <c r="AA780" s="3">
        <f>X780-Grocery_Inventory_and_Sales_Dat!N780</f>
        <v>19488</v>
      </c>
    </row>
    <row r="781" spans="1:27" x14ac:dyDescent="0.3">
      <c r="A781" t="s">
        <v>2826</v>
      </c>
      <c r="B781" t="s">
        <v>207</v>
      </c>
      <c r="C781" t="s">
        <v>52</v>
      </c>
      <c r="D781" t="s">
        <v>2827</v>
      </c>
      <c r="E781" s="13" t="s">
        <v>1675</v>
      </c>
      <c r="G781" s="2">
        <v>50</v>
      </c>
      <c r="H781">
        <v>68</v>
      </c>
      <c r="I781">
        <v>90</v>
      </c>
      <c r="J781" t="s">
        <v>27</v>
      </c>
      <c r="K781">
        <v>68</v>
      </c>
      <c r="L781" t="s">
        <v>28</v>
      </c>
      <c r="M781" s="12">
        <v>2</v>
      </c>
      <c r="N781" s="3">
        <f>G781*M781</f>
        <v>100</v>
      </c>
      <c r="O781" s="1">
        <v>45638</v>
      </c>
      <c r="P781" s="1">
        <v>45540</v>
      </c>
      <c r="Q781" s="1">
        <v>45448</v>
      </c>
      <c r="R781">
        <v>441</v>
      </c>
      <c r="S781">
        <v>539</v>
      </c>
      <c r="T781">
        <v>631</v>
      </c>
      <c r="U781" t="str">
        <f t="shared" si="24"/>
        <v>Safe</v>
      </c>
      <c r="V781" t="s">
        <v>2828</v>
      </c>
      <c r="W781">
        <v>40</v>
      </c>
      <c r="X781" s="3">
        <f t="shared" si="25"/>
        <v>4000</v>
      </c>
      <c r="Y781">
        <v>13</v>
      </c>
      <c r="Z781" t="s">
        <v>30</v>
      </c>
      <c r="AA781" s="3">
        <f>X781-Grocery_Inventory_and_Sales_Dat!N781</f>
        <v>3900</v>
      </c>
    </row>
    <row r="782" spans="1:27" x14ac:dyDescent="0.3">
      <c r="A782" t="s">
        <v>2829</v>
      </c>
      <c r="B782" t="s">
        <v>202</v>
      </c>
      <c r="C782" t="s">
        <v>138</v>
      </c>
      <c r="D782" t="s">
        <v>2830</v>
      </c>
      <c r="E782" s="13" t="s">
        <v>362</v>
      </c>
      <c r="G782" s="2">
        <v>11</v>
      </c>
      <c r="H782">
        <v>87</v>
      </c>
      <c r="I782">
        <v>43</v>
      </c>
      <c r="J782" t="s">
        <v>27</v>
      </c>
      <c r="K782">
        <v>87</v>
      </c>
      <c r="L782" t="s">
        <v>28</v>
      </c>
      <c r="M782" s="12">
        <v>9</v>
      </c>
      <c r="N782" s="3">
        <f>G782*M782</f>
        <v>99</v>
      </c>
      <c r="O782" s="1">
        <v>45689</v>
      </c>
      <c r="P782" s="1">
        <v>45449</v>
      </c>
      <c r="Q782" s="1">
        <v>45697</v>
      </c>
      <c r="R782">
        <v>390</v>
      </c>
      <c r="S782">
        <v>630</v>
      </c>
      <c r="T782">
        <v>382</v>
      </c>
      <c r="U782" t="str">
        <f t="shared" si="24"/>
        <v>Expiring Soon</v>
      </c>
      <c r="V782" t="s">
        <v>2831</v>
      </c>
      <c r="W782">
        <v>86</v>
      </c>
      <c r="X782" s="3">
        <f t="shared" si="25"/>
        <v>8514</v>
      </c>
      <c r="Y782">
        <v>91</v>
      </c>
      <c r="Z782" t="s">
        <v>49</v>
      </c>
      <c r="AA782" s="3">
        <f>X782-Grocery_Inventory_and_Sales_Dat!N782</f>
        <v>8415</v>
      </c>
    </row>
    <row r="783" spans="1:27" x14ac:dyDescent="0.3">
      <c r="A783" t="s">
        <v>2832</v>
      </c>
      <c r="B783" t="s">
        <v>507</v>
      </c>
      <c r="C783" t="s">
        <v>24</v>
      </c>
      <c r="D783" t="s">
        <v>2833</v>
      </c>
      <c r="E783" s="13" t="s">
        <v>620</v>
      </c>
      <c r="G783" s="2">
        <v>74</v>
      </c>
      <c r="H783">
        <v>22</v>
      </c>
      <c r="I783">
        <v>91</v>
      </c>
      <c r="J783" t="s">
        <v>55</v>
      </c>
      <c r="K783">
        <v>0</v>
      </c>
      <c r="L783" t="s">
        <v>41</v>
      </c>
      <c r="M783" s="12">
        <v>9.5</v>
      </c>
      <c r="N783" s="3">
        <f>G783*M783</f>
        <v>703</v>
      </c>
      <c r="O783" s="1">
        <v>45529</v>
      </c>
      <c r="P783" s="1">
        <v>45679</v>
      </c>
      <c r="Q783" s="1">
        <v>45462</v>
      </c>
      <c r="R783">
        <v>550</v>
      </c>
      <c r="S783">
        <v>400</v>
      </c>
      <c r="T783">
        <v>617</v>
      </c>
      <c r="U783" t="str">
        <f t="shared" si="24"/>
        <v>Safe</v>
      </c>
      <c r="V783" t="s">
        <v>2834</v>
      </c>
      <c r="W783">
        <v>24</v>
      </c>
      <c r="X783" s="3">
        <f t="shared" si="25"/>
        <v>16872</v>
      </c>
      <c r="Y783">
        <v>12</v>
      </c>
      <c r="Z783" t="s">
        <v>49</v>
      </c>
      <c r="AA783" s="3">
        <f>X783-Grocery_Inventory_and_Sales_Dat!N783</f>
        <v>16169</v>
      </c>
    </row>
    <row r="784" spans="1:27" x14ac:dyDescent="0.3">
      <c r="A784" t="s">
        <v>2835</v>
      </c>
      <c r="B784" t="s">
        <v>1274</v>
      </c>
      <c r="C784" t="s">
        <v>52</v>
      </c>
      <c r="D784" t="s">
        <v>2836</v>
      </c>
      <c r="E784" s="13" t="s">
        <v>86</v>
      </c>
      <c r="G784" s="2">
        <v>11</v>
      </c>
      <c r="H784">
        <v>10</v>
      </c>
      <c r="I784">
        <v>60</v>
      </c>
      <c r="J784" t="s">
        <v>55</v>
      </c>
      <c r="K784">
        <v>0</v>
      </c>
      <c r="L784" t="s">
        <v>41</v>
      </c>
      <c r="M784" s="12">
        <v>2.5</v>
      </c>
      <c r="N784" s="3">
        <f>G784*M784</f>
        <v>27.5</v>
      </c>
      <c r="O784" s="1">
        <v>45575</v>
      </c>
      <c r="P784" s="1">
        <v>45448</v>
      </c>
      <c r="Q784" s="1">
        <v>45651</v>
      </c>
      <c r="R784">
        <v>504</v>
      </c>
      <c r="S784">
        <v>631</v>
      </c>
      <c r="T784">
        <v>428</v>
      </c>
      <c r="U784" t="str">
        <f t="shared" si="24"/>
        <v>Expiring Soon</v>
      </c>
      <c r="V784" t="s">
        <v>2837</v>
      </c>
      <c r="W784">
        <v>93</v>
      </c>
      <c r="X784" s="3">
        <f t="shared" si="25"/>
        <v>2557.5</v>
      </c>
      <c r="Y784">
        <v>53</v>
      </c>
      <c r="Z784" t="s">
        <v>30</v>
      </c>
      <c r="AA784" s="3">
        <f>X784-Grocery_Inventory_and_Sales_Dat!N784</f>
        <v>2530</v>
      </c>
    </row>
    <row r="785" spans="1:27" x14ac:dyDescent="0.3">
      <c r="A785" t="s">
        <v>2838</v>
      </c>
      <c r="B785" t="s">
        <v>369</v>
      </c>
      <c r="C785" t="s">
        <v>70</v>
      </c>
      <c r="D785" t="s">
        <v>2839</v>
      </c>
      <c r="E785" s="13" t="s">
        <v>2840</v>
      </c>
      <c r="G785" s="2">
        <v>85</v>
      </c>
      <c r="H785">
        <v>15</v>
      </c>
      <c r="I785">
        <v>30</v>
      </c>
      <c r="J785" t="s">
        <v>55</v>
      </c>
      <c r="K785">
        <v>0</v>
      </c>
      <c r="L785" t="s">
        <v>41</v>
      </c>
      <c r="M785" s="12">
        <v>4</v>
      </c>
      <c r="N785" s="3">
        <f>G785*M785</f>
        <v>340</v>
      </c>
      <c r="O785" s="1">
        <v>45398</v>
      </c>
      <c r="P785" s="1">
        <v>45590</v>
      </c>
      <c r="Q785" s="1">
        <v>45632</v>
      </c>
      <c r="R785">
        <v>681</v>
      </c>
      <c r="S785">
        <v>489</v>
      </c>
      <c r="T785">
        <v>447</v>
      </c>
      <c r="U785" t="str">
        <f t="shared" si="24"/>
        <v>Expiring Soon</v>
      </c>
      <c r="V785" t="s">
        <v>2841</v>
      </c>
      <c r="W785">
        <v>95</v>
      </c>
      <c r="X785" s="3">
        <f t="shared" si="25"/>
        <v>32300</v>
      </c>
      <c r="Y785">
        <v>63</v>
      </c>
      <c r="Z785" t="s">
        <v>49</v>
      </c>
      <c r="AA785" s="3">
        <f>X785-Grocery_Inventory_and_Sales_Dat!N785</f>
        <v>31960</v>
      </c>
    </row>
    <row r="786" spans="1:27" x14ac:dyDescent="0.3">
      <c r="A786" t="s">
        <v>2842</v>
      </c>
      <c r="B786" t="s">
        <v>600</v>
      </c>
      <c r="C786" t="s">
        <v>52</v>
      </c>
      <c r="D786" t="s">
        <v>2843</v>
      </c>
      <c r="E786" s="13" t="s">
        <v>273</v>
      </c>
      <c r="G786" s="2">
        <v>57</v>
      </c>
      <c r="H786">
        <v>43</v>
      </c>
      <c r="I786">
        <v>46</v>
      </c>
      <c r="J786" t="s">
        <v>55</v>
      </c>
      <c r="K786">
        <v>0</v>
      </c>
      <c r="L786" t="s">
        <v>41</v>
      </c>
      <c r="M786" s="12">
        <v>2.5</v>
      </c>
      <c r="N786" s="3">
        <f>G786*M786</f>
        <v>142.5</v>
      </c>
      <c r="O786" s="1">
        <v>45456</v>
      </c>
      <c r="P786" s="1">
        <v>45303</v>
      </c>
      <c r="Q786" s="1">
        <v>45508</v>
      </c>
      <c r="R786">
        <v>623</v>
      </c>
      <c r="S786">
        <v>776</v>
      </c>
      <c r="T786">
        <v>571</v>
      </c>
      <c r="U786" t="str">
        <f t="shared" si="24"/>
        <v>Safe</v>
      </c>
      <c r="V786" t="s">
        <v>2844</v>
      </c>
      <c r="W786">
        <v>87</v>
      </c>
      <c r="X786" s="3">
        <f t="shared" si="25"/>
        <v>12397.5</v>
      </c>
      <c r="Y786">
        <v>88</v>
      </c>
      <c r="Z786" t="s">
        <v>30</v>
      </c>
      <c r="AA786" s="3">
        <f>X786-Grocery_Inventory_and_Sales_Dat!N786</f>
        <v>12255</v>
      </c>
    </row>
    <row r="787" spans="1:27" x14ac:dyDescent="0.3">
      <c r="A787" t="s">
        <v>2845</v>
      </c>
      <c r="B787" t="s">
        <v>887</v>
      </c>
      <c r="C787" t="s">
        <v>52</v>
      </c>
      <c r="D787" t="s">
        <v>2846</v>
      </c>
      <c r="E787" s="13" t="s">
        <v>1208</v>
      </c>
      <c r="G787" s="2">
        <v>75</v>
      </c>
      <c r="H787">
        <v>56</v>
      </c>
      <c r="I787">
        <v>57</v>
      </c>
      <c r="J787" t="s">
        <v>55</v>
      </c>
      <c r="K787">
        <v>0</v>
      </c>
      <c r="L787" t="s">
        <v>41</v>
      </c>
      <c r="M787" s="12">
        <v>1.9</v>
      </c>
      <c r="N787" s="3">
        <f>G787*M787</f>
        <v>142.5</v>
      </c>
      <c r="O787" s="1">
        <v>45592</v>
      </c>
      <c r="P787" s="1">
        <v>45590</v>
      </c>
      <c r="Q787" s="1">
        <v>45554</v>
      </c>
      <c r="R787">
        <v>487</v>
      </c>
      <c r="S787">
        <v>489</v>
      </c>
      <c r="T787">
        <v>525</v>
      </c>
      <c r="U787" t="str">
        <f t="shared" si="24"/>
        <v>Expiring Soon</v>
      </c>
      <c r="V787" t="s">
        <v>2847</v>
      </c>
      <c r="W787">
        <v>63</v>
      </c>
      <c r="X787" s="3">
        <f t="shared" si="25"/>
        <v>8977.5</v>
      </c>
      <c r="Y787">
        <v>64</v>
      </c>
      <c r="Z787" t="s">
        <v>30</v>
      </c>
      <c r="AA787" s="3">
        <f>X787-Grocery_Inventory_and_Sales_Dat!N787</f>
        <v>8835</v>
      </c>
    </row>
    <row r="788" spans="1:27" x14ac:dyDescent="0.3">
      <c r="A788" t="s">
        <v>2848</v>
      </c>
      <c r="B788" t="s">
        <v>734</v>
      </c>
      <c r="C788" t="s">
        <v>70</v>
      </c>
      <c r="D788" t="s">
        <v>2849</v>
      </c>
      <c r="E788" s="13" t="s">
        <v>277</v>
      </c>
      <c r="G788" s="2">
        <v>63</v>
      </c>
      <c r="H788">
        <v>7</v>
      </c>
      <c r="I788">
        <v>23</v>
      </c>
      <c r="J788" t="s">
        <v>55</v>
      </c>
      <c r="K788">
        <v>0</v>
      </c>
      <c r="L788" t="s">
        <v>41</v>
      </c>
      <c r="M788" s="12">
        <v>2.35</v>
      </c>
      <c r="N788" s="3">
        <f>G788*M788</f>
        <v>148.05000000000001</v>
      </c>
      <c r="O788" s="1">
        <v>45482</v>
      </c>
      <c r="P788" s="1">
        <v>45618</v>
      </c>
      <c r="Q788" s="1">
        <v>45582</v>
      </c>
      <c r="R788">
        <v>597</v>
      </c>
      <c r="S788">
        <v>461</v>
      </c>
      <c r="T788">
        <v>497</v>
      </c>
      <c r="U788" t="str">
        <f t="shared" si="24"/>
        <v>Expiring Soon</v>
      </c>
      <c r="V788" t="s">
        <v>2850</v>
      </c>
      <c r="W788">
        <v>78</v>
      </c>
      <c r="X788" s="3">
        <f t="shared" si="25"/>
        <v>11547.900000000001</v>
      </c>
      <c r="Y788">
        <v>100</v>
      </c>
      <c r="Z788" t="s">
        <v>49</v>
      </c>
      <c r="AA788" s="3">
        <f>X788-Grocery_Inventory_and_Sales_Dat!N788</f>
        <v>11399.850000000002</v>
      </c>
    </row>
    <row r="789" spans="1:27" x14ac:dyDescent="0.3">
      <c r="A789" t="s">
        <v>2851</v>
      </c>
      <c r="B789" t="s">
        <v>342</v>
      </c>
      <c r="C789" t="s">
        <v>33</v>
      </c>
      <c r="D789" t="s">
        <v>2852</v>
      </c>
      <c r="E789" s="13" t="s">
        <v>2853</v>
      </c>
      <c r="G789" s="2">
        <v>35</v>
      </c>
      <c r="H789">
        <v>20</v>
      </c>
      <c r="I789">
        <v>42</v>
      </c>
      <c r="J789" t="s">
        <v>55</v>
      </c>
      <c r="K789">
        <v>0</v>
      </c>
      <c r="L789" t="s">
        <v>41</v>
      </c>
      <c r="M789" s="12">
        <v>25.25</v>
      </c>
      <c r="N789" s="3">
        <f>G789*M789</f>
        <v>883.75</v>
      </c>
      <c r="O789" s="1">
        <v>45473</v>
      </c>
      <c r="P789" s="1">
        <v>45420</v>
      </c>
      <c r="Q789" s="1">
        <v>45665</v>
      </c>
      <c r="R789">
        <v>606</v>
      </c>
      <c r="S789">
        <v>659</v>
      </c>
      <c r="T789">
        <v>414</v>
      </c>
      <c r="U789" t="str">
        <f t="shared" si="24"/>
        <v>Expiring Soon</v>
      </c>
      <c r="V789" t="s">
        <v>2854</v>
      </c>
      <c r="W789">
        <v>53</v>
      </c>
      <c r="X789" s="3">
        <f t="shared" si="25"/>
        <v>46838.75</v>
      </c>
      <c r="Y789">
        <v>56</v>
      </c>
      <c r="Z789" t="s">
        <v>30</v>
      </c>
      <c r="AA789" s="3">
        <f>X789-Grocery_Inventory_and_Sales_Dat!N789</f>
        <v>45955</v>
      </c>
    </row>
    <row r="790" spans="1:27" x14ac:dyDescent="0.3">
      <c r="A790" t="s">
        <v>2855</v>
      </c>
      <c r="B790" t="s">
        <v>148</v>
      </c>
      <c r="C790" t="s">
        <v>52</v>
      </c>
      <c r="D790" t="s">
        <v>2856</v>
      </c>
      <c r="E790" s="13" t="s">
        <v>2083</v>
      </c>
      <c r="G790" s="2">
        <v>24</v>
      </c>
      <c r="H790">
        <v>32</v>
      </c>
      <c r="I790">
        <v>17</v>
      </c>
      <c r="J790" t="s">
        <v>27</v>
      </c>
      <c r="K790">
        <v>32</v>
      </c>
      <c r="L790" t="s">
        <v>41</v>
      </c>
      <c r="M790" s="12">
        <v>1</v>
      </c>
      <c r="N790" s="3">
        <f>G790*M790</f>
        <v>24</v>
      </c>
      <c r="O790" s="1">
        <v>45564</v>
      </c>
      <c r="P790" s="1">
        <v>45460</v>
      </c>
      <c r="Q790" s="1">
        <v>45475</v>
      </c>
      <c r="R790">
        <v>515</v>
      </c>
      <c r="S790">
        <v>619</v>
      </c>
      <c r="T790">
        <v>604</v>
      </c>
      <c r="U790" t="str">
        <f t="shared" si="24"/>
        <v>Safe</v>
      </c>
      <c r="V790" t="s">
        <v>2857</v>
      </c>
      <c r="W790">
        <v>55</v>
      </c>
      <c r="X790" s="3">
        <f t="shared" si="25"/>
        <v>1320</v>
      </c>
      <c r="Y790">
        <v>72</v>
      </c>
      <c r="Z790" t="s">
        <v>30</v>
      </c>
      <c r="AA790" s="3">
        <f>X790-Grocery_Inventory_and_Sales_Dat!N790</f>
        <v>1296</v>
      </c>
    </row>
    <row r="791" spans="1:27" x14ac:dyDescent="0.3">
      <c r="A791" t="s">
        <v>2858</v>
      </c>
      <c r="B791" t="s">
        <v>473</v>
      </c>
      <c r="C791" t="s">
        <v>24</v>
      </c>
      <c r="D791" t="s">
        <v>2859</v>
      </c>
      <c r="E791" s="13" t="s">
        <v>2652</v>
      </c>
      <c r="G791" s="2">
        <v>53</v>
      </c>
      <c r="H791">
        <v>26</v>
      </c>
      <c r="I791">
        <v>3</v>
      </c>
      <c r="J791" t="s">
        <v>55</v>
      </c>
      <c r="K791">
        <v>0</v>
      </c>
      <c r="L791" t="s">
        <v>41</v>
      </c>
      <c r="M791" s="12">
        <v>4.75</v>
      </c>
      <c r="N791" s="3">
        <f>G791*M791</f>
        <v>251.75</v>
      </c>
      <c r="O791" s="1">
        <v>45325</v>
      </c>
      <c r="P791" s="1">
        <v>45389</v>
      </c>
      <c r="Q791" s="1">
        <v>45357</v>
      </c>
      <c r="R791">
        <v>754</v>
      </c>
      <c r="S791">
        <v>690</v>
      </c>
      <c r="T791">
        <v>722</v>
      </c>
      <c r="U791" t="str">
        <f t="shared" si="24"/>
        <v>Safe</v>
      </c>
      <c r="V791" t="s">
        <v>2860</v>
      </c>
      <c r="W791">
        <v>100</v>
      </c>
      <c r="X791" s="3">
        <f t="shared" si="25"/>
        <v>25175</v>
      </c>
      <c r="Y791">
        <v>94</v>
      </c>
      <c r="Z791" t="s">
        <v>49</v>
      </c>
      <c r="AA791" s="3">
        <f>X791-Grocery_Inventory_and_Sales_Dat!N791</f>
        <v>24923.25</v>
      </c>
    </row>
    <row r="792" spans="1:27" x14ac:dyDescent="0.3">
      <c r="A792" t="s">
        <v>2861</v>
      </c>
      <c r="B792" t="s">
        <v>403</v>
      </c>
      <c r="C792" t="s">
        <v>95</v>
      </c>
      <c r="D792" t="s">
        <v>2862</v>
      </c>
      <c r="E792" s="13" t="s">
        <v>1137</v>
      </c>
      <c r="G792" s="2">
        <v>74</v>
      </c>
      <c r="H792">
        <v>81</v>
      </c>
      <c r="I792">
        <v>41</v>
      </c>
      <c r="J792" t="s">
        <v>27</v>
      </c>
      <c r="K792">
        <v>81</v>
      </c>
      <c r="L792" t="s">
        <v>28</v>
      </c>
      <c r="M792" s="12">
        <v>6</v>
      </c>
      <c r="N792" s="3">
        <f>G792*M792</f>
        <v>444</v>
      </c>
      <c r="O792" s="1">
        <v>45779</v>
      </c>
      <c r="P792" s="1">
        <v>45327</v>
      </c>
      <c r="Q792" s="1">
        <v>45439</v>
      </c>
      <c r="R792">
        <v>300</v>
      </c>
      <c r="S792">
        <v>752</v>
      </c>
      <c r="T792">
        <v>640</v>
      </c>
      <c r="U792" t="str">
        <f t="shared" si="24"/>
        <v>Safe</v>
      </c>
      <c r="V792" t="s">
        <v>2863</v>
      </c>
      <c r="W792">
        <v>51</v>
      </c>
      <c r="X792" s="3">
        <f t="shared" si="25"/>
        <v>22644</v>
      </c>
      <c r="Y792">
        <v>67</v>
      </c>
      <c r="Z792" t="s">
        <v>49</v>
      </c>
      <c r="AA792" s="3">
        <f>X792-Grocery_Inventory_and_Sales_Dat!N792</f>
        <v>22200</v>
      </c>
    </row>
    <row r="793" spans="1:27" x14ac:dyDescent="0.3">
      <c r="A793" t="s">
        <v>2864</v>
      </c>
      <c r="B793" t="s">
        <v>1151</v>
      </c>
      <c r="C793" t="s">
        <v>24</v>
      </c>
      <c r="D793" t="s">
        <v>2865</v>
      </c>
      <c r="E793" s="13" t="s">
        <v>968</v>
      </c>
      <c r="G793" s="2">
        <v>79</v>
      </c>
      <c r="H793">
        <v>38</v>
      </c>
      <c r="I793">
        <v>67</v>
      </c>
      <c r="J793" t="s">
        <v>55</v>
      </c>
      <c r="K793">
        <v>0</v>
      </c>
      <c r="L793" t="s">
        <v>41</v>
      </c>
      <c r="M793" s="12">
        <v>2.5</v>
      </c>
      <c r="N793" s="3">
        <f>G793*M793</f>
        <v>197.5</v>
      </c>
      <c r="O793" s="1">
        <v>45419</v>
      </c>
      <c r="P793" s="1">
        <v>45514</v>
      </c>
      <c r="Q793" s="1">
        <v>45536</v>
      </c>
      <c r="R793">
        <v>660</v>
      </c>
      <c r="S793">
        <v>565</v>
      </c>
      <c r="T793">
        <v>543</v>
      </c>
      <c r="U793" t="str">
        <f t="shared" si="24"/>
        <v>Expiring Soon</v>
      </c>
      <c r="V793" t="s">
        <v>2866</v>
      </c>
      <c r="W793">
        <v>43</v>
      </c>
      <c r="X793" s="3">
        <f t="shared" si="25"/>
        <v>8492.5</v>
      </c>
      <c r="Y793">
        <v>93</v>
      </c>
      <c r="Z793" t="s">
        <v>30</v>
      </c>
      <c r="AA793" s="3">
        <f>X793-Grocery_Inventory_and_Sales_Dat!N793</f>
        <v>8295</v>
      </c>
    </row>
    <row r="794" spans="1:27" x14ac:dyDescent="0.3">
      <c r="A794" t="s">
        <v>2867</v>
      </c>
      <c r="B794" t="s">
        <v>114</v>
      </c>
      <c r="C794" t="s">
        <v>24</v>
      </c>
      <c r="D794" t="s">
        <v>2868</v>
      </c>
      <c r="E794" s="13" t="s">
        <v>352</v>
      </c>
      <c r="G794" s="2">
        <v>54</v>
      </c>
      <c r="H794">
        <v>78</v>
      </c>
      <c r="I794">
        <v>81</v>
      </c>
      <c r="J794" t="s">
        <v>27</v>
      </c>
      <c r="K794">
        <v>78</v>
      </c>
      <c r="L794" t="s">
        <v>28</v>
      </c>
      <c r="M794" s="12">
        <v>1.5</v>
      </c>
      <c r="N794" s="3">
        <f>G794*M794</f>
        <v>81</v>
      </c>
      <c r="O794" s="1">
        <v>45327</v>
      </c>
      <c r="P794" s="1">
        <v>45619</v>
      </c>
      <c r="Q794" s="1">
        <v>45478</v>
      </c>
      <c r="R794">
        <v>752</v>
      </c>
      <c r="S794">
        <v>460</v>
      </c>
      <c r="T794">
        <v>601</v>
      </c>
      <c r="U794" t="str">
        <f t="shared" si="24"/>
        <v>Safe</v>
      </c>
      <c r="V794" t="s">
        <v>2869</v>
      </c>
      <c r="W794">
        <v>41</v>
      </c>
      <c r="X794" s="3">
        <f t="shared" si="25"/>
        <v>3321</v>
      </c>
      <c r="Y794">
        <v>63</v>
      </c>
      <c r="Z794" t="s">
        <v>43</v>
      </c>
      <c r="AA794" s="3">
        <f>X794-Grocery_Inventory_and_Sales_Dat!N794</f>
        <v>3240</v>
      </c>
    </row>
    <row r="795" spans="1:27" x14ac:dyDescent="0.3">
      <c r="A795" t="s">
        <v>2870</v>
      </c>
      <c r="B795" t="s">
        <v>461</v>
      </c>
      <c r="C795" t="s">
        <v>64</v>
      </c>
      <c r="D795" t="s">
        <v>2871</v>
      </c>
      <c r="E795" s="13" t="s">
        <v>2872</v>
      </c>
      <c r="G795" s="2">
        <v>44</v>
      </c>
      <c r="H795">
        <v>83</v>
      </c>
      <c r="I795">
        <v>78</v>
      </c>
      <c r="J795" t="s">
        <v>27</v>
      </c>
      <c r="K795">
        <v>83</v>
      </c>
      <c r="L795" t="s">
        <v>28</v>
      </c>
      <c r="M795" s="12">
        <v>1.8</v>
      </c>
      <c r="N795" s="3">
        <f>G795*M795</f>
        <v>79.2</v>
      </c>
      <c r="O795" s="1">
        <v>45511</v>
      </c>
      <c r="P795" s="1">
        <v>45839</v>
      </c>
      <c r="Q795" s="1">
        <v>45524</v>
      </c>
      <c r="R795">
        <v>568</v>
      </c>
      <c r="S795">
        <v>240</v>
      </c>
      <c r="T795">
        <v>555</v>
      </c>
      <c r="U795" t="str">
        <f t="shared" si="24"/>
        <v>Safe</v>
      </c>
      <c r="V795" t="s">
        <v>2873</v>
      </c>
      <c r="W795">
        <v>46</v>
      </c>
      <c r="X795" s="3">
        <f t="shared" si="25"/>
        <v>3643.2000000000003</v>
      </c>
      <c r="Y795">
        <v>4</v>
      </c>
      <c r="Z795" t="s">
        <v>30</v>
      </c>
      <c r="AA795" s="3">
        <f>X795-Grocery_Inventory_and_Sales_Dat!N795</f>
        <v>3564.0000000000005</v>
      </c>
    </row>
    <row r="796" spans="1:27" x14ac:dyDescent="0.3">
      <c r="A796" t="s">
        <v>2874</v>
      </c>
      <c r="B796" t="s">
        <v>507</v>
      </c>
      <c r="C796" t="s">
        <v>24</v>
      </c>
      <c r="D796" t="s">
        <v>2875</v>
      </c>
      <c r="E796" s="13" t="s">
        <v>1445</v>
      </c>
      <c r="G796" s="2">
        <v>77</v>
      </c>
      <c r="H796">
        <v>19</v>
      </c>
      <c r="I796">
        <v>31</v>
      </c>
      <c r="J796" t="s">
        <v>55</v>
      </c>
      <c r="K796">
        <v>0</v>
      </c>
      <c r="L796" t="s">
        <v>41</v>
      </c>
      <c r="M796" s="12">
        <v>9.5</v>
      </c>
      <c r="N796" s="3">
        <f>G796*M796</f>
        <v>731.5</v>
      </c>
      <c r="O796" s="1">
        <v>45594</v>
      </c>
      <c r="P796" s="1">
        <v>45680</v>
      </c>
      <c r="Q796" s="1">
        <v>45371</v>
      </c>
      <c r="R796">
        <v>485</v>
      </c>
      <c r="S796">
        <v>399</v>
      </c>
      <c r="T796">
        <v>708</v>
      </c>
      <c r="U796" t="str">
        <f t="shared" si="24"/>
        <v>Safe</v>
      </c>
      <c r="V796" t="s">
        <v>2876</v>
      </c>
      <c r="W796">
        <v>27</v>
      </c>
      <c r="X796" s="3">
        <f t="shared" si="25"/>
        <v>19750.5</v>
      </c>
      <c r="Y796">
        <v>25</v>
      </c>
      <c r="Z796" t="s">
        <v>43</v>
      </c>
      <c r="AA796" s="3">
        <f>X796-Grocery_Inventory_and_Sales_Dat!N796</f>
        <v>19019</v>
      </c>
    </row>
    <row r="797" spans="1:27" x14ac:dyDescent="0.3">
      <c r="A797" t="s">
        <v>2877</v>
      </c>
      <c r="B797" t="s">
        <v>1190</v>
      </c>
      <c r="C797" t="s">
        <v>52</v>
      </c>
      <c r="D797" t="s">
        <v>2878</v>
      </c>
      <c r="E797" s="13" t="s">
        <v>1133</v>
      </c>
      <c r="G797" s="2">
        <v>42</v>
      </c>
      <c r="H797">
        <v>61</v>
      </c>
      <c r="I797">
        <v>52</v>
      </c>
      <c r="J797" t="s">
        <v>27</v>
      </c>
      <c r="K797">
        <v>61</v>
      </c>
      <c r="L797" t="s">
        <v>28</v>
      </c>
      <c r="M797" s="12">
        <v>5</v>
      </c>
      <c r="N797" s="3">
        <f>G797*M797</f>
        <v>210</v>
      </c>
      <c r="O797" s="1">
        <v>45334</v>
      </c>
      <c r="P797" s="1">
        <v>45688</v>
      </c>
      <c r="Q797" s="1">
        <v>45564</v>
      </c>
      <c r="R797">
        <v>745</v>
      </c>
      <c r="S797">
        <v>391</v>
      </c>
      <c r="T797">
        <v>515</v>
      </c>
      <c r="U797" t="str">
        <f t="shared" si="24"/>
        <v>Expiring Soon</v>
      </c>
      <c r="V797" t="s">
        <v>2879</v>
      </c>
      <c r="W797">
        <v>86</v>
      </c>
      <c r="X797" s="3">
        <f t="shared" si="25"/>
        <v>18060</v>
      </c>
      <c r="Y797">
        <v>99</v>
      </c>
      <c r="Z797" t="s">
        <v>43</v>
      </c>
      <c r="AA797" s="3">
        <f>X797-Grocery_Inventory_and_Sales_Dat!N797</f>
        <v>17850</v>
      </c>
    </row>
    <row r="798" spans="1:27" x14ac:dyDescent="0.3">
      <c r="A798" t="s">
        <v>2880</v>
      </c>
      <c r="B798" t="s">
        <v>1537</v>
      </c>
      <c r="C798" t="s">
        <v>52</v>
      </c>
      <c r="D798" t="s">
        <v>2881</v>
      </c>
      <c r="E798" s="13" t="s">
        <v>949</v>
      </c>
      <c r="G798" s="2">
        <v>44</v>
      </c>
      <c r="H798">
        <v>77</v>
      </c>
      <c r="I798">
        <v>45</v>
      </c>
      <c r="J798" t="s">
        <v>27</v>
      </c>
      <c r="K798">
        <v>77</v>
      </c>
      <c r="L798" t="s">
        <v>28</v>
      </c>
      <c r="M798" s="12">
        <v>2</v>
      </c>
      <c r="N798" s="3">
        <f>G798*M798</f>
        <v>88</v>
      </c>
      <c r="O798" s="1">
        <v>45500</v>
      </c>
      <c r="P798" s="1">
        <v>45465</v>
      </c>
      <c r="Q798" s="1">
        <v>45436</v>
      </c>
      <c r="R798">
        <v>579</v>
      </c>
      <c r="S798">
        <v>614</v>
      </c>
      <c r="T798">
        <v>643</v>
      </c>
      <c r="U798" t="str">
        <f t="shared" si="24"/>
        <v>Safe</v>
      </c>
      <c r="V798" t="s">
        <v>2882</v>
      </c>
      <c r="W798">
        <v>89</v>
      </c>
      <c r="X798" s="3">
        <f t="shared" si="25"/>
        <v>7832</v>
      </c>
      <c r="Y798">
        <v>64</v>
      </c>
      <c r="Z798" t="s">
        <v>30</v>
      </c>
      <c r="AA798" s="3">
        <f>X798-Grocery_Inventory_and_Sales_Dat!N798</f>
        <v>7744</v>
      </c>
    </row>
    <row r="799" spans="1:27" x14ac:dyDescent="0.3">
      <c r="A799" t="s">
        <v>2883</v>
      </c>
      <c r="B799" t="s">
        <v>651</v>
      </c>
      <c r="C799" t="s">
        <v>70</v>
      </c>
      <c r="D799" t="s">
        <v>2884</v>
      </c>
      <c r="E799" s="13" t="s">
        <v>357</v>
      </c>
      <c r="G799" s="2">
        <v>81</v>
      </c>
      <c r="H799">
        <v>76</v>
      </c>
      <c r="I799">
        <v>10</v>
      </c>
      <c r="J799" t="s">
        <v>55</v>
      </c>
      <c r="K799">
        <v>0</v>
      </c>
      <c r="L799" t="s">
        <v>41</v>
      </c>
      <c r="M799" s="12">
        <v>4</v>
      </c>
      <c r="N799" s="3">
        <f>G799*M799</f>
        <v>324</v>
      </c>
      <c r="O799" s="1">
        <v>45425</v>
      </c>
      <c r="P799" s="1">
        <v>45439</v>
      </c>
      <c r="Q799" s="1">
        <v>45644</v>
      </c>
      <c r="R799">
        <v>654</v>
      </c>
      <c r="S799">
        <v>640</v>
      </c>
      <c r="T799">
        <v>435</v>
      </c>
      <c r="U799" t="str">
        <f t="shared" si="24"/>
        <v>Expiring Soon</v>
      </c>
      <c r="V799" t="s">
        <v>2885</v>
      </c>
      <c r="W799">
        <v>68</v>
      </c>
      <c r="X799" s="3">
        <f t="shared" si="25"/>
        <v>22032</v>
      </c>
      <c r="Y799">
        <v>100</v>
      </c>
      <c r="Z799" t="s">
        <v>43</v>
      </c>
      <c r="AA799" s="3">
        <f>X799-Grocery_Inventory_and_Sales_Dat!N799</f>
        <v>21708</v>
      </c>
    </row>
    <row r="800" spans="1:27" x14ac:dyDescent="0.3">
      <c r="A800" t="s">
        <v>2886</v>
      </c>
      <c r="B800" t="s">
        <v>38</v>
      </c>
      <c r="C800" t="s">
        <v>24</v>
      </c>
      <c r="D800" t="s">
        <v>2887</v>
      </c>
      <c r="E800" s="13" t="s">
        <v>823</v>
      </c>
      <c r="G800" s="2">
        <v>92</v>
      </c>
      <c r="H800">
        <v>48</v>
      </c>
      <c r="I800">
        <v>22</v>
      </c>
      <c r="J800" t="s">
        <v>55</v>
      </c>
      <c r="K800">
        <v>0</v>
      </c>
      <c r="L800" t="s">
        <v>41</v>
      </c>
      <c r="M800" s="12">
        <v>6.25</v>
      </c>
      <c r="N800" s="3">
        <f>G800*M800</f>
        <v>575</v>
      </c>
      <c r="O800" s="1">
        <v>45625</v>
      </c>
      <c r="P800" s="1">
        <v>45303</v>
      </c>
      <c r="Q800" s="1">
        <v>45677</v>
      </c>
      <c r="R800">
        <v>454</v>
      </c>
      <c r="S800">
        <v>776</v>
      </c>
      <c r="T800">
        <v>402</v>
      </c>
      <c r="U800" t="str">
        <f t="shared" si="24"/>
        <v>Expiring Soon</v>
      </c>
      <c r="V800" t="s">
        <v>2888</v>
      </c>
      <c r="W800">
        <v>38</v>
      </c>
      <c r="X800" s="3">
        <f t="shared" si="25"/>
        <v>21850</v>
      </c>
      <c r="Y800">
        <v>61</v>
      </c>
      <c r="Z800" t="s">
        <v>43</v>
      </c>
      <c r="AA800" s="3">
        <f>X800-Grocery_Inventory_and_Sales_Dat!N800</f>
        <v>21275</v>
      </c>
    </row>
    <row r="801" spans="1:27" x14ac:dyDescent="0.3">
      <c r="A801" t="s">
        <v>2889</v>
      </c>
      <c r="B801" t="s">
        <v>1485</v>
      </c>
      <c r="C801" t="s">
        <v>138</v>
      </c>
      <c r="D801" t="s">
        <v>2890</v>
      </c>
      <c r="E801" s="13" t="s">
        <v>1741</v>
      </c>
      <c r="G801" s="2">
        <v>78</v>
      </c>
      <c r="H801">
        <v>68</v>
      </c>
      <c r="I801">
        <v>86</v>
      </c>
      <c r="J801" t="s">
        <v>55</v>
      </c>
      <c r="K801">
        <v>0</v>
      </c>
      <c r="L801" t="s">
        <v>41</v>
      </c>
      <c r="M801" s="12">
        <v>15</v>
      </c>
      <c r="N801" s="3">
        <f>G801*M801</f>
        <v>1170</v>
      </c>
      <c r="O801" s="1">
        <v>45376</v>
      </c>
      <c r="P801" s="1">
        <v>45371</v>
      </c>
      <c r="Q801" s="1">
        <v>45654</v>
      </c>
      <c r="R801">
        <v>703</v>
      </c>
      <c r="S801">
        <v>708</v>
      </c>
      <c r="T801">
        <v>425</v>
      </c>
      <c r="U801" t="str">
        <f t="shared" si="24"/>
        <v>Expiring Soon</v>
      </c>
      <c r="V801" t="s">
        <v>2891</v>
      </c>
      <c r="W801">
        <v>47</v>
      </c>
      <c r="X801" s="3">
        <f t="shared" si="25"/>
        <v>54990</v>
      </c>
      <c r="Y801">
        <v>95</v>
      </c>
      <c r="Z801" t="s">
        <v>30</v>
      </c>
      <c r="AA801" s="3">
        <f>X801-Grocery_Inventory_and_Sales_Dat!N801</f>
        <v>53820</v>
      </c>
    </row>
    <row r="802" spans="1:27" x14ac:dyDescent="0.3">
      <c r="A802" t="s">
        <v>2892</v>
      </c>
      <c r="B802" t="s">
        <v>369</v>
      </c>
      <c r="C802" t="s">
        <v>70</v>
      </c>
      <c r="D802" t="s">
        <v>2893</v>
      </c>
      <c r="E802" s="13" t="s">
        <v>949</v>
      </c>
      <c r="G802" s="2">
        <v>85</v>
      </c>
      <c r="H802">
        <v>66</v>
      </c>
      <c r="I802">
        <v>85</v>
      </c>
      <c r="J802" t="s">
        <v>55</v>
      </c>
      <c r="K802">
        <v>0</v>
      </c>
      <c r="L802" t="s">
        <v>41</v>
      </c>
      <c r="M802" s="12">
        <v>4.2</v>
      </c>
      <c r="N802" s="3">
        <f>G802*M802</f>
        <v>357</v>
      </c>
      <c r="O802" s="1">
        <v>45809</v>
      </c>
      <c r="P802" s="1">
        <v>45596</v>
      </c>
      <c r="Q802" s="1">
        <v>45544</v>
      </c>
      <c r="R802">
        <v>270</v>
      </c>
      <c r="S802">
        <v>483</v>
      </c>
      <c r="T802">
        <v>535</v>
      </c>
      <c r="U802" t="str">
        <f t="shared" si="24"/>
        <v>Expiring Soon</v>
      </c>
      <c r="V802" t="s">
        <v>2894</v>
      </c>
      <c r="W802">
        <v>65</v>
      </c>
      <c r="X802" s="3">
        <f t="shared" si="25"/>
        <v>23205</v>
      </c>
      <c r="Y802">
        <v>58</v>
      </c>
      <c r="Z802" t="s">
        <v>30</v>
      </c>
      <c r="AA802" s="3">
        <f>X802-Grocery_Inventory_and_Sales_Dat!N802</f>
        <v>22848</v>
      </c>
    </row>
    <row r="803" spans="1:27" x14ac:dyDescent="0.3">
      <c r="A803" t="s">
        <v>2895</v>
      </c>
      <c r="B803" t="s">
        <v>551</v>
      </c>
      <c r="C803" t="s">
        <v>52</v>
      </c>
      <c r="D803" t="s">
        <v>2896</v>
      </c>
      <c r="E803" s="13" t="s">
        <v>2645</v>
      </c>
      <c r="G803" s="2">
        <v>65</v>
      </c>
      <c r="H803">
        <v>69</v>
      </c>
      <c r="I803">
        <v>4</v>
      </c>
      <c r="J803" t="s">
        <v>27</v>
      </c>
      <c r="K803">
        <v>69</v>
      </c>
      <c r="L803" t="s">
        <v>28</v>
      </c>
      <c r="M803" s="12">
        <v>6</v>
      </c>
      <c r="N803" s="3">
        <f>G803*M803</f>
        <v>390</v>
      </c>
      <c r="O803" s="1">
        <v>45518</v>
      </c>
      <c r="P803" s="1">
        <v>45458</v>
      </c>
      <c r="Q803" s="1">
        <v>45578</v>
      </c>
      <c r="R803">
        <v>561</v>
      </c>
      <c r="S803">
        <v>621</v>
      </c>
      <c r="T803">
        <v>501</v>
      </c>
      <c r="U803" t="str">
        <f t="shared" si="24"/>
        <v>Expiring Soon</v>
      </c>
      <c r="V803" t="s">
        <v>2897</v>
      </c>
      <c r="W803">
        <v>80</v>
      </c>
      <c r="X803" s="3">
        <f t="shared" si="25"/>
        <v>31200</v>
      </c>
      <c r="Y803">
        <v>26</v>
      </c>
      <c r="Z803" t="s">
        <v>49</v>
      </c>
      <c r="AA803" s="3">
        <f>X803-Grocery_Inventory_and_Sales_Dat!N803</f>
        <v>30810</v>
      </c>
    </row>
    <row r="804" spans="1:27" x14ac:dyDescent="0.3">
      <c r="A804" t="s">
        <v>2898</v>
      </c>
      <c r="B804" t="s">
        <v>192</v>
      </c>
      <c r="C804" t="s">
        <v>64</v>
      </c>
      <c r="D804" t="s">
        <v>2899</v>
      </c>
      <c r="E804" s="13" t="s">
        <v>1471</v>
      </c>
      <c r="G804" s="2">
        <v>36</v>
      </c>
      <c r="H804">
        <v>3</v>
      </c>
      <c r="I804">
        <v>54</v>
      </c>
      <c r="J804" t="s">
        <v>55</v>
      </c>
      <c r="K804">
        <v>0</v>
      </c>
      <c r="L804" t="s">
        <v>41</v>
      </c>
      <c r="M804" s="12">
        <v>6</v>
      </c>
      <c r="N804" s="3">
        <f>G804*M804</f>
        <v>216</v>
      </c>
      <c r="O804" s="1">
        <v>45354</v>
      </c>
      <c r="P804" s="1">
        <v>45456</v>
      </c>
      <c r="Q804" s="1">
        <v>45639</v>
      </c>
      <c r="R804">
        <v>725</v>
      </c>
      <c r="S804">
        <v>623</v>
      </c>
      <c r="T804">
        <v>440</v>
      </c>
      <c r="U804" t="str">
        <f t="shared" si="24"/>
        <v>Expiring Soon</v>
      </c>
      <c r="V804" t="s">
        <v>2900</v>
      </c>
      <c r="W804">
        <v>74</v>
      </c>
      <c r="X804" s="3">
        <f t="shared" si="25"/>
        <v>15984</v>
      </c>
      <c r="Y804">
        <v>8</v>
      </c>
      <c r="Z804" t="s">
        <v>30</v>
      </c>
      <c r="AA804" s="3">
        <f>X804-Grocery_Inventory_and_Sales_Dat!N804</f>
        <v>15768</v>
      </c>
    </row>
    <row r="805" spans="1:27" x14ac:dyDescent="0.3">
      <c r="A805" t="s">
        <v>2901</v>
      </c>
      <c r="B805" t="s">
        <v>395</v>
      </c>
      <c r="C805" t="s">
        <v>52</v>
      </c>
      <c r="D805" t="s">
        <v>2902</v>
      </c>
      <c r="E805" s="13" t="s">
        <v>2903</v>
      </c>
      <c r="G805" s="2">
        <v>26</v>
      </c>
      <c r="H805">
        <v>63</v>
      </c>
      <c r="I805">
        <v>88</v>
      </c>
      <c r="J805" t="s">
        <v>27</v>
      </c>
      <c r="K805">
        <v>63</v>
      </c>
      <c r="L805" t="s">
        <v>28</v>
      </c>
      <c r="M805" s="12">
        <v>1.2</v>
      </c>
      <c r="N805" s="3">
        <f>G805*M805</f>
        <v>31.2</v>
      </c>
      <c r="O805" s="1">
        <v>45540</v>
      </c>
      <c r="P805" s="1">
        <v>45351</v>
      </c>
      <c r="Q805" s="1">
        <v>45436</v>
      </c>
      <c r="R805">
        <v>539</v>
      </c>
      <c r="S805">
        <v>728</v>
      </c>
      <c r="T805">
        <v>643</v>
      </c>
      <c r="U805" t="str">
        <f t="shared" si="24"/>
        <v>Safe</v>
      </c>
      <c r="V805" t="s">
        <v>2904</v>
      </c>
      <c r="W805">
        <v>84</v>
      </c>
      <c r="X805" s="3">
        <f t="shared" si="25"/>
        <v>2620.7999999999997</v>
      </c>
      <c r="Y805">
        <v>70</v>
      </c>
      <c r="Z805" t="s">
        <v>49</v>
      </c>
      <c r="AA805" s="3">
        <f>X805-Grocery_Inventory_and_Sales_Dat!N805</f>
        <v>2589.6</v>
      </c>
    </row>
    <row r="806" spans="1:27" x14ac:dyDescent="0.3">
      <c r="A806" t="s">
        <v>2905</v>
      </c>
      <c r="B806" t="s">
        <v>870</v>
      </c>
      <c r="C806" t="s">
        <v>64</v>
      </c>
      <c r="D806" t="s">
        <v>2906</v>
      </c>
      <c r="E806" s="13" t="s">
        <v>1285</v>
      </c>
      <c r="G806" s="2">
        <v>39</v>
      </c>
      <c r="H806">
        <v>13</v>
      </c>
      <c r="I806">
        <v>13</v>
      </c>
      <c r="J806" t="s">
        <v>55</v>
      </c>
      <c r="K806">
        <v>0</v>
      </c>
      <c r="L806" t="s">
        <v>41</v>
      </c>
      <c r="M806" s="12">
        <v>2.5</v>
      </c>
      <c r="N806" s="3">
        <f>G806*M806</f>
        <v>97.5</v>
      </c>
      <c r="O806" s="1">
        <v>45548</v>
      </c>
      <c r="P806" s="1">
        <v>45707</v>
      </c>
      <c r="Q806" s="1">
        <v>45365</v>
      </c>
      <c r="R806">
        <v>531</v>
      </c>
      <c r="S806">
        <v>372</v>
      </c>
      <c r="T806">
        <v>714</v>
      </c>
      <c r="U806" t="str">
        <f t="shared" si="24"/>
        <v>Safe</v>
      </c>
      <c r="V806" t="s">
        <v>2907</v>
      </c>
      <c r="W806">
        <v>84</v>
      </c>
      <c r="X806" s="3">
        <f t="shared" si="25"/>
        <v>8190</v>
      </c>
      <c r="Y806">
        <v>93</v>
      </c>
      <c r="Z806" t="s">
        <v>49</v>
      </c>
      <c r="AA806" s="3">
        <f>X806-Grocery_Inventory_and_Sales_Dat!N806</f>
        <v>8092.5</v>
      </c>
    </row>
    <row r="807" spans="1:27" x14ac:dyDescent="0.3">
      <c r="A807" t="s">
        <v>2908</v>
      </c>
      <c r="B807" t="s">
        <v>89</v>
      </c>
      <c r="C807" t="s">
        <v>24</v>
      </c>
      <c r="D807" t="s">
        <v>2909</v>
      </c>
      <c r="E807" s="13" t="s">
        <v>2147</v>
      </c>
      <c r="G807" s="2">
        <v>39</v>
      </c>
      <c r="H807">
        <v>83</v>
      </c>
      <c r="I807">
        <v>21</v>
      </c>
      <c r="J807" t="s">
        <v>27</v>
      </c>
      <c r="K807">
        <v>83</v>
      </c>
      <c r="L807" t="s">
        <v>28</v>
      </c>
      <c r="M807" s="12">
        <v>2</v>
      </c>
      <c r="N807" s="3">
        <f>G807*M807</f>
        <v>78</v>
      </c>
      <c r="O807" s="1">
        <v>45657</v>
      </c>
      <c r="P807" s="1">
        <v>45405</v>
      </c>
      <c r="Q807" s="1">
        <v>45394</v>
      </c>
      <c r="R807">
        <v>422</v>
      </c>
      <c r="S807">
        <v>674</v>
      </c>
      <c r="T807">
        <v>685</v>
      </c>
      <c r="U807" t="str">
        <f t="shared" si="24"/>
        <v>Safe</v>
      </c>
      <c r="V807" t="s">
        <v>2910</v>
      </c>
      <c r="W807">
        <v>73</v>
      </c>
      <c r="X807" s="3">
        <f t="shared" si="25"/>
        <v>5694</v>
      </c>
      <c r="Y807">
        <v>88</v>
      </c>
      <c r="Z807" t="s">
        <v>49</v>
      </c>
      <c r="AA807" s="3">
        <f>X807-Grocery_Inventory_and_Sales_Dat!N807</f>
        <v>5616</v>
      </c>
    </row>
    <row r="808" spans="1:27" x14ac:dyDescent="0.3">
      <c r="A808" t="s">
        <v>2911</v>
      </c>
      <c r="B808" t="s">
        <v>148</v>
      </c>
      <c r="C808" t="s">
        <v>52</v>
      </c>
      <c r="D808" t="s">
        <v>2912</v>
      </c>
      <c r="E808" s="13" t="s">
        <v>232</v>
      </c>
      <c r="G808" s="2">
        <v>83</v>
      </c>
      <c r="H808">
        <v>61</v>
      </c>
      <c r="I808">
        <v>4</v>
      </c>
      <c r="J808" t="s">
        <v>55</v>
      </c>
      <c r="K808">
        <v>0</v>
      </c>
      <c r="L808" t="s">
        <v>41</v>
      </c>
      <c r="M808" s="12">
        <v>1</v>
      </c>
      <c r="N808" s="3">
        <f>G808*M808</f>
        <v>83</v>
      </c>
      <c r="O808" s="1">
        <v>45551</v>
      </c>
      <c r="P808" s="1">
        <v>45423</v>
      </c>
      <c r="Q808" s="1">
        <v>45589</v>
      </c>
      <c r="R808">
        <v>528</v>
      </c>
      <c r="S808">
        <v>656</v>
      </c>
      <c r="T808">
        <v>490</v>
      </c>
      <c r="U808" t="str">
        <f t="shared" si="24"/>
        <v>Expiring Soon</v>
      </c>
      <c r="V808" t="s">
        <v>2913</v>
      </c>
      <c r="W808">
        <v>35</v>
      </c>
      <c r="X808" s="3">
        <f t="shared" si="25"/>
        <v>2905</v>
      </c>
      <c r="Y808">
        <v>7</v>
      </c>
      <c r="Z808" t="s">
        <v>43</v>
      </c>
      <c r="AA808" s="3">
        <f>X808-Grocery_Inventory_and_Sales_Dat!N808</f>
        <v>2822</v>
      </c>
    </row>
    <row r="809" spans="1:27" x14ac:dyDescent="0.3">
      <c r="A809" t="s">
        <v>2914</v>
      </c>
      <c r="B809" t="s">
        <v>182</v>
      </c>
      <c r="C809" t="s">
        <v>52</v>
      </c>
      <c r="D809" t="s">
        <v>2915</v>
      </c>
      <c r="E809" s="13" t="s">
        <v>2186</v>
      </c>
      <c r="G809" s="2">
        <v>28</v>
      </c>
      <c r="H809">
        <v>5</v>
      </c>
      <c r="I809">
        <v>9</v>
      </c>
      <c r="J809" t="s">
        <v>55</v>
      </c>
      <c r="K809">
        <v>0</v>
      </c>
      <c r="L809" t="s">
        <v>41</v>
      </c>
      <c r="M809" s="12">
        <v>1.8</v>
      </c>
      <c r="N809" s="3">
        <f>G809*M809</f>
        <v>50.4</v>
      </c>
      <c r="O809" s="1">
        <v>45673</v>
      </c>
      <c r="P809" s="1">
        <v>45673</v>
      </c>
      <c r="Q809" s="1">
        <v>45355</v>
      </c>
      <c r="R809">
        <v>406</v>
      </c>
      <c r="S809">
        <v>406</v>
      </c>
      <c r="T809">
        <v>724</v>
      </c>
      <c r="U809" t="str">
        <f t="shared" si="24"/>
        <v>Safe</v>
      </c>
      <c r="V809" t="s">
        <v>2916</v>
      </c>
      <c r="W809">
        <v>33</v>
      </c>
      <c r="X809" s="3">
        <f t="shared" si="25"/>
        <v>1663.2</v>
      </c>
      <c r="Y809">
        <v>9</v>
      </c>
      <c r="Z809" t="s">
        <v>30</v>
      </c>
      <c r="AA809" s="3">
        <f>X809-Grocery_Inventory_and_Sales_Dat!N809</f>
        <v>1612.8</v>
      </c>
    </row>
    <row r="810" spans="1:27" x14ac:dyDescent="0.3">
      <c r="A810" t="s">
        <v>2917</v>
      </c>
      <c r="B810" t="s">
        <v>630</v>
      </c>
      <c r="C810" t="s">
        <v>138</v>
      </c>
      <c r="D810" t="s">
        <v>2918</v>
      </c>
      <c r="E810" s="13" t="s">
        <v>1471</v>
      </c>
      <c r="G810" s="2">
        <v>85</v>
      </c>
      <c r="H810">
        <v>17</v>
      </c>
      <c r="I810">
        <v>96</v>
      </c>
      <c r="J810" t="s">
        <v>55</v>
      </c>
      <c r="K810">
        <v>0</v>
      </c>
      <c r="L810" t="s">
        <v>41</v>
      </c>
      <c r="M810" s="12">
        <v>18</v>
      </c>
      <c r="N810" s="3">
        <f>G810*M810</f>
        <v>1530</v>
      </c>
      <c r="O810" s="1">
        <v>45423</v>
      </c>
      <c r="P810" s="1">
        <v>45329</v>
      </c>
      <c r="Q810" s="1">
        <v>45390</v>
      </c>
      <c r="R810">
        <v>656</v>
      </c>
      <c r="S810">
        <v>750</v>
      </c>
      <c r="T810">
        <v>689</v>
      </c>
      <c r="U810" t="str">
        <f t="shared" si="24"/>
        <v>Safe</v>
      </c>
      <c r="V810" t="s">
        <v>2919</v>
      </c>
      <c r="W810">
        <v>92</v>
      </c>
      <c r="X810" s="3">
        <f t="shared" si="25"/>
        <v>140760</v>
      </c>
      <c r="Y810">
        <v>34</v>
      </c>
      <c r="Z810" t="s">
        <v>30</v>
      </c>
      <c r="AA810" s="3">
        <f>X810-Grocery_Inventory_and_Sales_Dat!N810</f>
        <v>139230</v>
      </c>
    </row>
    <row r="811" spans="1:27" x14ac:dyDescent="0.3">
      <c r="A811" t="s">
        <v>2920</v>
      </c>
      <c r="B811" t="s">
        <v>887</v>
      </c>
      <c r="C811" t="s">
        <v>52</v>
      </c>
      <c r="D811" t="s">
        <v>2921</v>
      </c>
      <c r="E811" s="13" t="s">
        <v>1084</v>
      </c>
      <c r="G811" s="2">
        <v>76</v>
      </c>
      <c r="H811">
        <v>39</v>
      </c>
      <c r="I811">
        <v>15</v>
      </c>
      <c r="J811" t="s">
        <v>55</v>
      </c>
      <c r="K811">
        <v>0</v>
      </c>
      <c r="L811" t="s">
        <v>41</v>
      </c>
      <c r="M811" s="12">
        <v>2</v>
      </c>
      <c r="N811" s="3">
        <f>G811*M811</f>
        <v>152</v>
      </c>
      <c r="O811" s="1">
        <v>45455</v>
      </c>
      <c r="P811" s="1">
        <v>45466</v>
      </c>
      <c r="Q811" s="1">
        <v>45520</v>
      </c>
      <c r="R811">
        <v>624</v>
      </c>
      <c r="S811">
        <v>613</v>
      </c>
      <c r="T811">
        <v>559</v>
      </c>
      <c r="U811" t="str">
        <f t="shared" si="24"/>
        <v>Safe</v>
      </c>
      <c r="V811" t="s">
        <v>2922</v>
      </c>
      <c r="W811">
        <v>77</v>
      </c>
      <c r="X811" s="3">
        <f t="shared" si="25"/>
        <v>11704</v>
      </c>
      <c r="Y811">
        <v>70</v>
      </c>
      <c r="Z811" t="s">
        <v>43</v>
      </c>
      <c r="AA811" s="3">
        <f>X811-Grocery_Inventory_and_Sales_Dat!N811</f>
        <v>11552</v>
      </c>
    </row>
    <row r="812" spans="1:27" x14ac:dyDescent="0.3">
      <c r="A812" t="s">
        <v>2923</v>
      </c>
      <c r="B812" t="s">
        <v>1274</v>
      </c>
      <c r="C812" t="s">
        <v>52</v>
      </c>
      <c r="D812" t="s">
        <v>2924</v>
      </c>
      <c r="E812" s="13" t="s">
        <v>1460</v>
      </c>
      <c r="G812" s="2">
        <v>100</v>
      </c>
      <c r="H812">
        <v>64</v>
      </c>
      <c r="I812">
        <v>62</v>
      </c>
      <c r="J812" t="s">
        <v>55</v>
      </c>
      <c r="K812">
        <v>0</v>
      </c>
      <c r="L812" t="s">
        <v>41</v>
      </c>
      <c r="M812" s="12">
        <v>2.5</v>
      </c>
      <c r="N812" s="3">
        <f>G812*M812</f>
        <v>250</v>
      </c>
      <c r="O812" s="1">
        <v>45641</v>
      </c>
      <c r="P812" s="1">
        <v>45656</v>
      </c>
      <c r="Q812" s="1">
        <v>45528</v>
      </c>
      <c r="R812">
        <v>438</v>
      </c>
      <c r="S812">
        <v>423</v>
      </c>
      <c r="T812">
        <v>551</v>
      </c>
      <c r="U812" t="str">
        <f t="shared" si="24"/>
        <v>Safe</v>
      </c>
      <c r="V812" t="s">
        <v>2925</v>
      </c>
      <c r="W812">
        <v>84</v>
      </c>
      <c r="X812" s="3">
        <f t="shared" si="25"/>
        <v>21000</v>
      </c>
      <c r="Y812">
        <v>44</v>
      </c>
      <c r="Z812" t="s">
        <v>30</v>
      </c>
      <c r="AA812" s="3">
        <f>X812-Grocery_Inventory_and_Sales_Dat!N812</f>
        <v>20750</v>
      </c>
    </row>
    <row r="813" spans="1:27" x14ac:dyDescent="0.3">
      <c r="A813" t="s">
        <v>2926</v>
      </c>
      <c r="B813" t="s">
        <v>551</v>
      </c>
      <c r="C813" t="s">
        <v>52</v>
      </c>
      <c r="D813" t="s">
        <v>2927</v>
      </c>
      <c r="E813" s="13" t="s">
        <v>2928</v>
      </c>
      <c r="G813" s="2">
        <v>17</v>
      </c>
      <c r="H813">
        <v>45</v>
      </c>
      <c r="I813">
        <v>44</v>
      </c>
      <c r="J813" t="s">
        <v>27</v>
      </c>
      <c r="K813">
        <v>45</v>
      </c>
      <c r="L813" t="s">
        <v>41</v>
      </c>
      <c r="M813" s="12">
        <v>6</v>
      </c>
      <c r="N813" s="3">
        <f>G813*M813</f>
        <v>102</v>
      </c>
      <c r="O813" s="1">
        <v>45498</v>
      </c>
      <c r="P813" s="1">
        <v>45355</v>
      </c>
      <c r="Q813" s="1">
        <v>45575</v>
      </c>
      <c r="R813">
        <v>581</v>
      </c>
      <c r="S813">
        <v>724</v>
      </c>
      <c r="T813">
        <v>504</v>
      </c>
      <c r="U813" t="str">
        <f t="shared" si="24"/>
        <v>Expiring Soon</v>
      </c>
      <c r="V813" t="s">
        <v>2929</v>
      </c>
      <c r="W813">
        <v>37</v>
      </c>
      <c r="X813" s="3">
        <f t="shared" si="25"/>
        <v>3774</v>
      </c>
      <c r="Y813">
        <v>16</v>
      </c>
      <c r="Z813" t="s">
        <v>49</v>
      </c>
      <c r="AA813" s="3">
        <f>X813-Grocery_Inventory_and_Sales_Dat!N813</f>
        <v>3672</v>
      </c>
    </row>
    <row r="814" spans="1:27" x14ac:dyDescent="0.3">
      <c r="A814" t="s">
        <v>2930</v>
      </c>
      <c r="B814" t="s">
        <v>806</v>
      </c>
      <c r="C814" t="s">
        <v>138</v>
      </c>
      <c r="D814" t="s">
        <v>2931</v>
      </c>
      <c r="E814" s="13" t="s">
        <v>850</v>
      </c>
      <c r="G814" s="2">
        <v>51</v>
      </c>
      <c r="H814">
        <v>35</v>
      </c>
      <c r="I814">
        <v>95</v>
      </c>
      <c r="J814" t="s">
        <v>55</v>
      </c>
      <c r="K814">
        <v>0</v>
      </c>
      <c r="L814" t="s">
        <v>41</v>
      </c>
      <c r="M814" s="12">
        <v>10</v>
      </c>
      <c r="N814" s="3">
        <f>G814*M814</f>
        <v>510</v>
      </c>
      <c r="O814" s="1">
        <v>45587</v>
      </c>
      <c r="P814" s="1">
        <v>45509</v>
      </c>
      <c r="Q814" s="1">
        <v>45520</v>
      </c>
      <c r="R814">
        <v>492</v>
      </c>
      <c r="S814">
        <v>570</v>
      </c>
      <c r="T814">
        <v>559</v>
      </c>
      <c r="U814" t="str">
        <f t="shared" si="24"/>
        <v>Safe</v>
      </c>
      <c r="V814" t="s">
        <v>2932</v>
      </c>
      <c r="W814">
        <v>80</v>
      </c>
      <c r="X814" s="3">
        <f t="shared" si="25"/>
        <v>40800</v>
      </c>
      <c r="Y814">
        <v>89</v>
      </c>
      <c r="Z814" t="s">
        <v>43</v>
      </c>
      <c r="AA814" s="3">
        <f>X814-Grocery_Inventory_and_Sales_Dat!N814</f>
        <v>40290</v>
      </c>
    </row>
    <row r="815" spans="1:27" x14ac:dyDescent="0.3">
      <c r="A815" t="s">
        <v>2933</v>
      </c>
      <c r="B815" t="s">
        <v>1131</v>
      </c>
      <c r="C815" t="s">
        <v>52</v>
      </c>
      <c r="D815" t="s">
        <v>2934</v>
      </c>
      <c r="E815" s="13" t="s">
        <v>179</v>
      </c>
      <c r="G815" s="2">
        <v>54</v>
      </c>
      <c r="H815">
        <v>88</v>
      </c>
      <c r="I815">
        <v>43</v>
      </c>
      <c r="J815" t="s">
        <v>27</v>
      </c>
      <c r="K815">
        <v>88</v>
      </c>
      <c r="L815" t="s">
        <v>28</v>
      </c>
      <c r="M815" s="12">
        <v>5.5</v>
      </c>
      <c r="N815" s="3">
        <f>G815*M815</f>
        <v>297</v>
      </c>
      <c r="O815" s="1">
        <v>45993</v>
      </c>
      <c r="P815" s="1">
        <v>45436</v>
      </c>
      <c r="Q815" s="1">
        <v>45401</v>
      </c>
      <c r="R815">
        <v>86</v>
      </c>
      <c r="S815">
        <v>643</v>
      </c>
      <c r="T815">
        <v>678</v>
      </c>
      <c r="U815" t="str">
        <f t="shared" si="24"/>
        <v>Safe</v>
      </c>
      <c r="V815" t="s">
        <v>2935</v>
      </c>
      <c r="W815">
        <v>81</v>
      </c>
      <c r="X815" s="3">
        <f t="shared" si="25"/>
        <v>24057</v>
      </c>
      <c r="Y815">
        <v>77</v>
      </c>
      <c r="Z815" t="s">
        <v>43</v>
      </c>
      <c r="AA815" s="3">
        <f>X815-Grocery_Inventory_and_Sales_Dat!N815</f>
        <v>23760</v>
      </c>
    </row>
    <row r="816" spans="1:27" x14ac:dyDescent="0.3">
      <c r="A816" t="s">
        <v>2936</v>
      </c>
      <c r="B816" t="s">
        <v>271</v>
      </c>
      <c r="C816" t="s">
        <v>95</v>
      </c>
      <c r="D816" t="s">
        <v>2937</v>
      </c>
      <c r="E816" s="13" t="s">
        <v>1099</v>
      </c>
      <c r="G816" s="2">
        <v>94</v>
      </c>
      <c r="H816">
        <v>56</v>
      </c>
      <c r="I816">
        <v>80</v>
      </c>
      <c r="J816" t="s">
        <v>55</v>
      </c>
      <c r="K816">
        <v>0</v>
      </c>
      <c r="L816" t="s">
        <v>41</v>
      </c>
      <c r="M816" s="12">
        <v>4</v>
      </c>
      <c r="N816" s="3">
        <f>G816*M816</f>
        <v>376</v>
      </c>
      <c r="O816" s="1">
        <v>45748</v>
      </c>
      <c r="P816" s="1">
        <v>45334</v>
      </c>
      <c r="Q816" s="1">
        <v>45562</v>
      </c>
      <c r="R816">
        <v>331</v>
      </c>
      <c r="S816">
        <v>745</v>
      </c>
      <c r="T816">
        <v>517</v>
      </c>
      <c r="U816" t="str">
        <f t="shared" si="24"/>
        <v>Expiring Soon</v>
      </c>
      <c r="V816" t="s">
        <v>2938</v>
      </c>
      <c r="W816">
        <v>47</v>
      </c>
      <c r="X816" s="3">
        <f t="shared" si="25"/>
        <v>17672</v>
      </c>
      <c r="Y816">
        <v>96</v>
      </c>
      <c r="Z816" t="s">
        <v>43</v>
      </c>
      <c r="AA816" s="3">
        <f>X816-Grocery_Inventory_and_Sales_Dat!N816</f>
        <v>17296</v>
      </c>
    </row>
    <row r="817" spans="1:27" x14ac:dyDescent="0.3">
      <c r="A817" t="s">
        <v>2939</v>
      </c>
      <c r="B817" t="s">
        <v>757</v>
      </c>
      <c r="C817" t="s">
        <v>52</v>
      </c>
      <c r="D817" t="s">
        <v>2940</v>
      </c>
      <c r="E817" s="13" t="s">
        <v>97</v>
      </c>
      <c r="G817" s="2">
        <v>34</v>
      </c>
      <c r="H817">
        <v>95</v>
      </c>
      <c r="I817">
        <v>18</v>
      </c>
      <c r="J817" t="s">
        <v>27</v>
      </c>
      <c r="K817">
        <v>95</v>
      </c>
      <c r="L817" t="s">
        <v>28</v>
      </c>
      <c r="M817" s="12">
        <v>5</v>
      </c>
      <c r="N817" s="3">
        <f>G817*M817</f>
        <v>170</v>
      </c>
      <c r="O817" s="1">
        <v>45579</v>
      </c>
      <c r="P817" s="1">
        <v>45582</v>
      </c>
      <c r="Q817" s="1">
        <v>45424</v>
      </c>
      <c r="R817">
        <v>500</v>
      </c>
      <c r="S817">
        <v>497</v>
      </c>
      <c r="T817">
        <v>655</v>
      </c>
      <c r="U817" t="str">
        <f t="shared" si="24"/>
        <v>Safe</v>
      </c>
      <c r="V817" t="s">
        <v>2941</v>
      </c>
      <c r="W817">
        <v>41</v>
      </c>
      <c r="X817" s="3">
        <f t="shared" si="25"/>
        <v>6970</v>
      </c>
      <c r="Y817">
        <v>26</v>
      </c>
      <c r="Z817" t="s">
        <v>30</v>
      </c>
      <c r="AA817" s="3">
        <f>X817-Grocery_Inventory_and_Sales_Dat!N817</f>
        <v>6800</v>
      </c>
    </row>
    <row r="818" spans="1:27" x14ac:dyDescent="0.3">
      <c r="A818" t="s">
        <v>2942</v>
      </c>
      <c r="B818" t="s">
        <v>197</v>
      </c>
      <c r="C818" t="s">
        <v>33</v>
      </c>
      <c r="D818" t="s">
        <v>2943</v>
      </c>
      <c r="E818" s="13" t="s">
        <v>2944</v>
      </c>
      <c r="G818" s="2">
        <v>27</v>
      </c>
      <c r="H818">
        <v>1</v>
      </c>
      <c r="I818">
        <v>3</v>
      </c>
      <c r="J818" t="s">
        <v>55</v>
      </c>
      <c r="K818">
        <v>0</v>
      </c>
      <c r="L818" t="s">
        <v>41</v>
      </c>
      <c r="M818" s="12">
        <v>30</v>
      </c>
      <c r="N818" s="3">
        <f>G818*M818</f>
        <v>810</v>
      </c>
      <c r="O818" s="1">
        <v>45398</v>
      </c>
      <c r="P818" s="1">
        <v>45543</v>
      </c>
      <c r="Q818" s="1">
        <v>45624</v>
      </c>
      <c r="R818">
        <v>681</v>
      </c>
      <c r="S818">
        <v>536</v>
      </c>
      <c r="T818">
        <v>455</v>
      </c>
      <c r="U818" t="str">
        <f t="shared" si="24"/>
        <v>Expiring Soon</v>
      </c>
      <c r="V818" t="s">
        <v>2945</v>
      </c>
      <c r="W818">
        <v>34</v>
      </c>
      <c r="X818" s="3">
        <f t="shared" si="25"/>
        <v>27540</v>
      </c>
      <c r="Y818">
        <v>63</v>
      </c>
      <c r="Z818" t="s">
        <v>43</v>
      </c>
      <c r="AA818" s="3">
        <f>X818-Grocery_Inventory_and_Sales_Dat!N818</f>
        <v>26730</v>
      </c>
    </row>
    <row r="819" spans="1:27" x14ac:dyDescent="0.3">
      <c r="A819" t="s">
        <v>2946</v>
      </c>
      <c r="B819" t="s">
        <v>58</v>
      </c>
      <c r="C819" t="s">
        <v>24</v>
      </c>
      <c r="D819" t="s">
        <v>2947</v>
      </c>
      <c r="E819" s="13" t="s">
        <v>199</v>
      </c>
      <c r="G819" s="2">
        <v>50</v>
      </c>
      <c r="H819">
        <v>42</v>
      </c>
      <c r="I819">
        <v>20</v>
      </c>
      <c r="J819" t="s">
        <v>55</v>
      </c>
      <c r="K819">
        <v>0</v>
      </c>
      <c r="L819" t="s">
        <v>41</v>
      </c>
      <c r="M819" s="12">
        <v>1.75</v>
      </c>
      <c r="N819" s="3">
        <f>G819*M819</f>
        <v>87.5</v>
      </c>
      <c r="O819" s="1">
        <v>45454</v>
      </c>
      <c r="P819" s="1">
        <v>45707</v>
      </c>
      <c r="Q819" s="1">
        <v>45497</v>
      </c>
      <c r="R819">
        <v>625</v>
      </c>
      <c r="S819">
        <v>372</v>
      </c>
      <c r="T819">
        <v>582</v>
      </c>
      <c r="U819" t="str">
        <f t="shared" si="24"/>
        <v>Safe</v>
      </c>
      <c r="V819" t="s">
        <v>2948</v>
      </c>
      <c r="W819">
        <v>87</v>
      </c>
      <c r="X819" s="3">
        <f t="shared" si="25"/>
        <v>7612.5</v>
      </c>
      <c r="Y819">
        <v>59</v>
      </c>
      <c r="Z819" t="s">
        <v>49</v>
      </c>
      <c r="AA819" s="3">
        <f>X819-Grocery_Inventory_and_Sales_Dat!N819</f>
        <v>7525</v>
      </c>
    </row>
    <row r="820" spans="1:27" x14ac:dyDescent="0.3">
      <c r="A820" t="s">
        <v>2949</v>
      </c>
      <c r="B820" t="s">
        <v>507</v>
      </c>
      <c r="C820" t="s">
        <v>24</v>
      </c>
      <c r="D820" t="s">
        <v>2950</v>
      </c>
      <c r="E820" s="13" t="s">
        <v>2656</v>
      </c>
      <c r="G820" s="2">
        <v>85</v>
      </c>
      <c r="H820">
        <v>12</v>
      </c>
      <c r="I820">
        <v>94</v>
      </c>
      <c r="J820" t="s">
        <v>55</v>
      </c>
      <c r="K820">
        <v>0</v>
      </c>
      <c r="L820" t="s">
        <v>41</v>
      </c>
      <c r="M820" s="12">
        <v>9.5</v>
      </c>
      <c r="N820" s="3">
        <f>G820*M820</f>
        <v>807.5</v>
      </c>
      <c r="O820" s="1">
        <v>45375</v>
      </c>
      <c r="P820" s="1">
        <v>45590</v>
      </c>
      <c r="Q820" s="1">
        <v>45365</v>
      </c>
      <c r="R820">
        <v>704</v>
      </c>
      <c r="S820">
        <v>489</v>
      </c>
      <c r="T820">
        <v>714</v>
      </c>
      <c r="U820" t="str">
        <f t="shared" si="24"/>
        <v>Safe</v>
      </c>
      <c r="V820" t="s">
        <v>2951</v>
      </c>
      <c r="W820">
        <v>26</v>
      </c>
      <c r="X820" s="3">
        <f t="shared" si="25"/>
        <v>20995</v>
      </c>
      <c r="Y820">
        <v>32</v>
      </c>
      <c r="Z820" t="s">
        <v>30</v>
      </c>
      <c r="AA820" s="3">
        <f>X820-Grocery_Inventory_and_Sales_Dat!N820</f>
        <v>20187.5</v>
      </c>
    </row>
    <row r="821" spans="1:27" x14ac:dyDescent="0.3">
      <c r="A821" t="s">
        <v>2952</v>
      </c>
      <c r="B821" t="s">
        <v>478</v>
      </c>
      <c r="C821" t="s">
        <v>24</v>
      </c>
      <c r="D821" t="s">
        <v>2953</v>
      </c>
      <c r="E821" s="13" t="s">
        <v>913</v>
      </c>
      <c r="G821" s="2">
        <v>24</v>
      </c>
      <c r="H821">
        <v>2</v>
      </c>
      <c r="I821">
        <v>49</v>
      </c>
      <c r="J821" t="s">
        <v>55</v>
      </c>
      <c r="K821">
        <v>0</v>
      </c>
      <c r="L821" t="s">
        <v>41</v>
      </c>
      <c r="M821" s="12">
        <v>2</v>
      </c>
      <c r="N821" s="3">
        <f>G821*M821</f>
        <v>48</v>
      </c>
      <c r="O821" s="1">
        <v>45328</v>
      </c>
      <c r="P821" s="1">
        <v>45682</v>
      </c>
      <c r="Q821" s="1">
        <v>45540</v>
      </c>
      <c r="R821">
        <v>751</v>
      </c>
      <c r="S821">
        <v>397</v>
      </c>
      <c r="T821">
        <v>539</v>
      </c>
      <c r="U821" t="str">
        <f t="shared" si="24"/>
        <v>Expiring Soon</v>
      </c>
      <c r="V821" t="s">
        <v>2954</v>
      </c>
      <c r="W821">
        <v>98</v>
      </c>
      <c r="X821" s="3">
        <f t="shared" si="25"/>
        <v>4704</v>
      </c>
      <c r="Y821">
        <v>82</v>
      </c>
      <c r="Z821" t="s">
        <v>49</v>
      </c>
      <c r="AA821" s="3">
        <f>X821-Grocery_Inventory_and_Sales_Dat!N821</f>
        <v>4656</v>
      </c>
    </row>
    <row r="822" spans="1:27" x14ac:dyDescent="0.3">
      <c r="A822" t="s">
        <v>2955</v>
      </c>
      <c r="B822" t="s">
        <v>1172</v>
      </c>
      <c r="C822" t="s">
        <v>138</v>
      </c>
      <c r="D822" t="s">
        <v>2956</v>
      </c>
      <c r="E822" s="13" t="s">
        <v>767</v>
      </c>
      <c r="G822" s="2">
        <v>82</v>
      </c>
      <c r="H822">
        <v>31</v>
      </c>
      <c r="I822">
        <v>86</v>
      </c>
      <c r="J822" t="s">
        <v>55</v>
      </c>
      <c r="K822">
        <v>0</v>
      </c>
      <c r="L822" t="s">
        <v>41</v>
      </c>
      <c r="M822" s="12">
        <v>20</v>
      </c>
      <c r="N822" s="3">
        <f>G822*M822</f>
        <v>1640</v>
      </c>
      <c r="O822" s="1">
        <v>45569</v>
      </c>
      <c r="P822" s="1">
        <v>45429</v>
      </c>
      <c r="Q822" s="1">
        <v>45665</v>
      </c>
      <c r="R822">
        <v>510</v>
      </c>
      <c r="S822">
        <v>650</v>
      </c>
      <c r="T822">
        <v>414</v>
      </c>
      <c r="U822" t="str">
        <f t="shared" si="24"/>
        <v>Expiring Soon</v>
      </c>
      <c r="V822" t="s">
        <v>2957</v>
      </c>
      <c r="W822">
        <v>66</v>
      </c>
      <c r="X822" s="3">
        <f t="shared" si="25"/>
        <v>108240</v>
      </c>
      <c r="Y822">
        <v>74</v>
      </c>
      <c r="Z822" t="s">
        <v>49</v>
      </c>
      <c r="AA822" s="3">
        <f>X822-Grocery_Inventory_and_Sales_Dat!N822</f>
        <v>106600</v>
      </c>
    </row>
    <row r="823" spans="1:27" x14ac:dyDescent="0.3">
      <c r="A823" t="s">
        <v>2958</v>
      </c>
      <c r="B823" t="s">
        <v>1240</v>
      </c>
      <c r="C823" t="s">
        <v>52</v>
      </c>
      <c r="D823" t="s">
        <v>2959</v>
      </c>
      <c r="E823" s="13" t="s">
        <v>2349</v>
      </c>
      <c r="G823" s="2">
        <v>17</v>
      </c>
      <c r="H823">
        <v>14</v>
      </c>
      <c r="I823">
        <v>17</v>
      </c>
      <c r="J823" t="s">
        <v>55</v>
      </c>
      <c r="K823">
        <v>0</v>
      </c>
      <c r="L823" t="s">
        <v>41</v>
      </c>
      <c r="M823" s="12">
        <v>3.5</v>
      </c>
      <c r="N823" s="3">
        <f>G823*M823</f>
        <v>59.5</v>
      </c>
      <c r="O823" s="1">
        <v>45375</v>
      </c>
      <c r="P823" s="1">
        <v>45422</v>
      </c>
      <c r="Q823" s="1">
        <v>45396</v>
      </c>
      <c r="R823">
        <v>704</v>
      </c>
      <c r="S823">
        <v>657</v>
      </c>
      <c r="T823">
        <v>683</v>
      </c>
      <c r="U823" t="str">
        <f t="shared" si="24"/>
        <v>Safe</v>
      </c>
      <c r="V823" t="s">
        <v>2960</v>
      </c>
      <c r="W823">
        <v>36</v>
      </c>
      <c r="X823" s="3">
        <f t="shared" si="25"/>
        <v>2142</v>
      </c>
      <c r="Y823">
        <v>64</v>
      </c>
      <c r="Z823" t="s">
        <v>30</v>
      </c>
      <c r="AA823" s="3">
        <f>X823-Grocery_Inventory_and_Sales_Dat!N823</f>
        <v>2082.5</v>
      </c>
    </row>
    <row r="824" spans="1:27" x14ac:dyDescent="0.3">
      <c r="A824" t="s">
        <v>2961</v>
      </c>
      <c r="B824" t="s">
        <v>605</v>
      </c>
      <c r="C824" t="s">
        <v>64</v>
      </c>
      <c r="D824" t="s">
        <v>2962</v>
      </c>
      <c r="E824" s="13" t="s">
        <v>277</v>
      </c>
      <c r="G824" s="2">
        <v>25</v>
      </c>
      <c r="H824">
        <v>97</v>
      </c>
      <c r="I824">
        <v>63</v>
      </c>
      <c r="J824" t="s">
        <v>27</v>
      </c>
      <c r="K824">
        <v>97</v>
      </c>
      <c r="L824" t="s">
        <v>28</v>
      </c>
      <c r="M824" s="12">
        <v>2.2999999999999998</v>
      </c>
      <c r="N824" s="3">
        <f>G824*M824</f>
        <v>57.499999999999993</v>
      </c>
      <c r="O824" s="1">
        <v>45587</v>
      </c>
      <c r="P824" s="1">
        <v>45465</v>
      </c>
      <c r="Q824" s="1">
        <v>45519</v>
      </c>
      <c r="R824">
        <v>492</v>
      </c>
      <c r="S824">
        <v>614</v>
      </c>
      <c r="T824">
        <v>560</v>
      </c>
      <c r="U824" t="str">
        <f t="shared" si="24"/>
        <v>Safe</v>
      </c>
      <c r="V824" t="s">
        <v>2963</v>
      </c>
      <c r="W824">
        <v>72</v>
      </c>
      <c r="X824" s="3">
        <f t="shared" si="25"/>
        <v>4139.9999999999991</v>
      </c>
      <c r="Y824">
        <v>23</v>
      </c>
      <c r="Z824" t="s">
        <v>30</v>
      </c>
      <c r="AA824" s="3">
        <f>X824-Grocery_Inventory_and_Sales_Dat!N824</f>
        <v>4082.4999999999991</v>
      </c>
    </row>
    <row r="825" spans="1:27" x14ac:dyDescent="0.3">
      <c r="A825" t="s">
        <v>2964</v>
      </c>
      <c r="B825" t="s">
        <v>514</v>
      </c>
      <c r="C825" t="s">
        <v>138</v>
      </c>
      <c r="D825" t="s">
        <v>2965</v>
      </c>
      <c r="E825" s="13" t="s">
        <v>661</v>
      </c>
      <c r="G825" s="2">
        <v>56</v>
      </c>
      <c r="H825">
        <v>59</v>
      </c>
      <c r="I825">
        <v>87</v>
      </c>
      <c r="J825" t="s">
        <v>27</v>
      </c>
      <c r="K825">
        <v>59</v>
      </c>
      <c r="L825" t="s">
        <v>41</v>
      </c>
      <c r="M825" s="12">
        <v>7</v>
      </c>
      <c r="N825" s="3">
        <f>G825*M825</f>
        <v>392</v>
      </c>
      <c r="O825" s="1">
        <v>45683</v>
      </c>
      <c r="P825" s="1">
        <v>45649</v>
      </c>
      <c r="Q825" s="1">
        <v>45502</v>
      </c>
      <c r="R825">
        <v>396</v>
      </c>
      <c r="S825">
        <v>430</v>
      </c>
      <c r="T825">
        <v>577</v>
      </c>
      <c r="U825" t="str">
        <f t="shared" si="24"/>
        <v>Safe</v>
      </c>
      <c r="V825" t="s">
        <v>2966</v>
      </c>
      <c r="W825">
        <v>65</v>
      </c>
      <c r="X825" s="3">
        <f t="shared" si="25"/>
        <v>25480</v>
      </c>
      <c r="Y825">
        <v>45</v>
      </c>
      <c r="Z825" t="s">
        <v>49</v>
      </c>
      <c r="AA825" s="3">
        <f>X825-Grocery_Inventory_and_Sales_Dat!N825</f>
        <v>25088</v>
      </c>
    </row>
    <row r="826" spans="1:27" x14ac:dyDescent="0.3">
      <c r="A826" t="s">
        <v>2967</v>
      </c>
      <c r="B826" t="s">
        <v>1198</v>
      </c>
      <c r="C826" t="s">
        <v>70</v>
      </c>
      <c r="D826" t="s">
        <v>2968</v>
      </c>
      <c r="E826" s="13" t="s">
        <v>491</v>
      </c>
      <c r="G826" s="2">
        <v>72</v>
      </c>
      <c r="H826">
        <v>3</v>
      </c>
      <c r="I826">
        <v>10</v>
      </c>
      <c r="J826" t="s">
        <v>55</v>
      </c>
      <c r="K826">
        <v>0</v>
      </c>
      <c r="L826" t="s">
        <v>41</v>
      </c>
      <c r="M826" s="12">
        <v>2</v>
      </c>
      <c r="N826" s="3">
        <f>G826*M826</f>
        <v>144</v>
      </c>
      <c r="O826" s="1">
        <v>45675</v>
      </c>
      <c r="P826" s="1">
        <v>45504</v>
      </c>
      <c r="Q826" s="1">
        <v>45570</v>
      </c>
      <c r="R826">
        <v>404</v>
      </c>
      <c r="S826">
        <v>575</v>
      </c>
      <c r="T826">
        <v>509</v>
      </c>
      <c r="U826" t="str">
        <f t="shared" si="24"/>
        <v>Expiring Soon</v>
      </c>
      <c r="V826" t="s">
        <v>2969</v>
      </c>
      <c r="W826">
        <v>52</v>
      </c>
      <c r="X826" s="3">
        <f t="shared" si="25"/>
        <v>7488</v>
      </c>
      <c r="Y826">
        <v>14</v>
      </c>
      <c r="Z826" t="s">
        <v>43</v>
      </c>
      <c r="AA826" s="3">
        <f>X826-Grocery_Inventory_and_Sales_Dat!N826</f>
        <v>7344</v>
      </c>
    </row>
    <row r="827" spans="1:27" x14ac:dyDescent="0.3">
      <c r="A827" t="s">
        <v>2970</v>
      </c>
      <c r="B827" t="s">
        <v>168</v>
      </c>
      <c r="C827" t="s">
        <v>52</v>
      </c>
      <c r="D827" t="s">
        <v>2971</v>
      </c>
      <c r="E827" s="13" t="s">
        <v>443</v>
      </c>
      <c r="G827" s="2">
        <v>65</v>
      </c>
      <c r="H827">
        <v>42</v>
      </c>
      <c r="I827">
        <v>62</v>
      </c>
      <c r="J827" t="s">
        <v>55</v>
      </c>
      <c r="K827">
        <v>0</v>
      </c>
      <c r="L827" t="s">
        <v>41</v>
      </c>
      <c r="M827" s="12">
        <v>6.3</v>
      </c>
      <c r="N827" s="3">
        <f>G827*M827</f>
        <v>409.5</v>
      </c>
      <c r="O827" s="1">
        <v>45589</v>
      </c>
      <c r="P827" s="1">
        <v>45462</v>
      </c>
      <c r="Q827" s="1">
        <v>45486</v>
      </c>
      <c r="R827">
        <v>490</v>
      </c>
      <c r="S827">
        <v>617</v>
      </c>
      <c r="T827">
        <v>593</v>
      </c>
      <c r="U827" t="str">
        <f t="shared" si="24"/>
        <v>Safe</v>
      </c>
      <c r="V827" t="s">
        <v>2972</v>
      </c>
      <c r="W827">
        <v>54</v>
      </c>
      <c r="X827" s="3">
        <f t="shared" si="25"/>
        <v>22113</v>
      </c>
      <c r="Y827">
        <v>2</v>
      </c>
      <c r="Z827" t="s">
        <v>49</v>
      </c>
      <c r="AA827" s="3">
        <f>X827-Grocery_Inventory_and_Sales_Dat!N827</f>
        <v>21703.5</v>
      </c>
    </row>
    <row r="828" spans="1:27" x14ac:dyDescent="0.3">
      <c r="A828" t="s">
        <v>2973</v>
      </c>
      <c r="B828" t="s">
        <v>1131</v>
      </c>
      <c r="C828" t="s">
        <v>52</v>
      </c>
      <c r="D828" t="s">
        <v>2974</v>
      </c>
      <c r="E828" s="13" t="s">
        <v>1974</v>
      </c>
      <c r="G828" s="2">
        <v>30</v>
      </c>
      <c r="H828">
        <v>66</v>
      </c>
      <c r="I828">
        <v>28</v>
      </c>
      <c r="J828" t="s">
        <v>27</v>
      </c>
      <c r="K828">
        <v>66</v>
      </c>
      <c r="L828" t="s">
        <v>28</v>
      </c>
      <c r="M828" s="12">
        <v>5.5</v>
      </c>
      <c r="N828" s="3">
        <f>G828*M828</f>
        <v>165</v>
      </c>
      <c r="O828" s="1">
        <v>45543</v>
      </c>
      <c r="P828" s="1">
        <v>45871</v>
      </c>
      <c r="Q828" s="1">
        <v>45654</v>
      </c>
      <c r="R828">
        <v>536</v>
      </c>
      <c r="S828">
        <v>208</v>
      </c>
      <c r="T828">
        <v>425</v>
      </c>
      <c r="U828" t="str">
        <f t="shared" si="24"/>
        <v>Expiring Soon</v>
      </c>
      <c r="V828" t="s">
        <v>2975</v>
      </c>
      <c r="W828">
        <v>63</v>
      </c>
      <c r="X828" s="3">
        <f t="shared" si="25"/>
        <v>10395</v>
      </c>
      <c r="Y828">
        <v>98</v>
      </c>
      <c r="Z828" t="s">
        <v>49</v>
      </c>
      <c r="AA828" s="3">
        <f>X828-Grocery_Inventory_and_Sales_Dat!N828</f>
        <v>10230</v>
      </c>
    </row>
    <row r="829" spans="1:27" x14ac:dyDescent="0.3">
      <c r="A829" t="s">
        <v>2976</v>
      </c>
      <c r="B829" t="s">
        <v>207</v>
      </c>
      <c r="C829" t="s">
        <v>52</v>
      </c>
      <c r="D829" t="s">
        <v>2977</v>
      </c>
      <c r="E829" s="13" t="s">
        <v>713</v>
      </c>
      <c r="G829" s="2">
        <v>39</v>
      </c>
      <c r="H829">
        <v>37</v>
      </c>
      <c r="I829">
        <v>48</v>
      </c>
      <c r="J829" t="s">
        <v>55</v>
      </c>
      <c r="K829">
        <v>0</v>
      </c>
      <c r="L829" t="s">
        <v>41</v>
      </c>
      <c r="M829" s="12">
        <v>2</v>
      </c>
      <c r="N829" s="3">
        <f>G829*M829</f>
        <v>78</v>
      </c>
      <c r="O829" s="1">
        <v>45623</v>
      </c>
      <c r="P829" s="1">
        <v>45530</v>
      </c>
      <c r="Q829" s="1">
        <v>45467</v>
      </c>
      <c r="R829">
        <v>456</v>
      </c>
      <c r="S829">
        <v>549</v>
      </c>
      <c r="T829">
        <v>612</v>
      </c>
      <c r="U829" t="str">
        <f t="shared" si="24"/>
        <v>Safe</v>
      </c>
      <c r="V829" t="s">
        <v>2978</v>
      </c>
      <c r="W829">
        <v>25</v>
      </c>
      <c r="X829" s="3">
        <f t="shared" si="25"/>
        <v>1950</v>
      </c>
      <c r="Y829">
        <v>19</v>
      </c>
      <c r="Z829" t="s">
        <v>49</v>
      </c>
      <c r="AA829" s="3">
        <f>X829-Grocery_Inventory_and_Sales_Dat!N829</f>
        <v>1872</v>
      </c>
    </row>
    <row r="830" spans="1:27" x14ac:dyDescent="0.3">
      <c r="A830" t="s">
        <v>2979</v>
      </c>
      <c r="B830" t="s">
        <v>187</v>
      </c>
      <c r="C830" t="s">
        <v>52</v>
      </c>
      <c r="D830" t="s">
        <v>2980</v>
      </c>
      <c r="E830" s="13" t="s">
        <v>1321</v>
      </c>
      <c r="G830" s="2">
        <v>14</v>
      </c>
      <c r="H830">
        <v>81</v>
      </c>
      <c r="I830">
        <v>65</v>
      </c>
      <c r="J830" t="s">
        <v>27</v>
      </c>
      <c r="K830">
        <v>81</v>
      </c>
      <c r="L830" t="s">
        <v>28</v>
      </c>
      <c r="M830" s="12">
        <v>3.5</v>
      </c>
      <c r="N830" s="3">
        <f>G830*M830</f>
        <v>49</v>
      </c>
      <c r="O830" s="1">
        <v>45613</v>
      </c>
      <c r="P830" s="1">
        <v>45366</v>
      </c>
      <c r="Q830" s="1">
        <v>45587</v>
      </c>
      <c r="R830">
        <v>466</v>
      </c>
      <c r="S830">
        <v>713</v>
      </c>
      <c r="T830">
        <v>492</v>
      </c>
      <c r="U830" t="str">
        <f t="shared" si="24"/>
        <v>Expiring Soon</v>
      </c>
      <c r="V830" t="s">
        <v>2981</v>
      </c>
      <c r="W830">
        <v>74</v>
      </c>
      <c r="X830" s="3">
        <f t="shared" si="25"/>
        <v>3626</v>
      </c>
      <c r="Y830">
        <v>84</v>
      </c>
      <c r="Z830" t="s">
        <v>49</v>
      </c>
      <c r="AA830" s="3">
        <f>X830-Grocery_Inventory_and_Sales_Dat!N830</f>
        <v>3577</v>
      </c>
    </row>
    <row r="831" spans="1:27" x14ac:dyDescent="0.3">
      <c r="A831" t="s">
        <v>2982</v>
      </c>
      <c r="B831" t="s">
        <v>317</v>
      </c>
      <c r="C831" t="s">
        <v>52</v>
      </c>
      <c r="D831" t="s">
        <v>2983</v>
      </c>
      <c r="E831" s="13" t="s">
        <v>1099</v>
      </c>
      <c r="G831" s="2">
        <v>74</v>
      </c>
      <c r="H831">
        <v>37</v>
      </c>
      <c r="I831">
        <v>57</v>
      </c>
      <c r="J831" t="s">
        <v>55</v>
      </c>
      <c r="K831">
        <v>0</v>
      </c>
      <c r="L831" t="s">
        <v>41</v>
      </c>
      <c r="M831" s="12">
        <v>1.5</v>
      </c>
      <c r="N831" s="3">
        <f>G831*M831</f>
        <v>111</v>
      </c>
      <c r="O831" s="1">
        <v>45702</v>
      </c>
      <c r="P831" s="1">
        <v>45385</v>
      </c>
      <c r="Q831" s="1">
        <v>45644</v>
      </c>
      <c r="R831">
        <v>377</v>
      </c>
      <c r="S831">
        <v>694</v>
      </c>
      <c r="T831">
        <v>435</v>
      </c>
      <c r="U831" t="str">
        <f t="shared" si="24"/>
        <v>Expiring Soon</v>
      </c>
      <c r="V831" t="s">
        <v>2984</v>
      </c>
      <c r="W831">
        <v>91</v>
      </c>
      <c r="X831" s="3">
        <f t="shared" si="25"/>
        <v>10101</v>
      </c>
      <c r="Y831">
        <v>18</v>
      </c>
      <c r="Z831" t="s">
        <v>49</v>
      </c>
      <c r="AA831" s="3">
        <f>X831-Grocery_Inventory_and_Sales_Dat!N831</f>
        <v>9990</v>
      </c>
    </row>
    <row r="832" spans="1:27" x14ac:dyDescent="0.3">
      <c r="A832" t="s">
        <v>2985</v>
      </c>
      <c r="B832" t="s">
        <v>153</v>
      </c>
      <c r="C832" t="s">
        <v>70</v>
      </c>
      <c r="D832" t="s">
        <v>2986</v>
      </c>
      <c r="E832" s="13" t="s">
        <v>2225</v>
      </c>
      <c r="G832" s="2">
        <v>63</v>
      </c>
      <c r="H832">
        <v>41</v>
      </c>
      <c r="I832">
        <v>98</v>
      </c>
      <c r="J832" t="s">
        <v>55</v>
      </c>
      <c r="K832">
        <v>0</v>
      </c>
      <c r="L832" t="s">
        <v>41</v>
      </c>
      <c r="M832" s="12">
        <v>11.9</v>
      </c>
      <c r="N832" s="3">
        <f>G832*M832</f>
        <v>749.7</v>
      </c>
      <c r="O832" s="1">
        <v>45587</v>
      </c>
      <c r="P832" s="1">
        <v>45643</v>
      </c>
      <c r="Q832" s="1">
        <v>45518</v>
      </c>
      <c r="R832">
        <v>492</v>
      </c>
      <c r="S832">
        <v>436</v>
      </c>
      <c r="T832">
        <v>561</v>
      </c>
      <c r="U832" t="str">
        <f t="shared" si="24"/>
        <v>Safe</v>
      </c>
      <c r="V832" t="s">
        <v>2987</v>
      </c>
      <c r="W832">
        <v>37</v>
      </c>
      <c r="X832" s="3">
        <f t="shared" si="25"/>
        <v>27738.9</v>
      </c>
      <c r="Y832">
        <v>7</v>
      </c>
      <c r="Z832" t="s">
        <v>49</v>
      </c>
      <c r="AA832" s="3">
        <f>X832-Grocery_Inventory_and_Sales_Dat!N832</f>
        <v>26989.200000000001</v>
      </c>
    </row>
    <row r="833" spans="1:27" x14ac:dyDescent="0.3">
      <c r="A833" t="s">
        <v>2988</v>
      </c>
      <c r="B833" t="s">
        <v>560</v>
      </c>
      <c r="C833" t="s">
        <v>52</v>
      </c>
      <c r="D833" t="s">
        <v>2989</v>
      </c>
      <c r="E833" s="13" t="s">
        <v>111</v>
      </c>
      <c r="G833" s="2">
        <v>47</v>
      </c>
      <c r="H833">
        <v>67</v>
      </c>
      <c r="I833">
        <v>57</v>
      </c>
      <c r="J833" t="s">
        <v>27</v>
      </c>
      <c r="K833">
        <v>67</v>
      </c>
      <c r="L833" t="s">
        <v>28</v>
      </c>
      <c r="M833" s="12">
        <v>4</v>
      </c>
      <c r="N833" s="3">
        <f>G833*M833</f>
        <v>188</v>
      </c>
      <c r="O833" s="1">
        <v>45394</v>
      </c>
      <c r="P833" s="1">
        <v>45495</v>
      </c>
      <c r="Q833" s="1">
        <v>45711</v>
      </c>
      <c r="R833">
        <v>685</v>
      </c>
      <c r="S833">
        <v>584</v>
      </c>
      <c r="T833">
        <v>368</v>
      </c>
      <c r="U833" t="str">
        <f t="shared" si="24"/>
        <v>Expiring Soon</v>
      </c>
      <c r="V833" t="s">
        <v>2990</v>
      </c>
      <c r="W833">
        <v>36</v>
      </c>
      <c r="X833" s="3">
        <f t="shared" si="25"/>
        <v>6768</v>
      </c>
      <c r="Y833">
        <v>48</v>
      </c>
      <c r="Z833" t="s">
        <v>43</v>
      </c>
      <c r="AA833" s="3">
        <f>X833-Grocery_Inventory_and_Sales_Dat!N833</f>
        <v>6580</v>
      </c>
    </row>
    <row r="834" spans="1:27" x14ac:dyDescent="0.3">
      <c r="A834" t="s">
        <v>2991</v>
      </c>
      <c r="B834" t="s">
        <v>734</v>
      </c>
      <c r="C834" t="s">
        <v>70</v>
      </c>
      <c r="D834" t="s">
        <v>2992</v>
      </c>
      <c r="E834" s="13" t="s">
        <v>740</v>
      </c>
      <c r="G834" s="2">
        <v>42</v>
      </c>
      <c r="H834">
        <v>94</v>
      </c>
      <c r="I834">
        <v>79</v>
      </c>
      <c r="J834" t="s">
        <v>27</v>
      </c>
      <c r="K834">
        <v>94</v>
      </c>
      <c r="L834" t="s">
        <v>28</v>
      </c>
      <c r="M834" s="12">
        <v>2.5</v>
      </c>
      <c r="N834" s="3">
        <f>G834*M834</f>
        <v>105</v>
      </c>
      <c r="O834" s="1">
        <v>45643</v>
      </c>
      <c r="P834" s="1">
        <v>45647</v>
      </c>
      <c r="Q834" s="1">
        <v>45428</v>
      </c>
      <c r="R834">
        <v>436</v>
      </c>
      <c r="S834">
        <v>432</v>
      </c>
      <c r="T834">
        <v>651</v>
      </c>
      <c r="U834" t="str">
        <f t="shared" si="24"/>
        <v>Safe</v>
      </c>
      <c r="V834" t="s">
        <v>2993</v>
      </c>
      <c r="W834">
        <v>61</v>
      </c>
      <c r="X834" s="3">
        <f t="shared" si="25"/>
        <v>6405</v>
      </c>
      <c r="Y834">
        <v>92</v>
      </c>
      <c r="Z834" t="s">
        <v>43</v>
      </c>
      <c r="AA834" s="3">
        <f>X834-Grocery_Inventory_and_Sales_Dat!N834</f>
        <v>6300</v>
      </c>
    </row>
    <row r="835" spans="1:27" x14ac:dyDescent="0.3">
      <c r="A835" t="s">
        <v>2994</v>
      </c>
      <c r="B835" t="s">
        <v>1274</v>
      </c>
      <c r="C835" t="s">
        <v>52</v>
      </c>
      <c r="D835" t="s">
        <v>2995</v>
      </c>
      <c r="E835" s="13" t="s">
        <v>1070</v>
      </c>
      <c r="G835" s="2">
        <v>32</v>
      </c>
      <c r="H835">
        <v>49</v>
      </c>
      <c r="I835">
        <v>73</v>
      </c>
      <c r="J835" t="s">
        <v>27</v>
      </c>
      <c r="K835">
        <v>49</v>
      </c>
      <c r="L835" t="s">
        <v>41</v>
      </c>
      <c r="M835" s="12">
        <v>2.5</v>
      </c>
      <c r="N835" s="3">
        <f>G835*M835</f>
        <v>80</v>
      </c>
      <c r="O835" s="1">
        <v>45450</v>
      </c>
      <c r="P835" s="1">
        <v>45404</v>
      </c>
      <c r="Q835" s="1">
        <v>45439</v>
      </c>
      <c r="R835">
        <v>629</v>
      </c>
      <c r="S835">
        <v>675</v>
      </c>
      <c r="T835">
        <v>640</v>
      </c>
      <c r="U835" t="str">
        <f t="shared" ref="U835:U898" si="26">IF(T835&lt;0,"Expired",IF(T835&lt;=550,"Expiring Soon","Safe"))</f>
        <v>Safe</v>
      </c>
      <c r="V835" t="s">
        <v>2996</v>
      </c>
      <c r="W835">
        <v>80</v>
      </c>
      <c r="X835" s="3">
        <f t="shared" ref="X835:X898" si="27">W835*N835</f>
        <v>6400</v>
      </c>
      <c r="Y835">
        <v>36</v>
      </c>
      <c r="Z835" t="s">
        <v>30</v>
      </c>
      <c r="AA835" s="3">
        <f>X835-Grocery_Inventory_and_Sales_Dat!N835</f>
        <v>6320</v>
      </c>
    </row>
    <row r="836" spans="1:27" x14ac:dyDescent="0.3">
      <c r="A836" t="s">
        <v>2997</v>
      </c>
      <c r="B836" t="s">
        <v>518</v>
      </c>
      <c r="C836" t="s">
        <v>52</v>
      </c>
      <c r="D836" t="s">
        <v>2998</v>
      </c>
      <c r="E836" s="13" t="s">
        <v>816</v>
      </c>
      <c r="G836" s="2">
        <v>88</v>
      </c>
      <c r="H836">
        <v>56</v>
      </c>
      <c r="I836">
        <v>72</v>
      </c>
      <c r="J836" t="s">
        <v>55</v>
      </c>
      <c r="K836">
        <v>0</v>
      </c>
      <c r="L836" t="s">
        <v>41</v>
      </c>
      <c r="M836" s="12">
        <v>2</v>
      </c>
      <c r="N836" s="3">
        <f>G836*M836</f>
        <v>176</v>
      </c>
      <c r="O836" s="1">
        <v>45992</v>
      </c>
      <c r="P836" s="1">
        <v>45630</v>
      </c>
      <c r="Q836" s="1">
        <v>45471</v>
      </c>
      <c r="R836">
        <v>87</v>
      </c>
      <c r="S836">
        <v>449</v>
      </c>
      <c r="T836">
        <v>608</v>
      </c>
      <c r="U836" t="str">
        <f t="shared" si="26"/>
        <v>Safe</v>
      </c>
      <c r="V836" t="s">
        <v>2999</v>
      </c>
      <c r="W836">
        <v>25</v>
      </c>
      <c r="X836" s="3">
        <f t="shared" si="27"/>
        <v>4400</v>
      </c>
      <c r="Y836">
        <v>36</v>
      </c>
      <c r="Z836" t="s">
        <v>49</v>
      </c>
      <c r="AA836" s="3">
        <f>X836-Grocery_Inventory_and_Sales_Dat!N836</f>
        <v>4224</v>
      </c>
    </row>
    <row r="837" spans="1:27" x14ac:dyDescent="0.3">
      <c r="A837" t="s">
        <v>3000</v>
      </c>
      <c r="B837" t="s">
        <v>1224</v>
      </c>
      <c r="C837" t="s">
        <v>70</v>
      </c>
      <c r="D837" t="s">
        <v>3001</v>
      </c>
      <c r="E837" s="13" t="s">
        <v>3002</v>
      </c>
      <c r="G837" s="2">
        <v>80</v>
      </c>
      <c r="H837">
        <v>69</v>
      </c>
      <c r="I837">
        <v>71</v>
      </c>
      <c r="J837" t="s">
        <v>55</v>
      </c>
      <c r="K837">
        <v>0</v>
      </c>
      <c r="L837" t="s">
        <v>41</v>
      </c>
      <c r="M837" s="12">
        <v>1.75</v>
      </c>
      <c r="N837" s="3">
        <f>G837*M837</f>
        <v>140</v>
      </c>
      <c r="O837" s="1">
        <v>45531</v>
      </c>
      <c r="P837" s="1">
        <v>45356</v>
      </c>
      <c r="Q837" s="1">
        <v>45399</v>
      </c>
      <c r="R837">
        <v>548</v>
      </c>
      <c r="S837">
        <v>723</v>
      </c>
      <c r="T837">
        <v>680</v>
      </c>
      <c r="U837" t="str">
        <f t="shared" si="26"/>
        <v>Safe</v>
      </c>
      <c r="V837" t="s">
        <v>3003</v>
      </c>
      <c r="W837">
        <v>41</v>
      </c>
      <c r="X837" s="3">
        <f t="shared" si="27"/>
        <v>5740</v>
      </c>
      <c r="Y837">
        <v>43</v>
      </c>
      <c r="Z837" t="s">
        <v>43</v>
      </c>
      <c r="AA837" s="3">
        <f>X837-Grocery_Inventory_and_Sales_Dat!N837</f>
        <v>5600</v>
      </c>
    </row>
    <row r="838" spans="1:27" x14ac:dyDescent="0.3">
      <c r="A838" t="s">
        <v>3004</v>
      </c>
      <c r="B838" t="s">
        <v>280</v>
      </c>
      <c r="C838" t="s">
        <v>52</v>
      </c>
      <c r="D838" t="s">
        <v>3005</v>
      </c>
      <c r="E838" s="13" t="s">
        <v>1574</v>
      </c>
      <c r="G838" s="2">
        <v>36</v>
      </c>
      <c r="H838">
        <v>59</v>
      </c>
      <c r="I838">
        <v>90</v>
      </c>
      <c r="J838" t="s">
        <v>27</v>
      </c>
      <c r="K838">
        <v>59</v>
      </c>
      <c r="L838" t="s">
        <v>41</v>
      </c>
      <c r="M838" s="12">
        <v>3</v>
      </c>
      <c r="N838" s="3">
        <f>G838*M838</f>
        <v>108</v>
      </c>
      <c r="O838" s="1">
        <v>45511</v>
      </c>
      <c r="P838" s="1">
        <v>45547</v>
      </c>
      <c r="Q838" s="1">
        <v>45607</v>
      </c>
      <c r="R838">
        <v>568</v>
      </c>
      <c r="S838">
        <v>532</v>
      </c>
      <c r="T838">
        <v>472</v>
      </c>
      <c r="U838" t="str">
        <f t="shared" si="26"/>
        <v>Expiring Soon</v>
      </c>
      <c r="V838" t="s">
        <v>3006</v>
      </c>
      <c r="W838">
        <v>25</v>
      </c>
      <c r="X838" s="3">
        <f t="shared" si="27"/>
        <v>2700</v>
      </c>
      <c r="Y838">
        <v>60</v>
      </c>
      <c r="Z838" t="s">
        <v>30</v>
      </c>
      <c r="AA838" s="3">
        <f>X838-Grocery_Inventory_and_Sales_Dat!N838</f>
        <v>2592</v>
      </c>
    </row>
    <row r="839" spans="1:27" x14ac:dyDescent="0.3">
      <c r="A839" t="s">
        <v>3007</v>
      </c>
      <c r="B839" t="s">
        <v>114</v>
      </c>
      <c r="C839" t="s">
        <v>24</v>
      </c>
      <c r="D839" t="s">
        <v>3008</v>
      </c>
      <c r="E839" s="13" t="s">
        <v>319</v>
      </c>
      <c r="G839" s="2">
        <v>11</v>
      </c>
      <c r="H839">
        <v>77</v>
      </c>
      <c r="I839">
        <v>7</v>
      </c>
      <c r="J839" t="s">
        <v>27</v>
      </c>
      <c r="K839">
        <v>77</v>
      </c>
      <c r="L839" t="s">
        <v>28</v>
      </c>
      <c r="M839" s="12">
        <v>1.5</v>
      </c>
      <c r="N839" s="3">
        <f>G839*M839</f>
        <v>16.5</v>
      </c>
      <c r="O839" s="1">
        <v>45591</v>
      </c>
      <c r="P839" s="1">
        <v>45423</v>
      </c>
      <c r="Q839" s="1">
        <v>45483</v>
      </c>
      <c r="R839">
        <v>488</v>
      </c>
      <c r="S839">
        <v>656</v>
      </c>
      <c r="T839">
        <v>596</v>
      </c>
      <c r="U839" t="str">
        <f t="shared" si="26"/>
        <v>Safe</v>
      </c>
      <c r="V839" t="s">
        <v>3009</v>
      </c>
      <c r="W839">
        <v>77</v>
      </c>
      <c r="X839" s="3">
        <f t="shared" si="27"/>
        <v>1270.5</v>
      </c>
      <c r="Y839">
        <v>46</v>
      </c>
      <c r="Z839" t="s">
        <v>43</v>
      </c>
      <c r="AA839" s="3">
        <f>X839-Grocery_Inventory_and_Sales_Dat!N839</f>
        <v>1254</v>
      </c>
    </row>
    <row r="840" spans="1:27" x14ac:dyDescent="0.3">
      <c r="A840" t="s">
        <v>3010</v>
      </c>
      <c r="B840" t="s">
        <v>560</v>
      </c>
      <c r="C840" t="s">
        <v>52</v>
      </c>
      <c r="D840" t="s">
        <v>3011</v>
      </c>
      <c r="E840" s="13" t="s">
        <v>1204</v>
      </c>
      <c r="G840" s="2">
        <v>40</v>
      </c>
      <c r="H840">
        <v>83</v>
      </c>
      <c r="I840">
        <v>50</v>
      </c>
      <c r="J840" t="s">
        <v>27</v>
      </c>
      <c r="K840">
        <v>83</v>
      </c>
      <c r="L840" t="s">
        <v>28</v>
      </c>
      <c r="M840" s="12">
        <v>4</v>
      </c>
      <c r="N840" s="3">
        <f>G840*M840</f>
        <v>160</v>
      </c>
      <c r="O840" s="1">
        <v>45418</v>
      </c>
      <c r="P840" s="1">
        <v>45360</v>
      </c>
      <c r="Q840" s="1">
        <v>45459</v>
      </c>
      <c r="R840">
        <v>661</v>
      </c>
      <c r="S840">
        <v>719</v>
      </c>
      <c r="T840">
        <v>620</v>
      </c>
      <c r="U840" t="str">
        <f t="shared" si="26"/>
        <v>Safe</v>
      </c>
      <c r="V840" t="s">
        <v>3012</v>
      </c>
      <c r="W840">
        <v>92</v>
      </c>
      <c r="X840" s="3">
        <f t="shared" si="27"/>
        <v>14720</v>
      </c>
      <c r="Y840">
        <v>50</v>
      </c>
      <c r="Z840" t="s">
        <v>49</v>
      </c>
      <c r="AA840" s="3">
        <f>X840-Grocery_Inventory_and_Sales_Dat!N840</f>
        <v>14560</v>
      </c>
    </row>
    <row r="841" spans="1:27" x14ac:dyDescent="0.3">
      <c r="A841" t="s">
        <v>3013</v>
      </c>
      <c r="B841" t="s">
        <v>114</v>
      </c>
      <c r="C841" t="s">
        <v>24</v>
      </c>
      <c r="D841" t="s">
        <v>3014</v>
      </c>
      <c r="E841" s="13" t="s">
        <v>2853</v>
      </c>
      <c r="G841" s="2">
        <v>63</v>
      </c>
      <c r="H841">
        <v>43</v>
      </c>
      <c r="I841">
        <v>8</v>
      </c>
      <c r="J841" t="s">
        <v>55</v>
      </c>
      <c r="K841">
        <v>0</v>
      </c>
      <c r="L841" t="s">
        <v>41</v>
      </c>
      <c r="M841" s="12">
        <v>1.5</v>
      </c>
      <c r="N841" s="3">
        <f>G841*M841</f>
        <v>94.5</v>
      </c>
      <c r="O841" s="1">
        <v>45524</v>
      </c>
      <c r="P841" s="1">
        <v>45402</v>
      </c>
      <c r="Q841" s="1">
        <v>45634</v>
      </c>
      <c r="R841">
        <v>555</v>
      </c>
      <c r="S841">
        <v>677</v>
      </c>
      <c r="T841">
        <v>445</v>
      </c>
      <c r="U841" t="str">
        <f t="shared" si="26"/>
        <v>Expiring Soon</v>
      </c>
      <c r="V841" t="s">
        <v>3015</v>
      </c>
      <c r="W841">
        <v>55</v>
      </c>
      <c r="X841" s="3">
        <f t="shared" si="27"/>
        <v>5197.5</v>
      </c>
      <c r="Y841">
        <v>72</v>
      </c>
      <c r="Z841" t="s">
        <v>49</v>
      </c>
      <c r="AA841" s="3">
        <f>X841-Grocery_Inventory_and_Sales_Dat!N841</f>
        <v>5103</v>
      </c>
    </row>
    <row r="842" spans="1:27" x14ac:dyDescent="0.3">
      <c r="A842" t="s">
        <v>3016</v>
      </c>
      <c r="B842" t="s">
        <v>158</v>
      </c>
      <c r="C842" t="s">
        <v>24</v>
      </c>
      <c r="D842" t="s">
        <v>3017</v>
      </c>
      <c r="E842" s="13" t="s">
        <v>2378</v>
      </c>
      <c r="G842" s="2">
        <v>90</v>
      </c>
      <c r="H842">
        <v>75</v>
      </c>
      <c r="I842">
        <v>43</v>
      </c>
      <c r="J842" t="s">
        <v>55</v>
      </c>
      <c r="K842">
        <v>0</v>
      </c>
      <c r="L842" t="s">
        <v>41</v>
      </c>
      <c r="M842" s="12">
        <v>1.5</v>
      </c>
      <c r="N842" s="3">
        <f>G842*M842</f>
        <v>135</v>
      </c>
      <c r="O842" s="1">
        <v>45440</v>
      </c>
      <c r="P842" s="1">
        <v>45553</v>
      </c>
      <c r="Q842" s="1">
        <v>45711</v>
      </c>
      <c r="R842">
        <v>639</v>
      </c>
      <c r="S842">
        <v>526</v>
      </c>
      <c r="T842">
        <v>368</v>
      </c>
      <c r="U842" t="str">
        <f t="shared" si="26"/>
        <v>Expiring Soon</v>
      </c>
      <c r="V842" t="s">
        <v>3018</v>
      </c>
      <c r="W842">
        <v>80</v>
      </c>
      <c r="X842" s="3">
        <f t="shared" si="27"/>
        <v>10800</v>
      </c>
      <c r="Y842">
        <v>57</v>
      </c>
      <c r="Z842" t="s">
        <v>30</v>
      </c>
      <c r="AA842" s="3">
        <f>X842-Grocery_Inventory_and_Sales_Dat!N842</f>
        <v>10665</v>
      </c>
    </row>
    <row r="843" spans="1:27" x14ac:dyDescent="0.3">
      <c r="A843" t="s">
        <v>3019</v>
      </c>
      <c r="B843" t="s">
        <v>249</v>
      </c>
      <c r="C843" t="s">
        <v>95</v>
      </c>
      <c r="D843" t="s">
        <v>3020</v>
      </c>
      <c r="E843" s="13" t="s">
        <v>978</v>
      </c>
      <c r="G843" s="2">
        <v>47</v>
      </c>
      <c r="H843">
        <v>26</v>
      </c>
      <c r="I843">
        <v>40</v>
      </c>
      <c r="J843" t="s">
        <v>55</v>
      </c>
      <c r="K843">
        <v>0</v>
      </c>
      <c r="L843" t="s">
        <v>41</v>
      </c>
      <c r="M843" s="12">
        <v>3.25</v>
      </c>
      <c r="N843" s="3">
        <f>G843*M843</f>
        <v>152.75</v>
      </c>
      <c r="O843" s="1">
        <v>45639</v>
      </c>
      <c r="P843" s="1">
        <v>45992</v>
      </c>
      <c r="Q843" s="1">
        <v>45622</v>
      </c>
      <c r="R843">
        <v>440</v>
      </c>
      <c r="S843">
        <v>87</v>
      </c>
      <c r="T843">
        <v>457</v>
      </c>
      <c r="U843" t="str">
        <f t="shared" si="26"/>
        <v>Expiring Soon</v>
      </c>
      <c r="V843" t="s">
        <v>3021</v>
      </c>
      <c r="W843">
        <v>30</v>
      </c>
      <c r="X843" s="3">
        <f t="shared" si="27"/>
        <v>4582.5</v>
      </c>
      <c r="Y843">
        <v>72</v>
      </c>
      <c r="Z843" t="s">
        <v>49</v>
      </c>
      <c r="AA843" s="3">
        <f>X843-Grocery_Inventory_and_Sales_Dat!N843</f>
        <v>4429.75</v>
      </c>
    </row>
    <row r="844" spans="1:27" x14ac:dyDescent="0.3">
      <c r="A844" t="s">
        <v>3022</v>
      </c>
      <c r="B844" t="s">
        <v>989</v>
      </c>
      <c r="C844" t="s">
        <v>95</v>
      </c>
      <c r="D844" t="s">
        <v>3023</v>
      </c>
      <c r="E844" s="13" t="s">
        <v>1237</v>
      </c>
      <c r="G844" s="2">
        <v>29</v>
      </c>
      <c r="H844">
        <v>2</v>
      </c>
      <c r="I844">
        <v>84</v>
      </c>
      <c r="J844" t="s">
        <v>55</v>
      </c>
      <c r="K844">
        <v>0</v>
      </c>
      <c r="L844" t="s">
        <v>41</v>
      </c>
      <c r="M844" s="12">
        <v>4</v>
      </c>
      <c r="N844" s="3">
        <f>G844*M844</f>
        <v>116</v>
      </c>
      <c r="O844" s="1">
        <v>45372</v>
      </c>
      <c r="P844" s="1">
        <v>45401</v>
      </c>
      <c r="Q844" s="1">
        <v>45560</v>
      </c>
      <c r="R844">
        <v>707</v>
      </c>
      <c r="S844">
        <v>678</v>
      </c>
      <c r="T844">
        <v>519</v>
      </c>
      <c r="U844" t="str">
        <f t="shared" si="26"/>
        <v>Expiring Soon</v>
      </c>
      <c r="V844" t="s">
        <v>3024</v>
      </c>
      <c r="W844">
        <v>80</v>
      </c>
      <c r="X844" s="3">
        <f t="shared" si="27"/>
        <v>9280</v>
      </c>
      <c r="Y844">
        <v>85</v>
      </c>
      <c r="Z844" t="s">
        <v>43</v>
      </c>
      <c r="AA844" s="3">
        <f>X844-Grocery_Inventory_and_Sales_Dat!N844</f>
        <v>9164</v>
      </c>
    </row>
    <row r="845" spans="1:27" x14ac:dyDescent="0.3">
      <c r="A845" t="s">
        <v>3025</v>
      </c>
      <c r="B845" t="s">
        <v>560</v>
      </c>
      <c r="C845" t="s">
        <v>52</v>
      </c>
      <c r="D845" t="s">
        <v>3026</v>
      </c>
      <c r="E845" s="13" t="s">
        <v>2143</v>
      </c>
      <c r="G845" s="2">
        <v>94</v>
      </c>
      <c r="H845">
        <v>69</v>
      </c>
      <c r="I845">
        <v>68</v>
      </c>
      <c r="J845" t="s">
        <v>55</v>
      </c>
      <c r="K845">
        <v>0</v>
      </c>
      <c r="L845" t="s">
        <v>41</v>
      </c>
      <c r="M845" s="12">
        <v>4</v>
      </c>
      <c r="N845" s="3">
        <f>G845*M845</f>
        <v>376</v>
      </c>
      <c r="O845" s="1">
        <v>45511</v>
      </c>
      <c r="P845" s="1">
        <v>45673</v>
      </c>
      <c r="Q845" s="1">
        <v>45701</v>
      </c>
      <c r="R845">
        <v>568</v>
      </c>
      <c r="S845">
        <v>406</v>
      </c>
      <c r="T845">
        <v>378</v>
      </c>
      <c r="U845" t="str">
        <f t="shared" si="26"/>
        <v>Expiring Soon</v>
      </c>
      <c r="V845" t="s">
        <v>3027</v>
      </c>
      <c r="W845">
        <v>24</v>
      </c>
      <c r="X845" s="3">
        <f t="shared" si="27"/>
        <v>9024</v>
      </c>
      <c r="Y845">
        <v>20</v>
      </c>
      <c r="Z845" t="s">
        <v>30</v>
      </c>
      <c r="AA845" s="3">
        <f>X845-Grocery_Inventory_and_Sales_Dat!N845</f>
        <v>8648</v>
      </c>
    </row>
    <row r="846" spans="1:27" x14ac:dyDescent="0.3">
      <c r="A846" t="s">
        <v>3028</v>
      </c>
      <c r="B846" t="s">
        <v>230</v>
      </c>
      <c r="C846" t="s">
        <v>52</v>
      </c>
      <c r="D846" t="s">
        <v>3029</v>
      </c>
      <c r="E846" s="13" t="s">
        <v>388</v>
      </c>
      <c r="G846" s="2">
        <v>32</v>
      </c>
      <c r="H846">
        <v>63</v>
      </c>
      <c r="I846">
        <v>92</v>
      </c>
      <c r="J846" t="s">
        <v>27</v>
      </c>
      <c r="K846">
        <v>63</v>
      </c>
      <c r="L846" t="s">
        <v>28</v>
      </c>
      <c r="M846" s="12">
        <v>4.9000000000000004</v>
      </c>
      <c r="N846" s="3">
        <f>G846*M846</f>
        <v>156.80000000000001</v>
      </c>
      <c r="O846" s="1">
        <v>45613</v>
      </c>
      <c r="P846" s="1">
        <v>45498</v>
      </c>
      <c r="Q846" s="1">
        <v>45605</v>
      </c>
      <c r="R846">
        <v>466</v>
      </c>
      <c r="S846">
        <v>581</v>
      </c>
      <c r="T846">
        <v>474</v>
      </c>
      <c r="U846" t="str">
        <f t="shared" si="26"/>
        <v>Expiring Soon</v>
      </c>
      <c r="V846" t="s">
        <v>3030</v>
      </c>
      <c r="W846">
        <v>84</v>
      </c>
      <c r="X846" s="3">
        <f t="shared" si="27"/>
        <v>13171.2</v>
      </c>
      <c r="Y846">
        <v>34</v>
      </c>
      <c r="Z846" t="s">
        <v>30</v>
      </c>
      <c r="AA846" s="3">
        <f>X846-Grocery_Inventory_and_Sales_Dat!N846</f>
        <v>13014.400000000001</v>
      </c>
    </row>
    <row r="847" spans="1:27" x14ac:dyDescent="0.3">
      <c r="A847" t="s">
        <v>3031</v>
      </c>
      <c r="B847" t="s">
        <v>51</v>
      </c>
      <c r="C847" t="s">
        <v>52</v>
      </c>
      <c r="D847" t="s">
        <v>3032</v>
      </c>
      <c r="E847" s="13" t="s">
        <v>1289</v>
      </c>
      <c r="G847" s="2">
        <v>40</v>
      </c>
      <c r="H847">
        <v>3</v>
      </c>
      <c r="I847">
        <v>5</v>
      </c>
      <c r="J847" t="s">
        <v>55</v>
      </c>
      <c r="K847">
        <v>0</v>
      </c>
      <c r="L847" t="s">
        <v>41</v>
      </c>
      <c r="M847" s="12">
        <v>4</v>
      </c>
      <c r="N847" s="3">
        <f>G847*M847</f>
        <v>160</v>
      </c>
      <c r="O847" s="1">
        <v>45385</v>
      </c>
      <c r="P847" s="1">
        <v>45458</v>
      </c>
      <c r="Q847" s="1">
        <v>45467</v>
      </c>
      <c r="R847">
        <v>694</v>
      </c>
      <c r="S847">
        <v>621</v>
      </c>
      <c r="T847">
        <v>612</v>
      </c>
      <c r="U847" t="str">
        <f t="shared" si="26"/>
        <v>Safe</v>
      </c>
      <c r="V847" t="s">
        <v>3033</v>
      </c>
      <c r="W847">
        <v>45</v>
      </c>
      <c r="X847" s="3">
        <f t="shared" si="27"/>
        <v>7200</v>
      </c>
      <c r="Y847">
        <v>69</v>
      </c>
      <c r="Z847" t="s">
        <v>30</v>
      </c>
      <c r="AA847" s="3">
        <f>X847-Grocery_Inventory_and_Sales_Dat!N847</f>
        <v>7040</v>
      </c>
    </row>
    <row r="848" spans="1:27" x14ac:dyDescent="0.3">
      <c r="A848" t="s">
        <v>3034</v>
      </c>
      <c r="B848" t="s">
        <v>69</v>
      </c>
      <c r="C848" t="s">
        <v>70</v>
      </c>
      <c r="D848" t="s">
        <v>3035</v>
      </c>
      <c r="E848" s="13" t="s">
        <v>1467</v>
      </c>
      <c r="G848" s="2">
        <v>50</v>
      </c>
      <c r="H848">
        <v>66</v>
      </c>
      <c r="I848">
        <v>1</v>
      </c>
      <c r="J848" t="s">
        <v>27</v>
      </c>
      <c r="K848">
        <v>66</v>
      </c>
      <c r="L848" t="s">
        <v>28</v>
      </c>
      <c r="M848" s="12">
        <v>2.5</v>
      </c>
      <c r="N848" s="3">
        <f>G848*M848</f>
        <v>125</v>
      </c>
      <c r="O848" s="1">
        <v>45587</v>
      </c>
      <c r="P848" s="1">
        <v>45485</v>
      </c>
      <c r="Q848" s="1">
        <v>45692</v>
      </c>
      <c r="R848">
        <v>492</v>
      </c>
      <c r="S848">
        <v>594</v>
      </c>
      <c r="T848">
        <v>387</v>
      </c>
      <c r="U848" t="str">
        <f t="shared" si="26"/>
        <v>Expiring Soon</v>
      </c>
      <c r="V848" t="s">
        <v>3036</v>
      </c>
      <c r="W848">
        <v>76</v>
      </c>
      <c r="X848" s="3">
        <f t="shared" si="27"/>
        <v>9500</v>
      </c>
      <c r="Y848">
        <v>73</v>
      </c>
      <c r="Z848" t="s">
        <v>49</v>
      </c>
      <c r="AA848" s="3">
        <f>X848-Grocery_Inventory_and_Sales_Dat!N848</f>
        <v>9375</v>
      </c>
    </row>
    <row r="849" spans="1:27" x14ac:dyDescent="0.3">
      <c r="A849" t="s">
        <v>3037</v>
      </c>
      <c r="B849" t="s">
        <v>538</v>
      </c>
      <c r="C849" t="s">
        <v>138</v>
      </c>
      <c r="D849" t="s">
        <v>3038</v>
      </c>
      <c r="E849" s="13" t="s">
        <v>1679</v>
      </c>
      <c r="G849" s="2">
        <v>72</v>
      </c>
      <c r="H849">
        <v>29</v>
      </c>
      <c r="I849">
        <v>10</v>
      </c>
      <c r="J849" t="s">
        <v>55</v>
      </c>
      <c r="K849">
        <v>0</v>
      </c>
      <c r="L849" t="s">
        <v>41</v>
      </c>
      <c r="M849" s="12">
        <v>8</v>
      </c>
      <c r="N849" s="3">
        <f>G849*M849</f>
        <v>576</v>
      </c>
      <c r="O849" s="1">
        <v>45446</v>
      </c>
      <c r="P849" s="1">
        <v>45477</v>
      </c>
      <c r="Q849" s="1">
        <v>45375</v>
      </c>
      <c r="R849">
        <v>633</v>
      </c>
      <c r="S849">
        <v>602</v>
      </c>
      <c r="T849">
        <v>704</v>
      </c>
      <c r="U849" t="str">
        <f t="shared" si="26"/>
        <v>Safe</v>
      </c>
      <c r="V849" t="s">
        <v>3039</v>
      </c>
      <c r="W849">
        <v>54</v>
      </c>
      <c r="X849" s="3">
        <f t="shared" si="27"/>
        <v>31104</v>
      </c>
      <c r="Y849">
        <v>38</v>
      </c>
      <c r="Z849" t="s">
        <v>30</v>
      </c>
      <c r="AA849" s="3">
        <f>X849-Grocery_Inventory_and_Sales_Dat!N849</f>
        <v>30528</v>
      </c>
    </row>
    <row r="850" spans="1:27" x14ac:dyDescent="0.3">
      <c r="A850" t="s">
        <v>3040</v>
      </c>
      <c r="B850" t="s">
        <v>551</v>
      </c>
      <c r="C850" t="s">
        <v>52</v>
      </c>
      <c r="D850" t="s">
        <v>3041</v>
      </c>
      <c r="E850" s="13" t="s">
        <v>400</v>
      </c>
      <c r="G850" s="2">
        <v>22</v>
      </c>
      <c r="H850">
        <v>35</v>
      </c>
      <c r="I850">
        <v>55</v>
      </c>
      <c r="J850" t="s">
        <v>27</v>
      </c>
      <c r="K850">
        <v>35</v>
      </c>
      <c r="L850" t="s">
        <v>41</v>
      </c>
      <c r="M850" s="12">
        <v>6</v>
      </c>
      <c r="N850" s="3">
        <f>G850*M850</f>
        <v>132</v>
      </c>
      <c r="O850" s="1">
        <v>45534</v>
      </c>
      <c r="P850" s="1">
        <v>45531</v>
      </c>
      <c r="Q850" s="1">
        <v>45591</v>
      </c>
      <c r="R850">
        <v>545</v>
      </c>
      <c r="S850">
        <v>548</v>
      </c>
      <c r="T850">
        <v>488</v>
      </c>
      <c r="U850" t="str">
        <f t="shared" si="26"/>
        <v>Expiring Soon</v>
      </c>
      <c r="V850" t="s">
        <v>3042</v>
      </c>
      <c r="W850">
        <v>41</v>
      </c>
      <c r="X850" s="3">
        <f t="shared" si="27"/>
        <v>5412</v>
      </c>
      <c r="Y850">
        <v>27</v>
      </c>
      <c r="Z850" t="s">
        <v>49</v>
      </c>
      <c r="AA850" s="3">
        <f>X850-Grocery_Inventory_and_Sales_Dat!N850</f>
        <v>5280</v>
      </c>
    </row>
    <row r="851" spans="1:27" x14ac:dyDescent="0.3">
      <c r="A851" t="s">
        <v>3043</v>
      </c>
      <c r="B851" t="s">
        <v>451</v>
      </c>
      <c r="C851" t="s">
        <v>95</v>
      </c>
      <c r="D851" t="s">
        <v>3044</v>
      </c>
      <c r="E851" s="13" t="s">
        <v>1456</v>
      </c>
      <c r="G851" s="2">
        <v>23</v>
      </c>
      <c r="H851">
        <v>76</v>
      </c>
      <c r="I851">
        <v>70</v>
      </c>
      <c r="J851" t="s">
        <v>27</v>
      </c>
      <c r="K851">
        <v>76</v>
      </c>
      <c r="L851" t="s">
        <v>28</v>
      </c>
      <c r="M851" s="12">
        <v>5</v>
      </c>
      <c r="N851" s="3">
        <f>G851*M851</f>
        <v>115</v>
      </c>
      <c r="O851" s="1">
        <v>45839</v>
      </c>
      <c r="P851" s="1">
        <v>45554</v>
      </c>
      <c r="Q851" s="1">
        <v>45536</v>
      </c>
      <c r="R851">
        <v>240</v>
      </c>
      <c r="S851">
        <v>525</v>
      </c>
      <c r="T851">
        <v>543</v>
      </c>
      <c r="U851" t="str">
        <f t="shared" si="26"/>
        <v>Expiring Soon</v>
      </c>
      <c r="V851" t="s">
        <v>3045</v>
      </c>
      <c r="W851">
        <v>97</v>
      </c>
      <c r="X851" s="3">
        <f t="shared" si="27"/>
        <v>11155</v>
      </c>
      <c r="Y851">
        <v>38</v>
      </c>
      <c r="Z851" t="s">
        <v>43</v>
      </c>
      <c r="AA851" s="3">
        <f>X851-Grocery_Inventory_and_Sales_Dat!N851</f>
        <v>11040</v>
      </c>
    </row>
    <row r="852" spans="1:27" x14ac:dyDescent="0.3">
      <c r="A852" t="s">
        <v>3046</v>
      </c>
      <c r="B852" t="s">
        <v>1172</v>
      </c>
      <c r="C852" t="s">
        <v>138</v>
      </c>
      <c r="D852" t="s">
        <v>3047</v>
      </c>
      <c r="E852" s="13" t="s">
        <v>1341</v>
      </c>
      <c r="G852" s="2">
        <v>35</v>
      </c>
      <c r="H852">
        <v>72</v>
      </c>
      <c r="I852">
        <v>70</v>
      </c>
      <c r="J852" t="s">
        <v>27</v>
      </c>
      <c r="K852">
        <v>72</v>
      </c>
      <c r="L852" t="s">
        <v>28</v>
      </c>
      <c r="M852" s="12">
        <v>20</v>
      </c>
      <c r="N852" s="3">
        <f>G852*M852</f>
        <v>700</v>
      </c>
      <c r="O852" s="1">
        <v>45399</v>
      </c>
      <c r="P852" s="1">
        <v>45386</v>
      </c>
      <c r="Q852" s="1">
        <v>45698</v>
      </c>
      <c r="R852">
        <v>680</v>
      </c>
      <c r="S852">
        <v>693</v>
      </c>
      <c r="T852">
        <v>381</v>
      </c>
      <c r="U852" t="str">
        <f t="shared" si="26"/>
        <v>Expiring Soon</v>
      </c>
      <c r="V852" t="s">
        <v>3048</v>
      </c>
      <c r="W852">
        <v>74</v>
      </c>
      <c r="X852" s="3">
        <f t="shared" si="27"/>
        <v>51800</v>
      </c>
      <c r="Y852">
        <v>15</v>
      </c>
      <c r="Z852" t="s">
        <v>43</v>
      </c>
      <c r="AA852" s="3">
        <f>X852-Grocery_Inventory_and_Sales_Dat!N852</f>
        <v>51100</v>
      </c>
    </row>
    <row r="853" spans="1:27" x14ac:dyDescent="0.3">
      <c r="A853" t="s">
        <v>3049</v>
      </c>
      <c r="B853" t="s">
        <v>182</v>
      </c>
      <c r="C853" t="s">
        <v>52</v>
      </c>
      <c r="D853" t="s">
        <v>3050</v>
      </c>
      <c r="E853" s="13" t="s">
        <v>1706</v>
      </c>
      <c r="G853" s="2">
        <v>12</v>
      </c>
      <c r="H853">
        <v>93</v>
      </c>
      <c r="I853">
        <v>29</v>
      </c>
      <c r="J853" t="s">
        <v>27</v>
      </c>
      <c r="K853">
        <v>93</v>
      </c>
      <c r="L853" t="s">
        <v>28</v>
      </c>
      <c r="M853" s="12">
        <v>1.75</v>
      </c>
      <c r="N853" s="3">
        <f>G853*M853</f>
        <v>21</v>
      </c>
      <c r="O853" s="1">
        <v>45708</v>
      </c>
      <c r="P853" s="1">
        <v>45455</v>
      </c>
      <c r="Q853" s="1">
        <v>45519</v>
      </c>
      <c r="R853">
        <v>371</v>
      </c>
      <c r="S853">
        <v>624</v>
      </c>
      <c r="T853">
        <v>560</v>
      </c>
      <c r="U853" t="str">
        <f t="shared" si="26"/>
        <v>Safe</v>
      </c>
      <c r="V853" t="s">
        <v>3051</v>
      </c>
      <c r="W853">
        <v>45</v>
      </c>
      <c r="X853" s="3">
        <f t="shared" si="27"/>
        <v>945</v>
      </c>
      <c r="Y853">
        <v>12</v>
      </c>
      <c r="Z853" t="s">
        <v>43</v>
      </c>
      <c r="AA853" s="3">
        <f>X853-Grocery_Inventory_and_Sales_Dat!N853</f>
        <v>924</v>
      </c>
    </row>
    <row r="854" spans="1:27" x14ac:dyDescent="0.3">
      <c r="A854" t="s">
        <v>3052</v>
      </c>
      <c r="B854" t="s">
        <v>725</v>
      </c>
      <c r="C854" t="s">
        <v>70</v>
      </c>
      <c r="D854" t="s">
        <v>3053</v>
      </c>
      <c r="E854" s="13" t="s">
        <v>1084</v>
      </c>
      <c r="G854" s="2">
        <v>86</v>
      </c>
      <c r="H854">
        <v>23</v>
      </c>
      <c r="I854">
        <v>1</v>
      </c>
      <c r="J854" t="s">
        <v>55</v>
      </c>
      <c r="K854">
        <v>0</v>
      </c>
      <c r="L854" t="s">
        <v>41</v>
      </c>
      <c r="M854" s="12">
        <v>9</v>
      </c>
      <c r="N854" s="3">
        <f>G854*M854</f>
        <v>774</v>
      </c>
      <c r="O854" s="1">
        <v>45463</v>
      </c>
      <c r="P854" s="1">
        <v>45431</v>
      </c>
      <c r="Q854" s="1">
        <v>45374</v>
      </c>
      <c r="R854">
        <v>616</v>
      </c>
      <c r="S854">
        <v>648</v>
      </c>
      <c r="T854">
        <v>705</v>
      </c>
      <c r="U854" t="str">
        <f t="shared" si="26"/>
        <v>Safe</v>
      </c>
      <c r="V854" t="s">
        <v>3054</v>
      </c>
      <c r="W854">
        <v>100</v>
      </c>
      <c r="X854" s="3">
        <f t="shared" si="27"/>
        <v>77400</v>
      </c>
      <c r="Y854">
        <v>86</v>
      </c>
      <c r="Z854" t="s">
        <v>43</v>
      </c>
      <c r="AA854" s="3">
        <f>X854-Grocery_Inventory_and_Sales_Dat!N854</f>
        <v>76626</v>
      </c>
    </row>
    <row r="855" spans="1:27" x14ac:dyDescent="0.3">
      <c r="A855" t="s">
        <v>3055</v>
      </c>
      <c r="B855" t="s">
        <v>1048</v>
      </c>
      <c r="C855" t="s">
        <v>138</v>
      </c>
      <c r="D855" t="s">
        <v>3056</v>
      </c>
      <c r="E855" s="13" t="s">
        <v>495</v>
      </c>
      <c r="G855" s="2">
        <v>91</v>
      </c>
      <c r="H855">
        <v>96</v>
      </c>
      <c r="I855">
        <v>90</v>
      </c>
      <c r="J855" t="s">
        <v>27</v>
      </c>
      <c r="K855">
        <v>96</v>
      </c>
      <c r="L855" t="s">
        <v>28</v>
      </c>
      <c r="M855" s="12">
        <v>7.5</v>
      </c>
      <c r="N855" s="3">
        <f>G855*M855</f>
        <v>682.5</v>
      </c>
      <c r="O855" s="1">
        <v>45702</v>
      </c>
      <c r="P855" s="1">
        <v>45604</v>
      </c>
      <c r="Q855" s="1">
        <v>45650</v>
      </c>
      <c r="R855">
        <v>377</v>
      </c>
      <c r="S855">
        <v>475</v>
      </c>
      <c r="T855">
        <v>429</v>
      </c>
      <c r="U855" t="str">
        <f t="shared" si="26"/>
        <v>Expiring Soon</v>
      </c>
      <c r="V855" t="s">
        <v>3057</v>
      </c>
      <c r="W855">
        <v>90</v>
      </c>
      <c r="X855" s="3">
        <f t="shared" si="27"/>
        <v>61425</v>
      </c>
      <c r="Y855">
        <v>75</v>
      </c>
      <c r="Z855" t="s">
        <v>43</v>
      </c>
      <c r="AA855" s="3">
        <f>X855-Grocery_Inventory_and_Sales_Dat!N855</f>
        <v>60742.5</v>
      </c>
    </row>
    <row r="856" spans="1:27" x14ac:dyDescent="0.3">
      <c r="A856" t="s">
        <v>3058</v>
      </c>
      <c r="B856" t="s">
        <v>1198</v>
      </c>
      <c r="C856" t="s">
        <v>70</v>
      </c>
      <c r="D856" t="s">
        <v>3059</v>
      </c>
      <c r="E856" s="13" t="s">
        <v>1991</v>
      </c>
      <c r="G856" s="2">
        <v>23</v>
      </c>
      <c r="H856">
        <v>99</v>
      </c>
      <c r="I856">
        <v>97</v>
      </c>
      <c r="J856" t="s">
        <v>27</v>
      </c>
      <c r="K856">
        <v>99</v>
      </c>
      <c r="L856" t="s">
        <v>28</v>
      </c>
      <c r="M856" s="12">
        <v>2</v>
      </c>
      <c r="N856" s="3">
        <f>G856*M856</f>
        <v>46</v>
      </c>
      <c r="O856" s="1">
        <v>45541</v>
      </c>
      <c r="P856" s="1">
        <v>45447</v>
      </c>
      <c r="Q856" s="1">
        <v>45392</v>
      </c>
      <c r="R856">
        <v>538</v>
      </c>
      <c r="S856">
        <v>632</v>
      </c>
      <c r="T856">
        <v>687</v>
      </c>
      <c r="U856" t="str">
        <f t="shared" si="26"/>
        <v>Safe</v>
      </c>
      <c r="V856" t="s">
        <v>3060</v>
      </c>
      <c r="W856">
        <v>68</v>
      </c>
      <c r="X856" s="3">
        <f t="shared" si="27"/>
        <v>3128</v>
      </c>
      <c r="Y856">
        <v>76</v>
      </c>
      <c r="Z856" t="s">
        <v>30</v>
      </c>
      <c r="AA856" s="3">
        <f>X856-Grocery_Inventory_and_Sales_Dat!N856</f>
        <v>3082</v>
      </c>
    </row>
    <row r="857" spans="1:27" x14ac:dyDescent="0.3">
      <c r="A857" t="s">
        <v>3061</v>
      </c>
      <c r="B857" t="s">
        <v>207</v>
      </c>
      <c r="C857" t="s">
        <v>52</v>
      </c>
      <c r="D857" t="s">
        <v>3062</v>
      </c>
      <c r="E857" s="13" t="s">
        <v>384</v>
      </c>
      <c r="G857" s="2">
        <v>98</v>
      </c>
      <c r="H857">
        <v>40</v>
      </c>
      <c r="I857">
        <v>100</v>
      </c>
      <c r="J857" t="s">
        <v>55</v>
      </c>
      <c r="K857">
        <v>0</v>
      </c>
      <c r="L857" t="s">
        <v>41</v>
      </c>
      <c r="M857" s="12">
        <v>2</v>
      </c>
      <c r="N857" s="3">
        <f>G857*M857</f>
        <v>196</v>
      </c>
      <c r="O857" s="1">
        <v>45718</v>
      </c>
      <c r="P857" s="1">
        <v>45595</v>
      </c>
      <c r="Q857" s="1">
        <v>45645</v>
      </c>
      <c r="R857">
        <v>361</v>
      </c>
      <c r="S857">
        <v>484</v>
      </c>
      <c r="T857">
        <v>434</v>
      </c>
      <c r="U857" t="str">
        <f t="shared" si="26"/>
        <v>Expiring Soon</v>
      </c>
      <c r="V857" t="s">
        <v>3063</v>
      </c>
      <c r="W857">
        <v>46</v>
      </c>
      <c r="X857" s="3">
        <f t="shared" si="27"/>
        <v>9016</v>
      </c>
      <c r="Y857">
        <v>9</v>
      </c>
      <c r="Z857" t="s">
        <v>49</v>
      </c>
      <c r="AA857" s="3">
        <f>X857-Grocery_Inventory_and_Sales_Dat!N857</f>
        <v>8820</v>
      </c>
    </row>
    <row r="858" spans="1:27" x14ac:dyDescent="0.3">
      <c r="A858" t="s">
        <v>3064</v>
      </c>
      <c r="B858" t="s">
        <v>2263</v>
      </c>
      <c r="C858" t="s">
        <v>52</v>
      </c>
      <c r="D858" t="s">
        <v>3065</v>
      </c>
      <c r="E858" s="13" t="s">
        <v>101</v>
      </c>
      <c r="G858" s="2">
        <v>29</v>
      </c>
      <c r="H858">
        <v>66</v>
      </c>
      <c r="I858">
        <v>21</v>
      </c>
      <c r="J858" t="s">
        <v>27</v>
      </c>
      <c r="K858">
        <v>66</v>
      </c>
      <c r="L858" t="s">
        <v>28</v>
      </c>
      <c r="M858" s="12">
        <v>8</v>
      </c>
      <c r="N858" s="3">
        <f>G858*M858</f>
        <v>232</v>
      </c>
      <c r="O858" s="1">
        <v>45594</v>
      </c>
      <c r="P858" s="1">
        <v>45603</v>
      </c>
      <c r="Q858" s="1">
        <v>45603</v>
      </c>
      <c r="R858">
        <v>485</v>
      </c>
      <c r="S858">
        <v>476</v>
      </c>
      <c r="T858">
        <v>476</v>
      </c>
      <c r="U858" t="str">
        <f t="shared" si="26"/>
        <v>Expiring Soon</v>
      </c>
      <c r="V858" t="s">
        <v>3066</v>
      </c>
      <c r="W858">
        <v>74</v>
      </c>
      <c r="X858" s="3">
        <f t="shared" si="27"/>
        <v>17168</v>
      </c>
      <c r="Y858">
        <v>93</v>
      </c>
      <c r="Z858" t="s">
        <v>30</v>
      </c>
      <c r="AA858" s="3">
        <f>X858-Grocery_Inventory_and_Sales_Dat!N858</f>
        <v>16936</v>
      </c>
    </row>
    <row r="859" spans="1:27" x14ac:dyDescent="0.3">
      <c r="A859" t="s">
        <v>3067</v>
      </c>
      <c r="B859" t="s">
        <v>534</v>
      </c>
      <c r="C859" t="s">
        <v>52</v>
      </c>
      <c r="D859" t="s">
        <v>3068</v>
      </c>
      <c r="E859" s="13" t="s">
        <v>3069</v>
      </c>
      <c r="G859" s="2">
        <v>32</v>
      </c>
      <c r="H859">
        <v>27</v>
      </c>
      <c r="I859">
        <v>26</v>
      </c>
      <c r="J859" t="s">
        <v>55</v>
      </c>
      <c r="K859">
        <v>0</v>
      </c>
      <c r="L859" t="s">
        <v>41</v>
      </c>
      <c r="M859" s="12">
        <v>5</v>
      </c>
      <c r="N859" s="3">
        <f>G859*M859</f>
        <v>160</v>
      </c>
      <c r="O859" s="1">
        <v>45442</v>
      </c>
      <c r="P859" s="1">
        <v>45616</v>
      </c>
      <c r="Q859" s="1">
        <v>45671</v>
      </c>
      <c r="R859">
        <v>637</v>
      </c>
      <c r="S859">
        <v>463</v>
      </c>
      <c r="T859">
        <v>408</v>
      </c>
      <c r="U859" t="str">
        <f t="shared" si="26"/>
        <v>Expiring Soon</v>
      </c>
      <c r="V859" t="s">
        <v>3070</v>
      </c>
      <c r="W859">
        <v>38</v>
      </c>
      <c r="X859" s="3">
        <f t="shared" si="27"/>
        <v>6080</v>
      </c>
      <c r="Y859">
        <v>79</v>
      </c>
      <c r="Z859" t="s">
        <v>43</v>
      </c>
      <c r="AA859" s="3">
        <f>X859-Grocery_Inventory_and_Sales_Dat!N859</f>
        <v>5920</v>
      </c>
    </row>
    <row r="860" spans="1:27" x14ac:dyDescent="0.3">
      <c r="A860" t="s">
        <v>3071</v>
      </c>
      <c r="B860" t="s">
        <v>177</v>
      </c>
      <c r="C860" t="s">
        <v>52</v>
      </c>
      <c r="D860" t="s">
        <v>3072</v>
      </c>
      <c r="E860" s="13" t="s">
        <v>1001</v>
      </c>
      <c r="G860" s="2">
        <v>84</v>
      </c>
      <c r="H860">
        <v>74</v>
      </c>
      <c r="I860">
        <v>48</v>
      </c>
      <c r="J860" t="s">
        <v>55</v>
      </c>
      <c r="K860">
        <v>0</v>
      </c>
      <c r="L860" t="s">
        <v>41</v>
      </c>
      <c r="M860" s="12">
        <v>4.5</v>
      </c>
      <c r="N860" s="3">
        <f>G860*M860</f>
        <v>378</v>
      </c>
      <c r="O860" s="1">
        <v>45650</v>
      </c>
      <c r="P860" s="1">
        <v>45582</v>
      </c>
      <c r="Q860" s="1">
        <v>45436</v>
      </c>
      <c r="R860">
        <v>429</v>
      </c>
      <c r="S860">
        <v>497</v>
      </c>
      <c r="T860">
        <v>643</v>
      </c>
      <c r="U860" t="str">
        <f t="shared" si="26"/>
        <v>Safe</v>
      </c>
      <c r="V860" t="s">
        <v>3073</v>
      </c>
      <c r="W860">
        <v>64</v>
      </c>
      <c r="X860" s="3">
        <f t="shared" si="27"/>
        <v>24192</v>
      </c>
      <c r="Y860">
        <v>32</v>
      </c>
      <c r="Z860" t="s">
        <v>43</v>
      </c>
      <c r="AA860" s="3">
        <f>X860-Grocery_Inventory_and_Sales_Dat!N860</f>
        <v>23814</v>
      </c>
    </row>
    <row r="861" spans="1:27" x14ac:dyDescent="0.3">
      <c r="A861" t="s">
        <v>3074</v>
      </c>
      <c r="B861" t="s">
        <v>1224</v>
      </c>
      <c r="C861" t="s">
        <v>70</v>
      </c>
      <c r="D861" t="s">
        <v>3075</v>
      </c>
      <c r="E861" s="13" t="s">
        <v>624</v>
      </c>
      <c r="G861" s="2">
        <v>86</v>
      </c>
      <c r="H861">
        <v>20</v>
      </c>
      <c r="I861">
        <v>67</v>
      </c>
      <c r="J861" t="s">
        <v>55</v>
      </c>
      <c r="K861">
        <v>0</v>
      </c>
      <c r="L861" t="s">
        <v>41</v>
      </c>
      <c r="M861" s="12">
        <v>1.75</v>
      </c>
      <c r="N861" s="3">
        <f>G861*M861</f>
        <v>150.5</v>
      </c>
      <c r="O861" s="1">
        <v>45993</v>
      </c>
      <c r="P861" s="1">
        <v>45480</v>
      </c>
      <c r="Q861" s="1">
        <v>45507</v>
      </c>
      <c r="R861">
        <v>86</v>
      </c>
      <c r="S861">
        <v>599</v>
      </c>
      <c r="T861">
        <v>572</v>
      </c>
      <c r="U861" t="str">
        <f t="shared" si="26"/>
        <v>Safe</v>
      </c>
      <c r="V861" t="s">
        <v>3076</v>
      </c>
      <c r="W861">
        <v>83</v>
      </c>
      <c r="X861" s="3">
        <f t="shared" si="27"/>
        <v>12491.5</v>
      </c>
      <c r="Y861">
        <v>82</v>
      </c>
      <c r="Z861" t="s">
        <v>30</v>
      </c>
      <c r="AA861" s="3">
        <f>X861-Grocery_Inventory_and_Sales_Dat!N861</f>
        <v>12341</v>
      </c>
    </row>
    <row r="862" spans="1:27" x14ac:dyDescent="0.3">
      <c r="A862" t="s">
        <v>3077</v>
      </c>
      <c r="B862" t="s">
        <v>38</v>
      </c>
      <c r="C862" t="s">
        <v>24</v>
      </c>
      <c r="D862" t="s">
        <v>3078</v>
      </c>
      <c r="E862" s="13" t="s">
        <v>2872</v>
      </c>
      <c r="G862" s="2">
        <v>11</v>
      </c>
      <c r="H862">
        <v>58</v>
      </c>
      <c r="I862">
        <v>26</v>
      </c>
      <c r="J862" t="s">
        <v>27</v>
      </c>
      <c r="K862">
        <v>58</v>
      </c>
      <c r="L862" t="s">
        <v>41</v>
      </c>
      <c r="M862" s="12">
        <v>6.2</v>
      </c>
      <c r="N862" s="3">
        <f>G862*M862</f>
        <v>68.2</v>
      </c>
      <c r="O862" s="1">
        <v>45449</v>
      </c>
      <c r="P862" s="1">
        <v>45363</v>
      </c>
      <c r="Q862" s="1">
        <v>45481</v>
      </c>
      <c r="R862">
        <v>630</v>
      </c>
      <c r="S862">
        <v>716</v>
      </c>
      <c r="T862">
        <v>598</v>
      </c>
      <c r="U862" t="str">
        <f t="shared" si="26"/>
        <v>Safe</v>
      </c>
      <c r="V862" t="s">
        <v>3079</v>
      </c>
      <c r="W862">
        <v>49</v>
      </c>
      <c r="X862" s="3">
        <f t="shared" si="27"/>
        <v>3341.8</v>
      </c>
      <c r="Y862">
        <v>34</v>
      </c>
      <c r="Z862" t="s">
        <v>49</v>
      </c>
      <c r="AA862" s="3">
        <f>X862-Grocery_Inventory_and_Sales_Dat!N862</f>
        <v>3273.6000000000004</v>
      </c>
    </row>
    <row r="863" spans="1:27" x14ac:dyDescent="0.3">
      <c r="A863" t="s">
        <v>3080</v>
      </c>
      <c r="B863" t="s">
        <v>777</v>
      </c>
      <c r="C863" t="s">
        <v>24</v>
      </c>
      <c r="D863" t="s">
        <v>3081</v>
      </c>
      <c r="E863" s="13" t="s">
        <v>913</v>
      </c>
      <c r="G863" s="2">
        <v>60</v>
      </c>
      <c r="H863">
        <v>69</v>
      </c>
      <c r="I863">
        <v>64</v>
      </c>
      <c r="J863" t="s">
        <v>27</v>
      </c>
      <c r="K863">
        <v>69</v>
      </c>
      <c r="L863" t="s">
        <v>28</v>
      </c>
      <c r="M863" s="12">
        <v>2.75</v>
      </c>
      <c r="N863" s="3">
        <f>G863*M863</f>
        <v>165</v>
      </c>
      <c r="O863" s="1">
        <v>45711</v>
      </c>
      <c r="P863" s="1">
        <v>45538</v>
      </c>
      <c r="Q863" s="1">
        <v>45659</v>
      </c>
      <c r="R863">
        <v>368</v>
      </c>
      <c r="S863">
        <v>541</v>
      </c>
      <c r="T863">
        <v>420</v>
      </c>
      <c r="U863" t="str">
        <f t="shared" si="26"/>
        <v>Expiring Soon</v>
      </c>
      <c r="V863" t="s">
        <v>3082</v>
      </c>
      <c r="W863">
        <v>51</v>
      </c>
      <c r="X863" s="3">
        <f t="shared" si="27"/>
        <v>8415</v>
      </c>
      <c r="Y863">
        <v>6</v>
      </c>
      <c r="Z863" t="s">
        <v>49</v>
      </c>
      <c r="AA863" s="3">
        <f>X863-Grocery_Inventory_and_Sales_Dat!N863</f>
        <v>8250</v>
      </c>
    </row>
    <row r="864" spans="1:27" x14ac:dyDescent="0.3">
      <c r="A864" t="s">
        <v>3083</v>
      </c>
      <c r="B864" t="s">
        <v>1557</v>
      </c>
      <c r="C864" t="s">
        <v>95</v>
      </c>
      <c r="D864" t="s">
        <v>3084</v>
      </c>
      <c r="E864" s="13" t="s">
        <v>1289</v>
      </c>
      <c r="G864" s="2">
        <v>58</v>
      </c>
      <c r="H864">
        <v>48</v>
      </c>
      <c r="I864">
        <v>9</v>
      </c>
      <c r="J864" t="s">
        <v>55</v>
      </c>
      <c r="K864">
        <v>0</v>
      </c>
      <c r="L864" t="s">
        <v>41</v>
      </c>
      <c r="M864" s="12">
        <v>3.5</v>
      </c>
      <c r="N864" s="3">
        <f>G864*M864</f>
        <v>203</v>
      </c>
      <c r="O864" s="1">
        <v>45485</v>
      </c>
      <c r="P864" s="1">
        <v>45359</v>
      </c>
      <c r="Q864" s="1">
        <v>45370</v>
      </c>
      <c r="R864">
        <v>594</v>
      </c>
      <c r="S864">
        <v>720</v>
      </c>
      <c r="T864">
        <v>709</v>
      </c>
      <c r="U864" t="str">
        <f t="shared" si="26"/>
        <v>Safe</v>
      </c>
      <c r="V864" t="s">
        <v>3085</v>
      </c>
      <c r="W864">
        <v>98</v>
      </c>
      <c r="X864" s="3">
        <f t="shared" si="27"/>
        <v>19894</v>
      </c>
      <c r="Y864">
        <v>69</v>
      </c>
      <c r="Z864" t="s">
        <v>49</v>
      </c>
      <c r="AA864" s="3">
        <f>X864-Grocery_Inventory_and_Sales_Dat!N864</f>
        <v>19691</v>
      </c>
    </row>
    <row r="865" spans="1:27" x14ac:dyDescent="0.3">
      <c r="A865" t="s">
        <v>3086</v>
      </c>
      <c r="B865" t="s">
        <v>334</v>
      </c>
      <c r="C865" t="s">
        <v>70</v>
      </c>
      <c r="D865" t="s">
        <v>3087</v>
      </c>
      <c r="E865" s="13" t="s">
        <v>585</v>
      </c>
      <c r="G865" s="2">
        <v>64</v>
      </c>
      <c r="H865">
        <v>95</v>
      </c>
      <c r="I865">
        <v>62</v>
      </c>
      <c r="J865" t="s">
        <v>27</v>
      </c>
      <c r="K865">
        <v>95</v>
      </c>
      <c r="L865" t="s">
        <v>28</v>
      </c>
      <c r="M865" s="12">
        <v>6</v>
      </c>
      <c r="N865" s="3">
        <f>G865*M865</f>
        <v>384</v>
      </c>
      <c r="O865" s="1">
        <v>45436</v>
      </c>
      <c r="P865" s="1">
        <v>45526</v>
      </c>
      <c r="Q865" s="1">
        <v>45429</v>
      </c>
      <c r="R865">
        <v>643</v>
      </c>
      <c r="S865">
        <v>553</v>
      </c>
      <c r="T865">
        <v>650</v>
      </c>
      <c r="U865" t="str">
        <f t="shared" si="26"/>
        <v>Safe</v>
      </c>
      <c r="V865" t="s">
        <v>3088</v>
      </c>
      <c r="W865">
        <v>55</v>
      </c>
      <c r="X865" s="3">
        <f t="shared" si="27"/>
        <v>21120</v>
      </c>
      <c r="Y865">
        <v>1</v>
      </c>
      <c r="Z865" t="s">
        <v>30</v>
      </c>
      <c r="AA865" s="3">
        <f>X865-Grocery_Inventory_and_Sales_Dat!N865</f>
        <v>20736</v>
      </c>
    </row>
    <row r="866" spans="1:27" x14ac:dyDescent="0.3">
      <c r="A866" t="s">
        <v>3089</v>
      </c>
      <c r="B866" t="s">
        <v>605</v>
      </c>
      <c r="C866" t="s">
        <v>64</v>
      </c>
      <c r="D866" t="s">
        <v>3090</v>
      </c>
      <c r="E866" s="13" t="s">
        <v>957</v>
      </c>
      <c r="G866" s="2">
        <v>19</v>
      </c>
      <c r="H866">
        <v>80</v>
      </c>
      <c r="I866">
        <v>87</v>
      </c>
      <c r="J866" t="s">
        <v>27</v>
      </c>
      <c r="K866">
        <v>80</v>
      </c>
      <c r="L866" t="s">
        <v>28</v>
      </c>
      <c r="M866" s="12">
        <v>2.2999999999999998</v>
      </c>
      <c r="N866" s="3">
        <f>G866*M866</f>
        <v>43.699999999999996</v>
      </c>
      <c r="O866" s="1">
        <v>45606</v>
      </c>
      <c r="P866" s="1">
        <v>45588</v>
      </c>
      <c r="Q866" s="1">
        <v>45656</v>
      </c>
      <c r="R866">
        <v>473</v>
      </c>
      <c r="S866">
        <v>491</v>
      </c>
      <c r="T866">
        <v>423</v>
      </c>
      <c r="U866" t="str">
        <f t="shared" si="26"/>
        <v>Expiring Soon</v>
      </c>
      <c r="V866" t="s">
        <v>3091</v>
      </c>
      <c r="W866">
        <v>33</v>
      </c>
      <c r="X866" s="3">
        <f t="shared" si="27"/>
        <v>1442.1</v>
      </c>
      <c r="Y866">
        <v>38</v>
      </c>
      <c r="Z866" t="s">
        <v>43</v>
      </c>
      <c r="AA866" s="3">
        <f>X866-Grocery_Inventory_and_Sales_Dat!N866</f>
        <v>1398.3999999999999</v>
      </c>
    </row>
    <row r="867" spans="1:27" x14ac:dyDescent="0.3">
      <c r="A867" t="s">
        <v>3092</v>
      </c>
      <c r="B867" t="s">
        <v>2263</v>
      </c>
      <c r="C867" t="s">
        <v>52</v>
      </c>
      <c r="D867" t="s">
        <v>3093</v>
      </c>
      <c r="E867" s="13" t="s">
        <v>145</v>
      </c>
      <c r="G867" s="2">
        <v>43</v>
      </c>
      <c r="H867">
        <v>41</v>
      </c>
      <c r="I867">
        <v>100</v>
      </c>
      <c r="J867" t="s">
        <v>55</v>
      </c>
      <c r="K867">
        <v>0</v>
      </c>
      <c r="L867" t="s">
        <v>41</v>
      </c>
      <c r="M867" s="12">
        <v>8</v>
      </c>
      <c r="N867" s="3">
        <f>G867*M867</f>
        <v>344</v>
      </c>
      <c r="O867" s="1">
        <v>45459</v>
      </c>
      <c r="P867" s="1">
        <v>45508</v>
      </c>
      <c r="Q867" s="1">
        <v>45444</v>
      </c>
      <c r="R867">
        <v>620</v>
      </c>
      <c r="S867">
        <v>571</v>
      </c>
      <c r="T867">
        <v>635</v>
      </c>
      <c r="U867" t="str">
        <f t="shared" si="26"/>
        <v>Safe</v>
      </c>
      <c r="V867" t="s">
        <v>3094</v>
      </c>
      <c r="W867">
        <v>27</v>
      </c>
      <c r="X867" s="3">
        <f t="shared" si="27"/>
        <v>9288</v>
      </c>
      <c r="Y867">
        <v>78</v>
      </c>
      <c r="Z867" t="s">
        <v>49</v>
      </c>
      <c r="AA867" s="3">
        <f>X867-Grocery_Inventory_and_Sales_Dat!N867</f>
        <v>8944</v>
      </c>
    </row>
    <row r="868" spans="1:27" x14ac:dyDescent="0.3">
      <c r="A868" t="s">
        <v>3095</v>
      </c>
      <c r="B868" t="s">
        <v>441</v>
      </c>
      <c r="C868" t="s">
        <v>64</v>
      </c>
      <c r="D868" t="s">
        <v>3096</v>
      </c>
      <c r="E868" s="13" t="s">
        <v>400</v>
      </c>
      <c r="G868" s="2">
        <v>38</v>
      </c>
      <c r="H868">
        <v>62</v>
      </c>
      <c r="I868">
        <v>47</v>
      </c>
      <c r="J868" t="s">
        <v>27</v>
      </c>
      <c r="K868">
        <v>62</v>
      </c>
      <c r="L868" t="s">
        <v>28</v>
      </c>
      <c r="M868" s="12">
        <v>4</v>
      </c>
      <c r="N868" s="3">
        <f>G868*M868</f>
        <v>152</v>
      </c>
      <c r="O868" s="1">
        <v>45334</v>
      </c>
      <c r="P868" s="1">
        <v>45638</v>
      </c>
      <c r="Q868" s="1">
        <v>45609</v>
      </c>
      <c r="R868">
        <v>745</v>
      </c>
      <c r="S868">
        <v>441</v>
      </c>
      <c r="T868">
        <v>470</v>
      </c>
      <c r="U868" t="str">
        <f t="shared" si="26"/>
        <v>Expiring Soon</v>
      </c>
      <c r="V868" t="s">
        <v>3097</v>
      </c>
      <c r="W868">
        <v>41</v>
      </c>
      <c r="X868" s="3">
        <f t="shared" si="27"/>
        <v>6232</v>
      </c>
      <c r="Y868">
        <v>34</v>
      </c>
      <c r="Z868" t="s">
        <v>30</v>
      </c>
      <c r="AA868" s="3">
        <f>X868-Grocery_Inventory_and_Sales_Dat!N868</f>
        <v>6080</v>
      </c>
    </row>
    <row r="869" spans="1:27" x14ac:dyDescent="0.3">
      <c r="A869" t="s">
        <v>3098</v>
      </c>
      <c r="B869" t="s">
        <v>635</v>
      </c>
      <c r="C869" t="s">
        <v>70</v>
      </c>
      <c r="D869" t="s">
        <v>3099</v>
      </c>
      <c r="E869" s="13" t="s">
        <v>1522</v>
      </c>
      <c r="G869" s="2">
        <v>70</v>
      </c>
      <c r="H869">
        <v>66</v>
      </c>
      <c r="I869">
        <v>74</v>
      </c>
      <c r="J869" t="s">
        <v>55</v>
      </c>
      <c r="K869">
        <v>0</v>
      </c>
      <c r="L869" t="s">
        <v>41</v>
      </c>
      <c r="M869" s="12">
        <v>2.5</v>
      </c>
      <c r="N869" s="3">
        <f>G869*M869</f>
        <v>175</v>
      </c>
      <c r="O869" s="1">
        <v>45607</v>
      </c>
      <c r="P869" s="1">
        <v>45603</v>
      </c>
      <c r="Q869" s="1">
        <v>45379</v>
      </c>
      <c r="R869">
        <v>472</v>
      </c>
      <c r="S869">
        <v>476</v>
      </c>
      <c r="T869">
        <v>700</v>
      </c>
      <c r="U869" t="str">
        <f t="shared" si="26"/>
        <v>Safe</v>
      </c>
      <c r="V869" t="s">
        <v>3100</v>
      </c>
      <c r="W869">
        <v>47</v>
      </c>
      <c r="X869" s="3">
        <f t="shared" si="27"/>
        <v>8225</v>
      </c>
      <c r="Y869">
        <v>77</v>
      </c>
      <c r="Z869" t="s">
        <v>49</v>
      </c>
      <c r="AA869" s="3">
        <f>X869-Grocery_Inventory_and_Sales_Dat!N869</f>
        <v>8050</v>
      </c>
    </row>
    <row r="870" spans="1:27" x14ac:dyDescent="0.3">
      <c r="A870" t="s">
        <v>3101</v>
      </c>
      <c r="B870" t="s">
        <v>757</v>
      </c>
      <c r="C870" t="s">
        <v>52</v>
      </c>
      <c r="D870" t="s">
        <v>3102</v>
      </c>
      <c r="E870" s="13" t="s">
        <v>808</v>
      </c>
      <c r="G870" s="2">
        <v>18</v>
      </c>
      <c r="H870">
        <v>3</v>
      </c>
      <c r="I870">
        <v>39</v>
      </c>
      <c r="J870" t="s">
        <v>55</v>
      </c>
      <c r="K870">
        <v>0</v>
      </c>
      <c r="L870" t="s">
        <v>41</v>
      </c>
      <c r="M870" s="12">
        <v>5</v>
      </c>
      <c r="N870" s="3">
        <f>G870*M870</f>
        <v>90</v>
      </c>
      <c r="O870" s="1">
        <v>45583</v>
      </c>
      <c r="P870" s="1">
        <v>45704</v>
      </c>
      <c r="Q870" s="1">
        <v>45620</v>
      </c>
      <c r="R870">
        <v>496</v>
      </c>
      <c r="S870">
        <v>375</v>
      </c>
      <c r="T870">
        <v>459</v>
      </c>
      <c r="U870" t="str">
        <f t="shared" si="26"/>
        <v>Expiring Soon</v>
      </c>
      <c r="V870" t="s">
        <v>3103</v>
      </c>
      <c r="W870">
        <v>58</v>
      </c>
      <c r="X870" s="3">
        <f t="shared" si="27"/>
        <v>5220</v>
      </c>
      <c r="Y870">
        <v>61</v>
      </c>
      <c r="Z870" t="s">
        <v>43</v>
      </c>
      <c r="AA870" s="3">
        <f>X870-Grocery_Inventory_and_Sales_Dat!N870</f>
        <v>5130</v>
      </c>
    </row>
    <row r="871" spans="1:27" x14ac:dyDescent="0.3">
      <c r="A871" t="s">
        <v>3104</v>
      </c>
      <c r="B871" t="s">
        <v>1151</v>
      </c>
      <c r="C871" t="s">
        <v>24</v>
      </c>
      <c r="D871" t="s">
        <v>3105</v>
      </c>
      <c r="E871" s="13" t="s">
        <v>86</v>
      </c>
      <c r="G871" s="2">
        <v>46</v>
      </c>
      <c r="H871">
        <v>81</v>
      </c>
      <c r="I871">
        <v>47</v>
      </c>
      <c r="J871" t="s">
        <v>27</v>
      </c>
      <c r="K871">
        <v>81</v>
      </c>
      <c r="L871" t="s">
        <v>28</v>
      </c>
      <c r="M871" s="12">
        <v>2.5</v>
      </c>
      <c r="N871" s="3">
        <f>G871*M871</f>
        <v>115</v>
      </c>
      <c r="O871" s="1">
        <v>45421</v>
      </c>
      <c r="P871" s="1">
        <v>45605</v>
      </c>
      <c r="Q871" s="1">
        <v>45673</v>
      </c>
      <c r="R871">
        <v>658</v>
      </c>
      <c r="S871">
        <v>474</v>
      </c>
      <c r="T871">
        <v>406</v>
      </c>
      <c r="U871" t="str">
        <f t="shared" si="26"/>
        <v>Expiring Soon</v>
      </c>
      <c r="V871" t="s">
        <v>3106</v>
      </c>
      <c r="W871">
        <v>48</v>
      </c>
      <c r="X871" s="3">
        <f t="shared" si="27"/>
        <v>5520</v>
      </c>
      <c r="Y871">
        <v>48</v>
      </c>
      <c r="Z871" t="s">
        <v>49</v>
      </c>
      <c r="AA871" s="3">
        <f>X871-Grocery_Inventory_and_Sales_Dat!N871</f>
        <v>5405</v>
      </c>
    </row>
    <row r="872" spans="1:27" x14ac:dyDescent="0.3">
      <c r="A872" t="s">
        <v>3107</v>
      </c>
      <c r="B872" t="s">
        <v>32</v>
      </c>
      <c r="C872" t="s">
        <v>33</v>
      </c>
      <c r="D872" t="s">
        <v>3108</v>
      </c>
      <c r="E872" s="13" t="s">
        <v>3109</v>
      </c>
      <c r="G872" s="2">
        <v>78</v>
      </c>
      <c r="H872">
        <v>34</v>
      </c>
      <c r="I872">
        <v>39</v>
      </c>
      <c r="J872" t="s">
        <v>55</v>
      </c>
      <c r="K872">
        <v>0</v>
      </c>
      <c r="L872" t="s">
        <v>41</v>
      </c>
      <c r="M872" s="12">
        <v>20.5</v>
      </c>
      <c r="N872" s="3">
        <f>G872*M872</f>
        <v>1599</v>
      </c>
      <c r="O872" s="1">
        <v>45609</v>
      </c>
      <c r="P872" s="1">
        <v>45530</v>
      </c>
      <c r="Q872" s="1">
        <v>45527</v>
      </c>
      <c r="R872">
        <v>470</v>
      </c>
      <c r="S872">
        <v>549</v>
      </c>
      <c r="T872">
        <v>552</v>
      </c>
      <c r="U872" t="str">
        <f t="shared" si="26"/>
        <v>Safe</v>
      </c>
      <c r="V872" t="s">
        <v>3110</v>
      </c>
      <c r="W872">
        <v>62</v>
      </c>
      <c r="X872" s="3">
        <f t="shared" si="27"/>
        <v>99138</v>
      </c>
      <c r="Y872">
        <v>2</v>
      </c>
      <c r="Z872" t="s">
        <v>49</v>
      </c>
      <c r="AA872" s="3">
        <f>X872-Grocery_Inventory_and_Sales_Dat!N872</f>
        <v>97539</v>
      </c>
    </row>
    <row r="873" spans="1:27" x14ac:dyDescent="0.3">
      <c r="A873" t="s">
        <v>3111</v>
      </c>
      <c r="B873" t="s">
        <v>605</v>
      </c>
      <c r="C873" t="s">
        <v>64</v>
      </c>
      <c r="D873" t="s">
        <v>3112</v>
      </c>
      <c r="E873" s="13" t="s">
        <v>400</v>
      </c>
      <c r="G873" s="2">
        <v>53</v>
      </c>
      <c r="H873">
        <v>20</v>
      </c>
      <c r="I873">
        <v>75</v>
      </c>
      <c r="J873" t="s">
        <v>55</v>
      </c>
      <c r="K873">
        <v>0</v>
      </c>
      <c r="L873" t="s">
        <v>41</v>
      </c>
      <c r="M873" s="12">
        <v>2.2999999999999998</v>
      </c>
      <c r="N873" s="3">
        <f>G873*M873</f>
        <v>121.89999999999999</v>
      </c>
      <c r="O873" s="1">
        <v>45632</v>
      </c>
      <c r="P873" s="1">
        <v>45301</v>
      </c>
      <c r="Q873" s="1">
        <v>45661</v>
      </c>
      <c r="R873">
        <v>447</v>
      </c>
      <c r="S873">
        <v>778</v>
      </c>
      <c r="T873">
        <v>418</v>
      </c>
      <c r="U873" t="str">
        <f t="shared" si="26"/>
        <v>Expiring Soon</v>
      </c>
      <c r="V873" t="s">
        <v>3113</v>
      </c>
      <c r="W873">
        <v>83</v>
      </c>
      <c r="X873" s="3">
        <f t="shared" si="27"/>
        <v>10117.699999999999</v>
      </c>
      <c r="Y873">
        <v>77</v>
      </c>
      <c r="Z873" t="s">
        <v>43</v>
      </c>
      <c r="AA873" s="3">
        <f>X873-Grocery_Inventory_and_Sales_Dat!N873</f>
        <v>9995.7999999999993</v>
      </c>
    </row>
    <row r="874" spans="1:27" x14ac:dyDescent="0.3">
      <c r="A874" t="s">
        <v>3114</v>
      </c>
      <c r="B874" t="s">
        <v>202</v>
      </c>
      <c r="C874" t="s">
        <v>138</v>
      </c>
      <c r="D874" t="s">
        <v>3115</v>
      </c>
      <c r="E874" s="13" t="s">
        <v>661</v>
      </c>
      <c r="G874" s="2">
        <v>67</v>
      </c>
      <c r="H874">
        <v>71</v>
      </c>
      <c r="I874">
        <v>4</v>
      </c>
      <c r="J874" t="s">
        <v>27</v>
      </c>
      <c r="K874">
        <v>71</v>
      </c>
      <c r="L874" t="s">
        <v>28</v>
      </c>
      <c r="M874" s="12">
        <v>9</v>
      </c>
      <c r="N874" s="3">
        <f>G874*M874</f>
        <v>603</v>
      </c>
      <c r="O874" s="1">
        <v>45645</v>
      </c>
      <c r="P874" s="1">
        <v>45396</v>
      </c>
      <c r="Q874" s="1">
        <v>45481</v>
      </c>
      <c r="R874">
        <v>434</v>
      </c>
      <c r="S874">
        <v>683</v>
      </c>
      <c r="T874">
        <v>598</v>
      </c>
      <c r="U874" t="str">
        <f t="shared" si="26"/>
        <v>Safe</v>
      </c>
      <c r="V874" t="s">
        <v>3116</v>
      </c>
      <c r="W874">
        <v>76</v>
      </c>
      <c r="X874" s="3">
        <f t="shared" si="27"/>
        <v>45828</v>
      </c>
      <c r="Y874">
        <v>34</v>
      </c>
      <c r="Z874" t="s">
        <v>43</v>
      </c>
      <c r="AA874" s="3">
        <f>X874-Grocery_Inventory_and_Sales_Dat!N874</f>
        <v>45225</v>
      </c>
    </row>
    <row r="875" spans="1:27" x14ac:dyDescent="0.3">
      <c r="A875" t="s">
        <v>3117</v>
      </c>
      <c r="B875" t="s">
        <v>2294</v>
      </c>
      <c r="C875" t="s">
        <v>70</v>
      </c>
      <c r="D875" t="s">
        <v>3118</v>
      </c>
      <c r="E875" s="13" t="s">
        <v>2480</v>
      </c>
      <c r="G875" s="2">
        <v>36</v>
      </c>
      <c r="H875">
        <v>30</v>
      </c>
      <c r="I875">
        <v>44</v>
      </c>
      <c r="J875" t="s">
        <v>55</v>
      </c>
      <c r="K875">
        <v>0</v>
      </c>
      <c r="L875" t="s">
        <v>41</v>
      </c>
      <c r="M875" s="12">
        <v>0.2</v>
      </c>
      <c r="N875" s="3">
        <f>G875*M875</f>
        <v>7.2</v>
      </c>
      <c r="O875" s="1">
        <v>45600</v>
      </c>
      <c r="P875" s="1">
        <v>45354</v>
      </c>
      <c r="Q875" s="1">
        <v>45438</v>
      </c>
      <c r="R875">
        <v>479</v>
      </c>
      <c r="S875">
        <v>725</v>
      </c>
      <c r="T875">
        <v>641</v>
      </c>
      <c r="U875" t="str">
        <f t="shared" si="26"/>
        <v>Safe</v>
      </c>
      <c r="V875" t="s">
        <v>3119</v>
      </c>
      <c r="W875">
        <v>68</v>
      </c>
      <c r="X875" s="3">
        <f t="shared" si="27"/>
        <v>489.6</v>
      </c>
      <c r="Y875">
        <v>88</v>
      </c>
      <c r="Z875" t="s">
        <v>43</v>
      </c>
      <c r="AA875" s="3">
        <f>X875-Grocery_Inventory_and_Sales_Dat!N875</f>
        <v>482.40000000000003</v>
      </c>
    </row>
    <row r="876" spans="1:27" x14ac:dyDescent="0.3">
      <c r="A876" t="s">
        <v>3120</v>
      </c>
      <c r="B876" t="s">
        <v>777</v>
      </c>
      <c r="C876" t="s">
        <v>24</v>
      </c>
      <c r="D876" t="s">
        <v>3121</v>
      </c>
      <c r="E876" s="13" t="s">
        <v>3069</v>
      </c>
      <c r="G876" s="2">
        <v>39</v>
      </c>
      <c r="H876">
        <v>53</v>
      </c>
      <c r="I876">
        <v>64</v>
      </c>
      <c r="J876" t="s">
        <v>27</v>
      </c>
      <c r="K876">
        <v>53</v>
      </c>
      <c r="L876" t="s">
        <v>41</v>
      </c>
      <c r="M876" s="12">
        <v>2.75</v>
      </c>
      <c r="N876" s="3">
        <f>G876*M876</f>
        <v>107.25</v>
      </c>
      <c r="O876" s="1">
        <v>45465</v>
      </c>
      <c r="P876" s="1">
        <v>45329</v>
      </c>
      <c r="Q876" s="1">
        <v>45653</v>
      </c>
      <c r="R876">
        <v>614</v>
      </c>
      <c r="S876">
        <v>750</v>
      </c>
      <c r="T876">
        <v>426</v>
      </c>
      <c r="U876" t="str">
        <f t="shared" si="26"/>
        <v>Expiring Soon</v>
      </c>
      <c r="V876" t="s">
        <v>3122</v>
      </c>
      <c r="W876">
        <v>92</v>
      </c>
      <c r="X876" s="3">
        <f t="shared" si="27"/>
        <v>9867</v>
      </c>
      <c r="Y876">
        <v>8</v>
      </c>
      <c r="Z876" t="s">
        <v>49</v>
      </c>
      <c r="AA876" s="3">
        <f>X876-Grocery_Inventory_and_Sales_Dat!N876</f>
        <v>9759.75</v>
      </c>
    </row>
    <row r="877" spans="1:27" x14ac:dyDescent="0.3">
      <c r="A877" t="s">
        <v>3123</v>
      </c>
      <c r="B877" t="s">
        <v>1537</v>
      </c>
      <c r="C877" t="s">
        <v>52</v>
      </c>
      <c r="D877" t="s">
        <v>3124</v>
      </c>
      <c r="E877" s="13" t="s">
        <v>2480</v>
      </c>
      <c r="G877" s="2">
        <v>95</v>
      </c>
      <c r="H877">
        <v>87</v>
      </c>
      <c r="I877">
        <v>13</v>
      </c>
      <c r="J877" t="s">
        <v>55</v>
      </c>
      <c r="K877">
        <v>0</v>
      </c>
      <c r="L877" t="s">
        <v>41</v>
      </c>
      <c r="M877" s="12">
        <v>2</v>
      </c>
      <c r="N877" s="3">
        <f>G877*M877</f>
        <v>190</v>
      </c>
      <c r="O877" s="1">
        <v>45636</v>
      </c>
      <c r="P877" s="1">
        <v>45325</v>
      </c>
      <c r="Q877" s="1">
        <v>45508</v>
      </c>
      <c r="R877">
        <v>443</v>
      </c>
      <c r="S877">
        <v>754</v>
      </c>
      <c r="T877">
        <v>571</v>
      </c>
      <c r="U877" t="str">
        <f t="shared" si="26"/>
        <v>Safe</v>
      </c>
      <c r="V877" t="s">
        <v>3125</v>
      </c>
      <c r="W877">
        <v>61</v>
      </c>
      <c r="X877" s="3">
        <f t="shared" si="27"/>
        <v>11590</v>
      </c>
      <c r="Y877">
        <v>4</v>
      </c>
      <c r="Z877" t="s">
        <v>43</v>
      </c>
      <c r="AA877" s="3">
        <f>X877-Grocery_Inventory_and_Sales_Dat!N877</f>
        <v>11400</v>
      </c>
    </row>
    <row r="878" spans="1:27" x14ac:dyDescent="0.3">
      <c r="A878" t="s">
        <v>3126</v>
      </c>
      <c r="B878" t="s">
        <v>507</v>
      </c>
      <c r="C878" t="s">
        <v>24</v>
      </c>
      <c r="D878" t="s">
        <v>3127</v>
      </c>
      <c r="E878" s="13" t="s">
        <v>458</v>
      </c>
      <c r="G878" s="2">
        <v>12</v>
      </c>
      <c r="H878">
        <v>56</v>
      </c>
      <c r="I878">
        <v>92</v>
      </c>
      <c r="J878" t="s">
        <v>27</v>
      </c>
      <c r="K878">
        <v>56</v>
      </c>
      <c r="L878" t="s">
        <v>41</v>
      </c>
      <c r="M878" s="12">
        <v>9.5</v>
      </c>
      <c r="N878" s="3">
        <f>G878*M878</f>
        <v>114</v>
      </c>
      <c r="O878" s="1">
        <v>45509</v>
      </c>
      <c r="P878" s="1">
        <v>45641</v>
      </c>
      <c r="Q878" s="1">
        <v>45425</v>
      </c>
      <c r="R878">
        <v>570</v>
      </c>
      <c r="S878">
        <v>438</v>
      </c>
      <c r="T878">
        <v>654</v>
      </c>
      <c r="U878" t="str">
        <f t="shared" si="26"/>
        <v>Safe</v>
      </c>
      <c r="V878" t="s">
        <v>3128</v>
      </c>
      <c r="W878">
        <v>56</v>
      </c>
      <c r="X878" s="3">
        <f t="shared" si="27"/>
        <v>6384</v>
      </c>
      <c r="Y878">
        <v>6</v>
      </c>
      <c r="Z878" t="s">
        <v>49</v>
      </c>
      <c r="AA878" s="3">
        <f>X878-Grocery_Inventory_and_Sales_Dat!N878</f>
        <v>6270</v>
      </c>
    </row>
    <row r="879" spans="1:27" x14ac:dyDescent="0.3">
      <c r="A879" t="s">
        <v>3129</v>
      </c>
      <c r="B879" t="s">
        <v>1474</v>
      </c>
      <c r="C879" t="s">
        <v>24</v>
      </c>
      <c r="D879" t="s">
        <v>3130</v>
      </c>
      <c r="E879" s="13" t="s">
        <v>1017</v>
      </c>
      <c r="G879" s="2">
        <v>98</v>
      </c>
      <c r="H879">
        <v>30</v>
      </c>
      <c r="I879">
        <v>39</v>
      </c>
      <c r="J879" t="s">
        <v>55</v>
      </c>
      <c r="K879">
        <v>0</v>
      </c>
      <c r="L879" t="s">
        <v>41</v>
      </c>
      <c r="M879" s="12">
        <v>10</v>
      </c>
      <c r="N879" s="3">
        <f>G879*M879</f>
        <v>980</v>
      </c>
      <c r="O879" s="1">
        <v>45621</v>
      </c>
      <c r="P879" s="1">
        <v>45396</v>
      </c>
      <c r="Q879" s="1">
        <v>45514</v>
      </c>
      <c r="R879">
        <v>458</v>
      </c>
      <c r="S879">
        <v>683</v>
      </c>
      <c r="T879">
        <v>565</v>
      </c>
      <c r="U879" t="str">
        <f t="shared" si="26"/>
        <v>Safe</v>
      </c>
      <c r="V879" t="s">
        <v>3131</v>
      </c>
      <c r="W879">
        <v>31</v>
      </c>
      <c r="X879" s="3">
        <f t="shared" si="27"/>
        <v>30380</v>
      </c>
      <c r="Y879">
        <v>26</v>
      </c>
      <c r="Z879" t="s">
        <v>49</v>
      </c>
      <c r="AA879" s="3">
        <f>X879-Grocery_Inventory_and_Sales_Dat!N879</f>
        <v>29400</v>
      </c>
    </row>
    <row r="880" spans="1:27" x14ac:dyDescent="0.3">
      <c r="A880" t="s">
        <v>3132</v>
      </c>
      <c r="B880" t="s">
        <v>473</v>
      </c>
      <c r="C880" t="s">
        <v>24</v>
      </c>
      <c r="D880" t="s">
        <v>3133</v>
      </c>
      <c r="E880" s="13" t="s">
        <v>1300</v>
      </c>
      <c r="G880" s="2">
        <v>50</v>
      </c>
      <c r="H880">
        <v>14</v>
      </c>
      <c r="I880">
        <v>99</v>
      </c>
      <c r="J880" t="s">
        <v>55</v>
      </c>
      <c r="K880">
        <v>0</v>
      </c>
      <c r="L880" t="s">
        <v>41</v>
      </c>
      <c r="M880" s="12">
        <v>4.75</v>
      </c>
      <c r="N880" s="3">
        <f>G880*M880</f>
        <v>237.5</v>
      </c>
      <c r="O880" s="1">
        <v>45901</v>
      </c>
      <c r="P880" s="1">
        <v>45379</v>
      </c>
      <c r="Q880" s="1">
        <v>45397</v>
      </c>
      <c r="R880">
        <v>178</v>
      </c>
      <c r="S880">
        <v>700</v>
      </c>
      <c r="T880">
        <v>682</v>
      </c>
      <c r="U880" t="str">
        <f t="shared" si="26"/>
        <v>Safe</v>
      </c>
      <c r="V880" t="s">
        <v>3134</v>
      </c>
      <c r="W880">
        <v>52</v>
      </c>
      <c r="X880" s="3">
        <f t="shared" si="27"/>
        <v>12350</v>
      </c>
      <c r="Y880">
        <v>75</v>
      </c>
      <c r="Z880" t="s">
        <v>49</v>
      </c>
      <c r="AA880" s="3">
        <f>X880-Grocery_Inventory_and_Sales_Dat!N880</f>
        <v>12112.5</v>
      </c>
    </row>
    <row r="881" spans="1:27" x14ac:dyDescent="0.3">
      <c r="A881" t="s">
        <v>3135</v>
      </c>
      <c r="B881" t="s">
        <v>220</v>
      </c>
      <c r="C881" t="s">
        <v>52</v>
      </c>
      <c r="D881" t="s">
        <v>3136</v>
      </c>
      <c r="E881" s="13" t="s">
        <v>453</v>
      </c>
      <c r="G881" s="2">
        <v>98</v>
      </c>
      <c r="H881">
        <v>14</v>
      </c>
      <c r="I881">
        <v>11</v>
      </c>
      <c r="J881" t="s">
        <v>55</v>
      </c>
      <c r="K881">
        <v>0</v>
      </c>
      <c r="L881" t="s">
        <v>41</v>
      </c>
      <c r="M881" s="12">
        <v>2.5</v>
      </c>
      <c r="N881" s="3">
        <f>G881*M881</f>
        <v>245</v>
      </c>
      <c r="O881" s="1">
        <v>45399</v>
      </c>
      <c r="P881" s="1">
        <v>45303</v>
      </c>
      <c r="Q881" s="1">
        <v>45371</v>
      </c>
      <c r="R881">
        <v>680</v>
      </c>
      <c r="S881">
        <v>776</v>
      </c>
      <c r="T881">
        <v>708</v>
      </c>
      <c r="U881" t="str">
        <f t="shared" si="26"/>
        <v>Safe</v>
      </c>
      <c r="V881" t="s">
        <v>3137</v>
      </c>
      <c r="W881">
        <v>48</v>
      </c>
      <c r="X881" s="3">
        <f t="shared" si="27"/>
        <v>11760</v>
      </c>
      <c r="Y881">
        <v>38</v>
      </c>
      <c r="Z881" t="s">
        <v>30</v>
      </c>
      <c r="AA881" s="3">
        <f>X881-Grocery_Inventory_and_Sales_Dat!N881</f>
        <v>11515</v>
      </c>
    </row>
    <row r="882" spans="1:27" x14ac:dyDescent="0.3">
      <c r="A882" t="s">
        <v>3138</v>
      </c>
      <c r="B882" t="s">
        <v>63</v>
      </c>
      <c r="C882" t="s">
        <v>64</v>
      </c>
      <c r="D882" t="s">
        <v>3139</v>
      </c>
      <c r="E882" s="13" t="s">
        <v>540</v>
      </c>
      <c r="G882" s="2">
        <v>28</v>
      </c>
      <c r="H882">
        <v>32</v>
      </c>
      <c r="I882">
        <v>71</v>
      </c>
      <c r="J882" t="s">
        <v>27</v>
      </c>
      <c r="K882">
        <v>32</v>
      </c>
      <c r="L882" t="s">
        <v>41</v>
      </c>
      <c r="M882" s="12">
        <v>2.5</v>
      </c>
      <c r="N882" s="3">
        <f>G882*M882</f>
        <v>70</v>
      </c>
      <c r="O882" s="1">
        <v>45648</v>
      </c>
      <c r="P882" s="1">
        <v>45327</v>
      </c>
      <c r="Q882" s="1">
        <v>45632</v>
      </c>
      <c r="R882">
        <v>431</v>
      </c>
      <c r="S882">
        <v>752</v>
      </c>
      <c r="T882">
        <v>447</v>
      </c>
      <c r="U882" t="str">
        <f t="shared" si="26"/>
        <v>Expiring Soon</v>
      </c>
      <c r="V882" t="s">
        <v>3140</v>
      </c>
      <c r="W882">
        <v>32</v>
      </c>
      <c r="X882" s="3">
        <f t="shared" si="27"/>
        <v>2240</v>
      </c>
      <c r="Y882">
        <v>49</v>
      </c>
      <c r="Z882" t="s">
        <v>30</v>
      </c>
      <c r="AA882" s="3">
        <f>X882-Grocery_Inventory_and_Sales_Dat!N882</f>
        <v>2170</v>
      </c>
    </row>
    <row r="883" spans="1:27" x14ac:dyDescent="0.3">
      <c r="A883" t="s">
        <v>3141</v>
      </c>
      <c r="B883" t="s">
        <v>182</v>
      </c>
      <c r="C883" t="s">
        <v>52</v>
      </c>
      <c r="D883" t="s">
        <v>3142</v>
      </c>
      <c r="E883" s="13" t="s">
        <v>640</v>
      </c>
      <c r="G883" s="2">
        <v>67</v>
      </c>
      <c r="H883">
        <v>14</v>
      </c>
      <c r="I883">
        <v>25</v>
      </c>
      <c r="J883" t="s">
        <v>55</v>
      </c>
      <c r="K883">
        <v>0</v>
      </c>
      <c r="L883" t="s">
        <v>41</v>
      </c>
      <c r="M883" s="12">
        <v>1.8</v>
      </c>
      <c r="N883" s="3">
        <f>G883*M883</f>
        <v>120.60000000000001</v>
      </c>
      <c r="O883" s="1">
        <v>45327</v>
      </c>
      <c r="P883" s="1">
        <v>45524</v>
      </c>
      <c r="Q883" s="1">
        <v>45581</v>
      </c>
      <c r="R883">
        <v>752</v>
      </c>
      <c r="S883">
        <v>555</v>
      </c>
      <c r="T883">
        <v>498</v>
      </c>
      <c r="U883" t="str">
        <f t="shared" si="26"/>
        <v>Expiring Soon</v>
      </c>
      <c r="V883" t="s">
        <v>3143</v>
      </c>
      <c r="W883">
        <v>81</v>
      </c>
      <c r="X883" s="3">
        <f t="shared" si="27"/>
        <v>9768.6</v>
      </c>
      <c r="Y883">
        <v>77</v>
      </c>
      <c r="Z883" t="s">
        <v>49</v>
      </c>
      <c r="AA883" s="3">
        <f>X883-Grocery_Inventory_and_Sales_Dat!N883</f>
        <v>9648</v>
      </c>
    </row>
    <row r="884" spans="1:27" x14ac:dyDescent="0.3">
      <c r="A884" t="s">
        <v>3144</v>
      </c>
      <c r="B884" t="s">
        <v>207</v>
      </c>
      <c r="C884" t="s">
        <v>52</v>
      </c>
      <c r="D884" t="s">
        <v>3145</v>
      </c>
      <c r="E884" s="13" t="s">
        <v>1611</v>
      </c>
      <c r="G884" s="2">
        <v>20</v>
      </c>
      <c r="H884">
        <v>93</v>
      </c>
      <c r="I884">
        <v>37</v>
      </c>
      <c r="J884" t="s">
        <v>27</v>
      </c>
      <c r="K884">
        <v>93</v>
      </c>
      <c r="L884" t="s">
        <v>28</v>
      </c>
      <c r="M884" s="12">
        <v>2</v>
      </c>
      <c r="N884" s="3">
        <f>G884*M884</f>
        <v>40</v>
      </c>
      <c r="O884" s="1">
        <v>45585</v>
      </c>
      <c r="P884" s="1">
        <v>45476</v>
      </c>
      <c r="Q884" s="1">
        <v>45651</v>
      </c>
      <c r="R884">
        <v>494</v>
      </c>
      <c r="S884">
        <v>603</v>
      </c>
      <c r="T884">
        <v>428</v>
      </c>
      <c r="U884" t="str">
        <f t="shared" si="26"/>
        <v>Expiring Soon</v>
      </c>
      <c r="V884" t="s">
        <v>3146</v>
      </c>
      <c r="W884">
        <v>23</v>
      </c>
      <c r="X884" s="3">
        <f t="shared" si="27"/>
        <v>920</v>
      </c>
      <c r="Y884">
        <v>2</v>
      </c>
      <c r="Z884" t="s">
        <v>30</v>
      </c>
      <c r="AA884" s="3">
        <f>X884-Grocery_Inventory_and_Sales_Dat!N884</f>
        <v>880</v>
      </c>
    </row>
    <row r="885" spans="1:27" x14ac:dyDescent="0.3">
      <c r="A885" t="s">
        <v>3147</v>
      </c>
      <c r="B885" t="s">
        <v>137</v>
      </c>
      <c r="C885" t="s">
        <v>138</v>
      </c>
      <c r="D885" t="s">
        <v>3148</v>
      </c>
      <c r="E885" s="13" t="s">
        <v>466</v>
      </c>
      <c r="G885" s="2">
        <v>67</v>
      </c>
      <c r="H885">
        <v>83</v>
      </c>
      <c r="I885">
        <v>90</v>
      </c>
      <c r="J885" t="s">
        <v>27</v>
      </c>
      <c r="K885">
        <v>83</v>
      </c>
      <c r="L885" t="s">
        <v>28</v>
      </c>
      <c r="M885" s="12">
        <v>11.6</v>
      </c>
      <c r="N885" s="3">
        <f>G885*M885</f>
        <v>777.19999999999993</v>
      </c>
      <c r="O885" s="1">
        <v>45592</v>
      </c>
      <c r="P885" s="1">
        <v>45565</v>
      </c>
      <c r="Q885" s="1">
        <v>45533</v>
      </c>
      <c r="R885">
        <v>487</v>
      </c>
      <c r="S885">
        <v>514</v>
      </c>
      <c r="T885">
        <v>546</v>
      </c>
      <c r="U885" t="str">
        <f t="shared" si="26"/>
        <v>Expiring Soon</v>
      </c>
      <c r="V885" t="s">
        <v>3149</v>
      </c>
      <c r="W885">
        <v>66</v>
      </c>
      <c r="X885" s="3">
        <f t="shared" si="27"/>
        <v>51295.199999999997</v>
      </c>
      <c r="Y885">
        <v>77</v>
      </c>
      <c r="Z885" t="s">
        <v>49</v>
      </c>
      <c r="AA885" s="3">
        <f>X885-Grocery_Inventory_and_Sales_Dat!N885</f>
        <v>50518</v>
      </c>
    </row>
    <row r="886" spans="1:27" x14ac:dyDescent="0.3">
      <c r="A886" t="s">
        <v>3150</v>
      </c>
      <c r="B886" t="s">
        <v>163</v>
      </c>
      <c r="C886" t="s">
        <v>70</v>
      </c>
      <c r="D886" t="s">
        <v>3151</v>
      </c>
      <c r="E886" s="13" t="s">
        <v>1034</v>
      </c>
      <c r="G886" s="2">
        <v>94</v>
      </c>
      <c r="H886">
        <v>60</v>
      </c>
      <c r="I886">
        <v>78</v>
      </c>
      <c r="J886" t="s">
        <v>55</v>
      </c>
      <c r="K886">
        <v>0</v>
      </c>
      <c r="L886" t="s">
        <v>41</v>
      </c>
      <c r="M886" s="12">
        <v>0.8</v>
      </c>
      <c r="N886" s="3">
        <f>G886*M886</f>
        <v>75.2</v>
      </c>
      <c r="O886" s="1">
        <v>45516</v>
      </c>
      <c r="P886" s="1">
        <v>45476</v>
      </c>
      <c r="Q886" s="1">
        <v>45555</v>
      </c>
      <c r="R886">
        <v>563</v>
      </c>
      <c r="S886">
        <v>603</v>
      </c>
      <c r="T886">
        <v>524</v>
      </c>
      <c r="U886" t="str">
        <f t="shared" si="26"/>
        <v>Expiring Soon</v>
      </c>
      <c r="V886" t="s">
        <v>3152</v>
      </c>
      <c r="W886">
        <v>100</v>
      </c>
      <c r="X886" s="3">
        <f t="shared" si="27"/>
        <v>7520</v>
      </c>
      <c r="Y886">
        <v>42</v>
      </c>
      <c r="Z886" t="s">
        <v>49</v>
      </c>
      <c r="AA886" s="3">
        <f>X886-Grocery_Inventory_and_Sales_Dat!N886</f>
        <v>7444.8</v>
      </c>
    </row>
    <row r="887" spans="1:27" x14ac:dyDescent="0.3">
      <c r="A887" t="s">
        <v>3153</v>
      </c>
      <c r="B887" t="s">
        <v>322</v>
      </c>
      <c r="C887" t="s">
        <v>33</v>
      </c>
      <c r="D887" t="s">
        <v>3154</v>
      </c>
      <c r="E887" s="13" t="s">
        <v>3155</v>
      </c>
      <c r="G887" s="2">
        <v>45</v>
      </c>
      <c r="H887">
        <v>58</v>
      </c>
      <c r="I887">
        <v>84</v>
      </c>
      <c r="J887" t="s">
        <v>27</v>
      </c>
      <c r="K887">
        <v>58</v>
      </c>
      <c r="L887" t="s">
        <v>41</v>
      </c>
      <c r="M887" s="12">
        <v>5</v>
      </c>
      <c r="N887" s="3">
        <f>G887*M887</f>
        <v>225</v>
      </c>
      <c r="O887" s="1">
        <v>45809</v>
      </c>
      <c r="P887" s="1">
        <v>45372</v>
      </c>
      <c r="Q887" s="1">
        <v>45381</v>
      </c>
      <c r="R887">
        <v>270</v>
      </c>
      <c r="S887">
        <v>707</v>
      </c>
      <c r="T887">
        <v>698</v>
      </c>
      <c r="U887" t="str">
        <f t="shared" si="26"/>
        <v>Safe</v>
      </c>
      <c r="V887" t="s">
        <v>3156</v>
      </c>
      <c r="W887">
        <v>90</v>
      </c>
      <c r="X887" s="3">
        <f t="shared" si="27"/>
        <v>20250</v>
      </c>
      <c r="Y887">
        <v>67</v>
      </c>
      <c r="Z887" t="s">
        <v>49</v>
      </c>
      <c r="AA887" s="3">
        <f>X887-Grocery_Inventory_and_Sales_Dat!N887</f>
        <v>20025</v>
      </c>
    </row>
    <row r="888" spans="1:27" x14ac:dyDescent="0.3">
      <c r="A888" t="s">
        <v>3157</v>
      </c>
      <c r="B888" t="s">
        <v>806</v>
      </c>
      <c r="C888" t="s">
        <v>138</v>
      </c>
      <c r="D888" t="s">
        <v>3158</v>
      </c>
      <c r="E888" s="13" t="s">
        <v>384</v>
      </c>
      <c r="G888" s="2">
        <v>86</v>
      </c>
      <c r="H888">
        <v>55</v>
      </c>
      <c r="I888">
        <v>96</v>
      </c>
      <c r="J888" t="s">
        <v>55</v>
      </c>
      <c r="K888">
        <v>0</v>
      </c>
      <c r="L888" t="s">
        <v>41</v>
      </c>
      <c r="M888" s="12">
        <v>10</v>
      </c>
      <c r="N888" s="3">
        <f>G888*M888</f>
        <v>860</v>
      </c>
      <c r="O888" s="1">
        <v>45645</v>
      </c>
      <c r="P888" s="1">
        <v>45542</v>
      </c>
      <c r="Q888" s="1">
        <v>45564</v>
      </c>
      <c r="R888">
        <v>434</v>
      </c>
      <c r="S888">
        <v>537</v>
      </c>
      <c r="T888">
        <v>515</v>
      </c>
      <c r="U888" t="str">
        <f t="shared" si="26"/>
        <v>Expiring Soon</v>
      </c>
      <c r="V888" t="s">
        <v>3159</v>
      </c>
      <c r="W888">
        <v>37</v>
      </c>
      <c r="X888" s="3">
        <f t="shared" si="27"/>
        <v>31820</v>
      </c>
      <c r="Y888">
        <v>53</v>
      </c>
      <c r="Z888" t="s">
        <v>43</v>
      </c>
      <c r="AA888" s="3">
        <f>X888-Grocery_Inventory_and_Sales_Dat!N888</f>
        <v>30960</v>
      </c>
    </row>
    <row r="889" spans="1:27" x14ac:dyDescent="0.3">
      <c r="A889" t="s">
        <v>3160</v>
      </c>
      <c r="B889" t="s">
        <v>1474</v>
      </c>
      <c r="C889" t="s">
        <v>24</v>
      </c>
      <c r="D889" t="s">
        <v>3161</v>
      </c>
      <c r="E889" s="13" t="s">
        <v>246</v>
      </c>
      <c r="G889" s="2">
        <v>72</v>
      </c>
      <c r="H889">
        <v>82</v>
      </c>
      <c r="I889">
        <v>52</v>
      </c>
      <c r="J889" t="s">
        <v>27</v>
      </c>
      <c r="K889">
        <v>82</v>
      </c>
      <c r="L889" t="s">
        <v>28</v>
      </c>
      <c r="M889" s="12">
        <v>9.75</v>
      </c>
      <c r="N889" s="3">
        <f>G889*M889</f>
        <v>702</v>
      </c>
      <c r="O889" s="1">
        <v>45359</v>
      </c>
      <c r="P889" s="1">
        <v>45542</v>
      </c>
      <c r="Q889" s="1">
        <v>45563</v>
      </c>
      <c r="R889">
        <v>720</v>
      </c>
      <c r="S889">
        <v>537</v>
      </c>
      <c r="T889">
        <v>516</v>
      </c>
      <c r="U889" t="str">
        <f t="shared" si="26"/>
        <v>Expiring Soon</v>
      </c>
      <c r="V889" t="s">
        <v>3162</v>
      </c>
      <c r="W889">
        <v>51</v>
      </c>
      <c r="X889" s="3">
        <f t="shared" si="27"/>
        <v>35802</v>
      </c>
      <c r="Y889">
        <v>95</v>
      </c>
      <c r="Z889" t="s">
        <v>43</v>
      </c>
      <c r="AA889" s="3">
        <f>X889-Grocery_Inventory_and_Sales_Dat!N889</f>
        <v>35100</v>
      </c>
    </row>
    <row r="890" spans="1:27" x14ac:dyDescent="0.3">
      <c r="A890" t="s">
        <v>3163</v>
      </c>
      <c r="B890" t="s">
        <v>143</v>
      </c>
      <c r="C890" t="s">
        <v>52</v>
      </c>
      <c r="D890" t="s">
        <v>3164</v>
      </c>
      <c r="E890" s="13" t="s">
        <v>812</v>
      </c>
      <c r="G890" s="2">
        <v>31</v>
      </c>
      <c r="H890">
        <v>61</v>
      </c>
      <c r="I890">
        <v>28</v>
      </c>
      <c r="J890" t="s">
        <v>27</v>
      </c>
      <c r="K890">
        <v>61</v>
      </c>
      <c r="L890" t="s">
        <v>28</v>
      </c>
      <c r="M890" s="12">
        <v>2.1</v>
      </c>
      <c r="N890" s="3">
        <f>G890*M890</f>
        <v>65.100000000000009</v>
      </c>
      <c r="O890" s="1">
        <v>45568</v>
      </c>
      <c r="P890" s="1">
        <v>45542</v>
      </c>
      <c r="Q890" s="1">
        <v>45521</v>
      </c>
      <c r="R890">
        <v>511</v>
      </c>
      <c r="S890">
        <v>537</v>
      </c>
      <c r="T890">
        <v>558</v>
      </c>
      <c r="U890" t="str">
        <f t="shared" si="26"/>
        <v>Safe</v>
      </c>
      <c r="V890" t="s">
        <v>3165</v>
      </c>
      <c r="W890">
        <v>55</v>
      </c>
      <c r="X890" s="3">
        <f t="shared" si="27"/>
        <v>3580.5000000000005</v>
      </c>
      <c r="Y890">
        <v>70</v>
      </c>
      <c r="Z890" t="s">
        <v>49</v>
      </c>
      <c r="AA890" s="3">
        <f>X890-Grocery_Inventory_and_Sales_Dat!N890</f>
        <v>3515.4000000000005</v>
      </c>
    </row>
    <row r="891" spans="1:27" x14ac:dyDescent="0.3">
      <c r="A891" t="s">
        <v>3166</v>
      </c>
      <c r="B891" t="s">
        <v>403</v>
      </c>
      <c r="C891" t="s">
        <v>95</v>
      </c>
      <c r="D891" t="s">
        <v>3167</v>
      </c>
      <c r="E891" s="13" t="s">
        <v>3168</v>
      </c>
      <c r="G891" s="2">
        <v>12</v>
      </c>
      <c r="H891">
        <v>7</v>
      </c>
      <c r="I891">
        <v>23</v>
      </c>
      <c r="J891" t="s">
        <v>55</v>
      </c>
      <c r="K891">
        <v>0</v>
      </c>
      <c r="L891" t="s">
        <v>41</v>
      </c>
      <c r="M891" s="12">
        <v>6</v>
      </c>
      <c r="N891" s="3">
        <f>G891*M891</f>
        <v>72</v>
      </c>
      <c r="O891" s="1">
        <v>45810</v>
      </c>
      <c r="P891" s="1">
        <v>45705</v>
      </c>
      <c r="Q891" s="1">
        <v>45466</v>
      </c>
      <c r="R891">
        <v>269</v>
      </c>
      <c r="S891">
        <v>374</v>
      </c>
      <c r="T891">
        <v>613</v>
      </c>
      <c r="U891" t="str">
        <f t="shared" si="26"/>
        <v>Safe</v>
      </c>
      <c r="V891" t="s">
        <v>3169</v>
      </c>
      <c r="W891">
        <v>72</v>
      </c>
      <c r="X891" s="3">
        <f t="shared" si="27"/>
        <v>5184</v>
      </c>
      <c r="Y891">
        <v>16</v>
      </c>
      <c r="Z891" t="s">
        <v>30</v>
      </c>
      <c r="AA891" s="3">
        <f>X891-Grocery_Inventory_and_Sales_Dat!N891</f>
        <v>5112</v>
      </c>
    </row>
    <row r="892" spans="1:27" x14ac:dyDescent="0.3">
      <c r="A892" t="s">
        <v>3170</v>
      </c>
      <c r="B892" t="s">
        <v>618</v>
      </c>
      <c r="C892" t="s">
        <v>70</v>
      </c>
      <c r="D892" t="s">
        <v>3171</v>
      </c>
      <c r="E892" s="13" t="s">
        <v>1725</v>
      </c>
      <c r="G892" s="2">
        <v>71</v>
      </c>
      <c r="H892">
        <v>93</v>
      </c>
      <c r="I892">
        <v>75</v>
      </c>
      <c r="J892" t="s">
        <v>27</v>
      </c>
      <c r="K892">
        <v>93</v>
      </c>
      <c r="L892" t="s">
        <v>28</v>
      </c>
      <c r="M892" s="12">
        <v>7</v>
      </c>
      <c r="N892" s="3">
        <f>G892*M892</f>
        <v>497</v>
      </c>
      <c r="O892" s="1">
        <v>45545</v>
      </c>
      <c r="P892" s="1">
        <v>45523</v>
      </c>
      <c r="Q892" s="1">
        <v>45691</v>
      </c>
      <c r="R892">
        <v>534</v>
      </c>
      <c r="S892">
        <v>556</v>
      </c>
      <c r="T892">
        <v>388</v>
      </c>
      <c r="U892" t="str">
        <f t="shared" si="26"/>
        <v>Expiring Soon</v>
      </c>
      <c r="V892" t="s">
        <v>3172</v>
      </c>
      <c r="W892">
        <v>77</v>
      </c>
      <c r="X892" s="3">
        <f t="shared" si="27"/>
        <v>38269</v>
      </c>
      <c r="Y892">
        <v>58</v>
      </c>
      <c r="Z892" t="s">
        <v>30</v>
      </c>
      <c r="AA892" s="3">
        <f>X892-Grocery_Inventory_and_Sales_Dat!N892</f>
        <v>37772</v>
      </c>
    </row>
    <row r="893" spans="1:27" x14ac:dyDescent="0.3">
      <c r="A893" t="s">
        <v>3173</v>
      </c>
      <c r="B893" t="s">
        <v>806</v>
      </c>
      <c r="C893" t="s">
        <v>138</v>
      </c>
      <c r="D893" t="s">
        <v>3174</v>
      </c>
      <c r="E893" s="13" t="s">
        <v>1156</v>
      </c>
      <c r="G893" s="2">
        <v>64</v>
      </c>
      <c r="H893">
        <v>1</v>
      </c>
      <c r="I893">
        <v>92</v>
      </c>
      <c r="J893" t="s">
        <v>55</v>
      </c>
      <c r="K893">
        <v>0</v>
      </c>
      <c r="L893" t="s">
        <v>41</v>
      </c>
      <c r="M893" s="12">
        <v>10</v>
      </c>
      <c r="N893" s="3">
        <f>G893*M893</f>
        <v>640</v>
      </c>
      <c r="O893" s="1">
        <v>45416</v>
      </c>
      <c r="P893" s="1">
        <v>45405</v>
      </c>
      <c r="Q893" s="1">
        <v>45681</v>
      </c>
      <c r="R893">
        <v>663</v>
      </c>
      <c r="S893">
        <v>674</v>
      </c>
      <c r="T893">
        <v>398</v>
      </c>
      <c r="U893" t="str">
        <f t="shared" si="26"/>
        <v>Expiring Soon</v>
      </c>
      <c r="V893" t="s">
        <v>3175</v>
      </c>
      <c r="W893">
        <v>49</v>
      </c>
      <c r="X893" s="3">
        <f t="shared" si="27"/>
        <v>31360</v>
      </c>
      <c r="Y893">
        <v>15</v>
      </c>
      <c r="Z893" t="s">
        <v>49</v>
      </c>
      <c r="AA893" s="3">
        <f>X893-Grocery_Inventory_and_Sales_Dat!N893</f>
        <v>30720</v>
      </c>
    </row>
    <row r="894" spans="1:27" x14ac:dyDescent="0.3">
      <c r="A894" t="s">
        <v>3176</v>
      </c>
      <c r="B894" t="s">
        <v>1544</v>
      </c>
      <c r="C894" t="s">
        <v>64</v>
      </c>
      <c r="D894" t="s">
        <v>3177</v>
      </c>
      <c r="E894" s="13" t="s">
        <v>259</v>
      </c>
      <c r="G894" s="2">
        <v>89</v>
      </c>
      <c r="H894">
        <v>79</v>
      </c>
      <c r="I894">
        <v>66</v>
      </c>
      <c r="J894" t="s">
        <v>55</v>
      </c>
      <c r="K894">
        <v>0</v>
      </c>
      <c r="L894" t="s">
        <v>41</v>
      </c>
      <c r="M894" s="12">
        <v>5</v>
      </c>
      <c r="N894" s="3">
        <f>G894*M894</f>
        <v>445</v>
      </c>
      <c r="O894" s="1">
        <v>45504</v>
      </c>
      <c r="P894" s="1">
        <v>45646</v>
      </c>
      <c r="Q894" s="1">
        <v>45582</v>
      </c>
      <c r="R894">
        <v>575</v>
      </c>
      <c r="S894">
        <v>433</v>
      </c>
      <c r="T894">
        <v>497</v>
      </c>
      <c r="U894" t="str">
        <f t="shared" si="26"/>
        <v>Expiring Soon</v>
      </c>
      <c r="V894" t="s">
        <v>3178</v>
      </c>
      <c r="W894">
        <v>91</v>
      </c>
      <c r="X894" s="3">
        <f t="shared" si="27"/>
        <v>40495</v>
      </c>
      <c r="Y894">
        <v>31</v>
      </c>
      <c r="Z894" t="s">
        <v>30</v>
      </c>
      <c r="AA894" s="3">
        <f>X894-Grocery_Inventory_and_Sales_Dat!N894</f>
        <v>40050</v>
      </c>
    </row>
    <row r="895" spans="1:27" x14ac:dyDescent="0.3">
      <c r="A895" t="s">
        <v>3179</v>
      </c>
      <c r="B895" t="s">
        <v>743</v>
      </c>
      <c r="C895" t="s">
        <v>64</v>
      </c>
      <c r="D895" t="s">
        <v>3180</v>
      </c>
      <c r="E895" s="13" t="s">
        <v>2601</v>
      </c>
      <c r="G895" s="2">
        <v>50</v>
      </c>
      <c r="H895">
        <v>36</v>
      </c>
      <c r="I895">
        <v>96</v>
      </c>
      <c r="J895" t="s">
        <v>55</v>
      </c>
      <c r="K895">
        <v>0</v>
      </c>
      <c r="L895" t="s">
        <v>41</v>
      </c>
      <c r="M895" s="12">
        <v>6.5</v>
      </c>
      <c r="N895" s="3">
        <f>G895*M895</f>
        <v>325</v>
      </c>
      <c r="O895" s="1">
        <v>45638</v>
      </c>
      <c r="P895" s="1">
        <v>45634</v>
      </c>
      <c r="Q895" s="1">
        <v>45474</v>
      </c>
      <c r="R895">
        <v>441</v>
      </c>
      <c r="S895">
        <v>445</v>
      </c>
      <c r="T895">
        <v>605</v>
      </c>
      <c r="U895" t="str">
        <f t="shared" si="26"/>
        <v>Safe</v>
      </c>
      <c r="V895" t="s">
        <v>3181</v>
      </c>
      <c r="W895">
        <v>53</v>
      </c>
      <c r="X895" s="3">
        <f t="shared" si="27"/>
        <v>17225</v>
      </c>
      <c r="Y895">
        <v>73</v>
      </c>
      <c r="Z895" t="s">
        <v>43</v>
      </c>
      <c r="AA895" s="3">
        <f>X895-Grocery_Inventory_and_Sales_Dat!N895</f>
        <v>16900</v>
      </c>
    </row>
    <row r="896" spans="1:27" x14ac:dyDescent="0.3">
      <c r="A896" t="s">
        <v>3182</v>
      </c>
      <c r="B896" t="s">
        <v>230</v>
      </c>
      <c r="C896" t="s">
        <v>52</v>
      </c>
      <c r="D896" t="s">
        <v>3183</v>
      </c>
      <c r="E896" s="13" t="s">
        <v>1611</v>
      </c>
      <c r="G896" s="2">
        <v>53</v>
      </c>
      <c r="H896">
        <v>98</v>
      </c>
      <c r="I896">
        <v>23</v>
      </c>
      <c r="J896" t="s">
        <v>27</v>
      </c>
      <c r="K896">
        <v>98</v>
      </c>
      <c r="L896" t="s">
        <v>28</v>
      </c>
      <c r="M896" s="12">
        <v>5</v>
      </c>
      <c r="N896" s="3">
        <f>G896*M896</f>
        <v>265</v>
      </c>
      <c r="O896" s="1">
        <v>45712</v>
      </c>
      <c r="P896" s="1">
        <v>45389</v>
      </c>
      <c r="Q896" s="1">
        <v>45564</v>
      </c>
      <c r="R896">
        <v>367</v>
      </c>
      <c r="S896">
        <v>690</v>
      </c>
      <c r="T896">
        <v>515</v>
      </c>
      <c r="U896" t="str">
        <f t="shared" si="26"/>
        <v>Expiring Soon</v>
      </c>
      <c r="V896" t="s">
        <v>3184</v>
      </c>
      <c r="W896">
        <v>41</v>
      </c>
      <c r="X896" s="3">
        <f t="shared" si="27"/>
        <v>10865</v>
      </c>
      <c r="Y896">
        <v>84</v>
      </c>
      <c r="Z896" t="s">
        <v>43</v>
      </c>
      <c r="AA896" s="3">
        <f>X896-Grocery_Inventory_and_Sales_Dat!N896</f>
        <v>10600</v>
      </c>
    </row>
    <row r="897" spans="1:27" x14ac:dyDescent="0.3">
      <c r="A897" t="s">
        <v>3185</v>
      </c>
      <c r="B897" t="s">
        <v>202</v>
      </c>
      <c r="C897" t="s">
        <v>138</v>
      </c>
      <c r="D897" t="s">
        <v>3186</v>
      </c>
      <c r="E897" s="13" t="s">
        <v>2660</v>
      </c>
      <c r="G897" s="2">
        <v>19</v>
      </c>
      <c r="H897">
        <v>99</v>
      </c>
      <c r="I897">
        <v>78</v>
      </c>
      <c r="J897" t="s">
        <v>27</v>
      </c>
      <c r="K897">
        <v>99</v>
      </c>
      <c r="L897" t="s">
        <v>28</v>
      </c>
      <c r="M897" s="12">
        <v>9</v>
      </c>
      <c r="N897" s="3">
        <f>G897*M897</f>
        <v>171</v>
      </c>
      <c r="O897" s="1">
        <v>45617</v>
      </c>
      <c r="P897" s="1">
        <v>45705</v>
      </c>
      <c r="Q897" s="1">
        <v>45656</v>
      </c>
      <c r="R897">
        <v>462</v>
      </c>
      <c r="S897">
        <v>374</v>
      </c>
      <c r="T897">
        <v>423</v>
      </c>
      <c r="U897" t="str">
        <f t="shared" si="26"/>
        <v>Expiring Soon</v>
      </c>
      <c r="V897" t="s">
        <v>3187</v>
      </c>
      <c r="W897">
        <v>29</v>
      </c>
      <c r="X897" s="3">
        <f t="shared" si="27"/>
        <v>4959</v>
      </c>
      <c r="Y897">
        <v>54</v>
      </c>
      <c r="Z897" t="s">
        <v>30</v>
      </c>
      <c r="AA897" s="3">
        <f>X897-Grocery_Inventory_and_Sales_Dat!N897</f>
        <v>4788</v>
      </c>
    </row>
    <row r="898" spans="1:27" x14ac:dyDescent="0.3">
      <c r="A898" t="s">
        <v>3188</v>
      </c>
      <c r="B898" t="s">
        <v>355</v>
      </c>
      <c r="C898" t="s">
        <v>52</v>
      </c>
      <c r="D898" t="s">
        <v>3189</v>
      </c>
      <c r="E898" s="13" t="s">
        <v>1601</v>
      </c>
      <c r="G898" s="2">
        <v>89</v>
      </c>
      <c r="H898">
        <v>40</v>
      </c>
      <c r="I898">
        <v>64</v>
      </c>
      <c r="J898" t="s">
        <v>55</v>
      </c>
      <c r="K898">
        <v>0</v>
      </c>
      <c r="L898" t="s">
        <v>41</v>
      </c>
      <c r="M898" s="12">
        <v>4</v>
      </c>
      <c r="N898" s="3">
        <f>G898*M898</f>
        <v>356</v>
      </c>
      <c r="O898" s="1">
        <v>45581</v>
      </c>
      <c r="P898" s="1">
        <v>45993</v>
      </c>
      <c r="Q898" s="1">
        <v>45554</v>
      </c>
      <c r="R898">
        <v>498</v>
      </c>
      <c r="S898">
        <v>86</v>
      </c>
      <c r="T898">
        <v>525</v>
      </c>
      <c r="U898" t="str">
        <f t="shared" si="26"/>
        <v>Expiring Soon</v>
      </c>
      <c r="V898" t="s">
        <v>3190</v>
      </c>
      <c r="W898">
        <v>93</v>
      </c>
      <c r="X898" s="3">
        <f t="shared" si="27"/>
        <v>33108</v>
      </c>
      <c r="Y898">
        <v>48</v>
      </c>
      <c r="Z898" t="s">
        <v>49</v>
      </c>
      <c r="AA898" s="3">
        <f>X898-Grocery_Inventory_and_Sales_Dat!N898</f>
        <v>32752</v>
      </c>
    </row>
    <row r="899" spans="1:27" x14ac:dyDescent="0.3">
      <c r="A899" t="s">
        <v>3191</v>
      </c>
      <c r="B899" t="s">
        <v>538</v>
      </c>
      <c r="C899" t="s">
        <v>138</v>
      </c>
      <c r="D899" t="s">
        <v>3192</v>
      </c>
      <c r="E899" s="13" t="s">
        <v>277</v>
      </c>
      <c r="G899" s="2">
        <v>96</v>
      </c>
      <c r="H899">
        <v>12</v>
      </c>
      <c r="I899">
        <v>8</v>
      </c>
      <c r="J899" t="s">
        <v>55</v>
      </c>
      <c r="K899">
        <v>0</v>
      </c>
      <c r="L899" t="s">
        <v>41</v>
      </c>
      <c r="M899" s="12">
        <v>8</v>
      </c>
      <c r="N899" s="3">
        <f>G899*M899</f>
        <v>768</v>
      </c>
      <c r="O899" s="1">
        <v>45601</v>
      </c>
      <c r="P899" s="1">
        <v>45436</v>
      </c>
      <c r="Q899" s="1">
        <v>45524</v>
      </c>
      <c r="R899">
        <v>478</v>
      </c>
      <c r="S899">
        <v>643</v>
      </c>
      <c r="T899">
        <v>555</v>
      </c>
      <c r="U899" t="str">
        <f t="shared" ref="U899:U962" si="28">IF(T899&lt;0,"Expired",IF(T899&lt;=550,"Expiring Soon","Safe"))</f>
        <v>Safe</v>
      </c>
      <c r="V899" t="s">
        <v>3193</v>
      </c>
      <c r="W899">
        <v>97</v>
      </c>
      <c r="X899" s="3">
        <f t="shared" ref="X899:X962" si="29">W899*N899</f>
        <v>74496</v>
      </c>
      <c r="Y899">
        <v>92</v>
      </c>
      <c r="Z899" t="s">
        <v>49</v>
      </c>
      <c r="AA899" s="3">
        <f>X899-Grocery_Inventory_and_Sales_Dat!N899</f>
        <v>73728</v>
      </c>
    </row>
    <row r="900" spans="1:27" x14ac:dyDescent="0.3">
      <c r="A900" t="s">
        <v>3194</v>
      </c>
      <c r="B900" t="s">
        <v>153</v>
      </c>
      <c r="C900" t="s">
        <v>70</v>
      </c>
      <c r="D900" t="s">
        <v>3195</v>
      </c>
      <c r="E900" s="13" t="s">
        <v>3196</v>
      </c>
      <c r="G900" s="2">
        <v>52</v>
      </c>
      <c r="H900">
        <v>56</v>
      </c>
      <c r="I900">
        <v>34</v>
      </c>
      <c r="J900" t="s">
        <v>27</v>
      </c>
      <c r="K900">
        <v>56</v>
      </c>
      <c r="L900" t="s">
        <v>41</v>
      </c>
      <c r="M900" s="12">
        <v>12</v>
      </c>
      <c r="N900" s="3">
        <f>G900*M900</f>
        <v>624</v>
      </c>
      <c r="O900" s="1">
        <v>45562</v>
      </c>
      <c r="P900" s="1">
        <v>45392</v>
      </c>
      <c r="Q900" s="1">
        <v>45501</v>
      </c>
      <c r="R900">
        <v>517</v>
      </c>
      <c r="S900">
        <v>687</v>
      </c>
      <c r="T900">
        <v>578</v>
      </c>
      <c r="U900" t="str">
        <f t="shared" si="28"/>
        <v>Safe</v>
      </c>
      <c r="V900" t="s">
        <v>3197</v>
      </c>
      <c r="W900">
        <v>31</v>
      </c>
      <c r="X900" s="3">
        <f t="shared" si="29"/>
        <v>19344</v>
      </c>
      <c r="Y900">
        <v>69</v>
      </c>
      <c r="Z900" t="s">
        <v>43</v>
      </c>
      <c r="AA900" s="3">
        <f>X900-Grocery_Inventory_and_Sales_Dat!N900</f>
        <v>18720</v>
      </c>
    </row>
    <row r="901" spans="1:27" x14ac:dyDescent="0.3">
      <c r="A901" t="s">
        <v>3198</v>
      </c>
      <c r="B901" t="s">
        <v>743</v>
      </c>
      <c r="C901" t="s">
        <v>64</v>
      </c>
      <c r="D901" t="s">
        <v>3199</v>
      </c>
      <c r="E901" s="13" t="s">
        <v>1692</v>
      </c>
      <c r="G901" s="2">
        <v>97</v>
      </c>
      <c r="H901">
        <v>20</v>
      </c>
      <c r="I901">
        <v>8</v>
      </c>
      <c r="J901" t="s">
        <v>55</v>
      </c>
      <c r="K901">
        <v>0</v>
      </c>
      <c r="L901" t="s">
        <v>41</v>
      </c>
      <c r="M901" s="12">
        <v>6.5</v>
      </c>
      <c r="N901" s="3">
        <f>G901*M901</f>
        <v>630.5</v>
      </c>
      <c r="O901" s="1">
        <v>45459</v>
      </c>
      <c r="P901" s="1">
        <v>45454</v>
      </c>
      <c r="Q901" s="1">
        <v>45605</v>
      </c>
      <c r="R901">
        <v>620</v>
      </c>
      <c r="S901">
        <v>625</v>
      </c>
      <c r="T901">
        <v>474</v>
      </c>
      <c r="U901" t="str">
        <f t="shared" si="28"/>
        <v>Expiring Soon</v>
      </c>
      <c r="V901" t="s">
        <v>3200</v>
      </c>
      <c r="W901">
        <v>51</v>
      </c>
      <c r="X901" s="3">
        <f t="shared" si="29"/>
        <v>32155.5</v>
      </c>
      <c r="Y901">
        <v>51</v>
      </c>
      <c r="Z901" t="s">
        <v>49</v>
      </c>
      <c r="AA901" s="3">
        <f>X901-Grocery_Inventory_and_Sales_Dat!N901</f>
        <v>31525</v>
      </c>
    </row>
    <row r="902" spans="1:27" x14ac:dyDescent="0.3">
      <c r="A902" t="s">
        <v>3201</v>
      </c>
      <c r="B902" t="s">
        <v>1172</v>
      </c>
      <c r="C902" t="s">
        <v>138</v>
      </c>
      <c r="D902" t="s">
        <v>3202</v>
      </c>
      <c r="E902" s="13" t="s">
        <v>1445</v>
      </c>
      <c r="G902" s="2">
        <v>88</v>
      </c>
      <c r="H902">
        <v>42</v>
      </c>
      <c r="I902">
        <v>68</v>
      </c>
      <c r="J902" t="s">
        <v>55</v>
      </c>
      <c r="K902">
        <v>0</v>
      </c>
      <c r="L902" t="s">
        <v>41</v>
      </c>
      <c r="M902" s="12">
        <v>20</v>
      </c>
      <c r="N902" s="3">
        <f>G902*M902</f>
        <v>1760</v>
      </c>
      <c r="O902" s="1">
        <v>45466</v>
      </c>
      <c r="P902" s="1">
        <v>45625</v>
      </c>
      <c r="Q902" s="1">
        <v>45391</v>
      </c>
      <c r="R902">
        <v>613</v>
      </c>
      <c r="S902">
        <v>454</v>
      </c>
      <c r="T902">
        <v>688</v>
      </c>
      <c r="U902" t="str">
        <f t="shared" si="28"/>
        <v>Safe</v>
      </c>
      <c r="V902" t="s">
        <v>3203</v>
      </c>
      <c r="W902">
        <v>92</v>
      </c>
      <c r="X902" s="3">
        <f t="shared" si="29"/>
        <v>161920</v>
      </c>
      <c r="Y902">
        <v>29</v>
      </c>
      <c r="Z902" t="s">
        <v>49</v>
      </c>
      <c r="AA902" s="3">
        <f>X902-Grocery_Inventory_and_Sales_Dat!N902</f>
        <v>160160</v>
      </c>
    </row>
    <row r="903" spans="1:27" x14ac:dyDescent="0.3">
      <c r="A903" t="s">
        <v>3204</v>
      </c>
      <c r="B903" t="s">
        <v>473</v>
      </c>
      <c r="C903" t="s">
        <v>24</v>
      </c>
      <c r="D903" t="s">
        <v>3205</v>
      </c>
      <c r="E903" s="13" t="s">
        <v>2526</v>
      </c>
      <c r="G903" s="2">
        <v>33</v>
      </c>
      <c r="H903">
        <v>44</v>
      </c>
      <c r="I903">
        <v>89</v>
      </c>
      <c r="J903" t="s">
        <v>27</v>
      </c>
      <c r="K903">
        <v>44</v>
      </c>
      <c r="L903" t="s">
        <v>41</v>
      </c>
      <c r="M903" s="12">
        <v>4.75</v>
      </c>
      <c r="N903" s="3">
        <f>G903*M903</f>
        <v>156.75</v>
      </c>
      <c r="O903" s="1">
        <v>45366</v>
      </c>
      <c r="P903" s="1">
        <v>45421</v>
      </c>
      <c r="Q903" s="1">
        <v>45399</v>
      </c>
      <c r="R903">
        <v>713</v>
      </c>
      <c r="S903">
        <v>658</v>
      </c>
      <c r="T903">
        <v>680</v>
      </c>
      <c r="U903" t="str">
        <f t="shared" si="28"/>
        <v>Safe</v>
      </c>
      <c r="V903" t="s">
        <v>3206</v>
      </c>
      <c r="W903">
        <v>93</v>
      </c>
      <c r="X903" s="3">
        <f t="shared" si="29"/>
        <v>14577.75</v>
      </c>
      <c r="Y903">
        <v>19</v>
      </c>
      <c r="Z903" t="s">
        <v>30</v>
      </c>
      <c r="AA903" s="3">
        <f>X903-Grocery_Inventory_and_Sales_Dat!N903</f>
        <v>14421</v>
      </c>
    </row>
    <row r="904" spans="1:27" x14ac:dyDescent="0.3">
      <c r="A904" t="s">
        <v>3207</v>
      </c>
      <c r="B904" t="s">
        <v>473</v>
      </c>
      <c r="C904" t="s">
        <v>24</v>
      </c>
      <c r="D904" t="s">
        <v>3208</v>
      </c>
      <c r="E904" s="13" t="s">
        <v>277</v>
      </c>
      <c r="G904" s="2">
        <v>98</v>
      </c>
      <c r="H904">
        <v>20</v>
      </c>
      <c r="I904">
        <v>81</v>
      </c>
      <c r="J904" t="s">
        <v>55</v>
      </c>
      <c r="K904">
        <v>0</v>
      </c>
      <c r="L904" t="s">
        <v>41</v>
      </c>
      <c r="M904" s="12">
        <v>4.75</v>
      </c>
      <c r="N904" s="3">
        <f>G904*M904</f>
        <v>465.5</v>
      </c>
      <c r="O904" s="1">
        <v>45518</v>
      </c>
      <c r="P904" s="1">
        <v>45572</v>
      </c>
      <c r="Q904" s="1">
        <v>45656</v>
      </c>
      <c r="R904">
        <v>561</v>
      </c>
      <c r="S904">
        <v>507</v>
      </c>
      <c r="T904">
        <v>423</v>
      </c>
      <c r="U904" t="str">
        <f t="shared" si="28"/>
        <v>Expiring Soon</v>
      </c>
      <c r="V904" t="s">
        <v>3209</v>
      </c>
      <c r="W904">
        <v>51</v>
      </c>
      <c r="X904" s="3">
        <f t="shared" si="29"/>
        <v>23740.5</v>
      </c>
      <c r="Y904">
        <v>23</v>
      </c>
      <c r="Z904" t="s">
        <v>43</v>
      </c>
      <c r="AA904" s="3">
        <f>X904-Grocery_Inventory_and_Sales_Dat!N904</f>
        <v>23275</v>
      </c>
    </row>
    <row r="905" spans="1:27" x14ac:dyDescent="0.3">
      <c r="A905" t="s">
        <v>3210</v>
      </c>
      <c r="B905" t="s">
        <v>560</v>
      </c>
      <c r="C905" t="s">
        <v>52</v>
      </c>
      <c r="D905" t="s">
        <v>3211</v>
      </c>
      <c r="E905" s="13" t="s">
        <v>423</v>
      </c>
      <c r="G905" s="2">
        <v>45</v>
      </c>
      <c r="H905">
        <v>79</v>
      </c>
      <c r="I905">
        <v>95</v>
      </c>
      <c r="J905" t="s">
        <v>27</v>
      </c>
      <c r="K905">
        <v>79</v>
      </c>
      <c r="L905" t="s">
        <v>28</v>
      </c>
      <c r="M905" s="12">
        <v>4</v>
      </c>
      <c r="N905" s="3">
        <f>G905*M905</f>
        <v>180</v>
      </c>
      <c r="O905" s="1">
        <v>45455</v>
      </c>
      <c r="P905" s="1">
        <v>45469</v>
      </c>
      <c r="Q905" s="1">
        <v>45611</v>
      </c>
      <c r="R905">
        <v>624</v>
      </c>
      <c r="S905">
        <v>610</v>
      </c>
      <c r="T905">
        <v>468</v>
      </c>
      <c r="U905" t="str">
        <f t="shared" si="28"/>
        <v>Expiring Soon</v>
      </c>
      <c r="V905" t="s">
        <v>3212</v>
      </c>
      <c r="W905">
        <v>84</v>
      </c>
      <c r="X905" s="3">
        <f t="shared" si="29"/>
        <v>15120</v>
      </c>
      <c r="Y905">
        <v>62</v>
      </c>
      <c r="Z905" t="s">
        <v>43</v>
      </c>
      <c r="AA905" s="3">
        <f>X905-Grocery_Inventory_and_Sales_Dat!N905</f>
        <v>14940</v>
      </c>
    </row>
    <row r="906" spans="1:27" x14ac:dyDescent="0.3">
      <c r="A906" t="s">
        <v>3213</v>
      </c>
      <c r="B906" t="s">
        <v>595</v>
      </c>
      <c r="C906" t="s">
        <v>24</v>
      </c>
      <c r="D906" t="s">
        <v>3214</v>
      </c>
      <c r="E906" s="13" t="s">
        <v>2274</v>
      </c>
      <c r="G906" s="2">
        <v>80</v>
      </c>
      <c r="H906">
        <v>86</v>
      </c>
      <c r="I906">
        <v>50</v>
      </c>
      <c r="J906" t="s">
        <v>27</v>
      </c>
      <c r="K906">
        <v>86</v>
      </c>
      <c r="L906" t="s">
        <v>28</v>
      </c>
      <c r="M906" s="12">
        <v>1.8</v>
      </c>
      <c r="N906" s="3">
        <f>G906*M906</f>
        <v>144</v>
      </c>
      <c r="O906" s="1">
        <v>45417</v>
      </c>
      <c r="P906" s="1">
        <v>45495</v>
      </c>
      <c r="Q906" s="1">
        <v>45712</v>
      </c>
      <c r="R906">
        <v>662</v>
      </c>
      <c r="S906">
        <v>584</v>
      </c>
      <c r="T906">
        <v>367</v>
      </c>
      <c r="U906" t="str">
        <f t="shared" si="28"/>
        <v>Expiring Soon</v>
      </c>
      <c r="V906" t="s">
        <v>3215</v>
      </c>
      <c r="W906">
        <v>46</v>
      </c>
      <c r="X906" s="3">
        <f t="shared" si="29"/>
        <v>6624</v>
      </c>
      <c r="Y906">
        <v>69</v>
      </c>
      <c r="Z906" t="s">
        <v>30</v>
      </c>
      <c r="AA906" s="3">
        <f>X906-Grocery_Inventory_and_Sales_Dat!N906</f>
        <v>6480</v>
      </c>
    </row>
    <row r="907" spans="1:27" x14ac:dyDescent="0.3">
      <c r="A907" t="s">
        <v>3216</v>
      </c>
      <c r="B907" t="s">
        <v>1172</v>
      </c>
      <c r="C907" t="s">
        <v>138</v>
      </c>
      <c r="D907" t="s">
        <v>3217</v>
      </c>
      <c r="E907" s="13" t="s">
        <v>699</v>
      </c>
      <c r="G907" s="2">
        <v>68</v>
      </c>
      <c r="H907">
        <v>43</v>
      </c>
      <c r="I907">
        <v>96</v>
      </c>
      <c r="J907" t="s">
        <v>55</v>
      </c>
      <c r="K907">
        <v>0</v>
      </c>
      <c r="L907" t="s">
        <v>41</v>
      </c>
      <c r="M907" s="12">
        <v>20</v>
      </c>
      <c r="N907" s="3">
        <f>G907*M907</f>
        <v>1360</v>
      </c>
      <c r="O907" s="1">
        <v>45613</v>
      </c>
      <c r="P907" s="1">
        <v>45410</v>
      </c>
      <c r="Q907" s="1">
        <v>45580</v>
      </c>
      <c r="R907">
        <v>466</v>
      </c>
      <c r="S907">
        <v>669</v>
      </c>
      <c r="T907">
        <v>499</v>
      </c>
      <c r="U907" t="str">
        <f t="shared" si="28"/>
        <v>Expiring Soon</v>
      </c>
      <c r="V907" t="s">
        <v>3218</v>
      </c>
      <c r="W907">
        <v>75</v>
      </c>
      <c r="X907" s="3">
        <f t="shared" si="29"/>
        <v>102000</v>
      </c>
      <c r="Y907">
        <v>35</v>
      </c>
      <c r="Z907" t="s">
        <v>43</v>
      </c>
      <c r="AA907" s="3">
        <f>X907-Grocery_Inventory_and_Sales_Dat!N907</f>
        <v>100640</v>
      </c>
    </row>
    <row r="908" spans="1:27" x14ac:dyDescent="0.3">
      <c r="A908" t="s">
        <v>3219</v>
      </c>
      <c r="B908" t="s">
        <v>1190</v>
      </c>
      <c r="C908" t="s">
        <v>52</v>
      </c>
      <c r="D908" t="s">
        <v>3220</v>
      </c>
      <c r="E908" s="13" t="s">
        <v>1237</v>
      </c>
      <c r="G908" s="2">
        <v>90</v>
      </c>
      <c r="H908">
        <v>91</v>
      </c>
      <c r="I908">
        <v>62</v>
      </c>
      <c r="J908" t="s">
        <v>27</v>
      </c>
      <c r="K908">
        <v>91</v>
      </c>
      <c r="L908" t="s">
        <v>28</v>
      </c>
      <c r="M908" s="12">
        <v>5</v>
      </c>
      <c r="N908" s="3">
        <f>G908*M908</f>
        <v>450</v>
      </c>
      <c r="O908" s="1">
        <v>45620</v>
      </c>
      <c r="P908" s="1">
        <v>45623</v>
      </c>
      <c r="Q908" s="1">
        <v>45620</v>
      </c>
      <c r="R908">
        <v>459</v>
      </c>
      <c r="S908">
        <v>456</v>
      </c>
      <c r="T908">
        <v>459</v>
      </c>
      <c r="U908" t="str">
        <f t="shared" si="28"/>
        <v>Expiring Soon</v>
      </c>
      <c r="V908" t="s">
        <v>3221</v>
      </c>
      <c r="W908">
        <v>34</v>
      </c>
      <c r="X908" s="3">
        <f t="shared" si="29"/>
        <v>15300</v>
      </c>
      <c r="Y908">
        <v>72</v>
      </c>
      <c r="Z908" t="s">
        <v>49</v>
      </c>
      <c r="AA908" s="3">
        <f>X908-Grocery_Inventory_and_Sales_Dat!N908</f>
        <v>14850</v>
      </c>
    </row>
    <row r="909" spans="1:27" x14ac:dyDescent="0.3">
      <c r="A909" t="s">
        <v>3222</v>
      </c>
      <c r="B909" t="s">
        <v>137</v>
      </c>
      <c r="C909" t="s">
        <v>138</v>
      </c>
      <c r="D909" t="s">
        <v>3223</v>
      </c>
      <c r="E909" s="13" t="s">
        <v>1293</v>
      </c>
      <c r="G909" s="2">
        <v>89</v>
      </c>
      <c r="H909">
        <v>67</v>
      </c>
      <c r="I909">
        <v>89</v>
      </c>
      <c r="J909" t="s">
        <v>55</v>
      </c>
      <c r="K909">
        <v>0</v>
      </c>
      <c r="L909" t="s">
        <v>41</v>
      </c>
      <c r="M909" s="12">
        <v>12</v>
      </c>
      <c r="N909" s="3">
        <f>G909*M909</f>
        <v>1068</v>
      </c>
      <c r="O909" s="1">
        <v>45702</v>
      </c>
      <c r="P909" s="1">
        <v>45778</v>
      </c>
      <c r="Q909" s="1">
        <v>45606</v>
      </c>
      <c r="R909">
        <v>377</v>
      </c>
      <c r="S909">
        <v>301</v>
      </c>
      <c r="T909">
        <v>473</v>
      </c>
      <c r="U909" t="str">
        <f t="shared" si="28"/>
        <v>Expiring Soon</v>
      </c>
      <c r="V909" t="s">
        <v>3224</v>
      </c>
      <c r="W909">
        <v>96</v>
      </c>
      <c r="X909" s="3">
        <f t="shared" si="29"/>
        <v>102528</v>
      </c>
      <c r="Y909">
        <v>42</v>
      </c>
      <c r="Z909" t="s">
        <v>30</v>
      </c>
      <c r="AA909" s="3">
        <f>X909-Grocery_Inventory_and_Sales_Dat!N909</f>
        <v>101460</v>
      </c>
    </row>
    <row r="910" spans="1:27" x14ac:dyDescent="0.3">
      <c r="A910" t="s">
        <v>3225</v>
      </c>
      <c r="B910" t="s">
        <v>182</v>
      </c>
      <c r="C910" t="s">
        <v>52</v>
      </c>
      <c r="D910" t="s">
        <v>3226</v>
      </c>
      <c r="E910" s="13" t="s">
        <v>1795</v>
      </c>
      <c r="G910" s="2">
        <v>38</v>
      </c>
      <c r="H910">
        <v>94</v>
      </c>
      <c r="I910">
        <v>87</v>
      </c>
      <c r="J910" t="s">
        <v>27</v>
      </c>
      <c r="K910">
        <v>94</v>
      </c>
      <c r="L910" t="s">
        <v>28</v>
      </c>
      <c r="M910" s="12">
        <v>1.8</v>
      </c>
      <c r="N910" s="3">
        <f>G910*M910</f>
        <v>68.400000000000006</v>
      </c>
      <c r="O910" s="1">
        <v>45439</v>
      </c>
      <c r="P910" s="1">
        <v>45356</v>
      </c>
      <c r="Q910" s="1">
        <v>45525</v>
      </c>
      <c r="R910">
        <v>640</v>
      </c>
      <c r="S910">
        <v>723</v>
      </c>
      <c r="T910">
        <v>554</v>
      </c>
      <c r="U910" t="str">
        <f t="shared" si="28"/>
        <v>Safe</v>
      </c>
      <c r="V910" t="s">
        <v>3227</v>
      </c>
      <c r="W910">
        <v>89</v>
      </c>
      <c r="X910" s="3">
        <f t="shared" si="29"/>
        <v>6087.6</v>
      </c>
      <c r="Y910">
        <v>100</v>
      </c>
      <c r="Z910" t="s">
        <v>30</v>
      </c>
      <c r="AA910" s="3">
        <f>X910-Grocery_Inventory_and_Sales_Dat!N910</f>
        <v>6019.2000000000007</v>
      </c>
    </row>
    <row r="911" spans="1:27" x14ac:dyDescent="0.3">
      <c r="A911" t="s">
        <v>3228</v>
      </c>
      <c r="B911" t="s">
        <v>143</v>
      </c>
      <c r="C911" t="s">
        <v>52</v>
      </c>
      <c r="D911" t="s">
        <v>3229</v>
      </c>
      <c r="E911" s="13" t="s">
        <v>3230</v>
      </c>
      <c r="G911" s="2">
        <v>99</v>
      </c>
      <c r="H911">
        <v>37</v>
      </c>
      <c r="I911">
        <v>74</v>
      </c>
      <c r="J911" t="s">
        <v>55</v>
      </c>
      <c r="K911">
        <v>0</v>
      </c>
      <c r="L911" t="s">
        <v>41</v>
      </c>
      <c r="M911" s="12">
        <v>2.1</v>
      </c>
      <c r="N911" s="3">
        <f>G911*M911</f>
        <v>207.9</v>
      </c>
      <c r="O911" s="1">
        <v>45498</v>
      </c>
      <c r="P911" s="1">
        <v>45647</v>
      </c>
      <c r="Q911" s="1">
        <v>45353</v>
      </c>
      <c r="R911">
        <v>581</v>
      </c>
      <c r="S911">
        <v>432</v>
      </c>
      <c r="T911">
        <v>726</v>
      </c>
      <c r="U911" t="str">
        <f t="shared" si="28"/>
        <v>Safe</v>
      </c>
      <c r="V911" t="s">
        <v>3231</v>
      </c>
      <c r="W911">
        <v>46</v>
      </c>
      <c r="X911" s="3">
        <f t="shared" si="29"/>
        <v>9563.4</v>
      </c>
      <c r="Y911">
        <v>46</v>
      </c>
      <c r="Z911" t="s">
        <v>49</v>
      </c>
      <c r="AA911" s="3">
        <f>X911-Grocery_Inventory_and_Sales_Dat!N911</f>
        <v>9355.5</v>
      </c>
    </row>
    <row r="912" spans="1:27" x14ac:dyDescent="0.3">
      <c r="A912" t="s">
        <v>3232</v>
      </c>
      <c r="B912" t="s">
        <v>693</v>
      </c>
      <c r="C912" t="s">
        <v>24</v>
      </c>
      <c r="D912" t="s">
        <v>3233</v>
      </c>
      <c r="E912" s="13" t="s">
        <v>899</v>
      </c>
      <c r="G912" s="2">
        <v>66</v>
      </c>
      <c r="H912">
        <v>19</v>
      </c>
      <c r="I912">
        <v>20</v>
      </c>
      <c r="J912" t="s">
        <v>55</v>
      </c>
      <c r="K912">
        <v>0</v>
      </c>
      <c r="L912" t="s">
        <v>41</v>
      </c>
      <c r="M912" s="12">
        <v>2.4</v>
      </c>
      <c r="N912" s="3">
        <f>G912*M912</f>
        <v>158.4</v>
      </c>
      <c r="O912" s="1">
        <v>45553</v>
      </c>
      <c r="P912" s="1">
        <v>45482</v>
      </c>
      <c r="Q912" s="1">
        <v>45444</v>
      </c>
      <c r="R912">
        <v>526</v>
      </c>
      <c r="S912">
        <v>597</v>
      </c>
      <c r="T912">
        <v>635</v>
      </c>
      <c r="U912" t="str">
        <f t="shared" si="28"/>
        <v>Safe</v>
      </c>
      <c r="V912" t="s">
        <v>3234</v>
      </c>
      <c r="W912">
        <v>30</v>
      </c>
      <c r="X912" s="3">
        <f t="shared" si="29"/>
        <v>4752</v>
      </c>
      <c r="Y912">
        <v>49</v>
      </c>
      <c r="Z912" t="s">
        <v>49</v>
      </c>
      <c r="AA912" s="3">
        <f>X912-Grocery_Inventory_and_Sales_Dat!N912</f>
        <v>4593.6000000000004</v>
      </c>
    </row>
    <row r="913" spans="1:27" x14ac:dyDescent="0.3">
      <c r="A913" t="s">
        <v>3235</v>
      </c>
      <c r="B913" t="s">
        <v>551</v>
      </c>
      <c r="C913" t="s">
        <v>52</v>
      </c>
      <c r="D913" t="s">
        <v>3236</v>
      </c>
      <c r="E913" s="13" t="s">
        <v>2126</v>
      </c>
      <c r="G913" s="2">
        <v>66</v>
      </c>
      <c r="H913">
        <v>28</v>
      </c>
      <c r="I913">
        <v>7</v>
      </c>
      <c r="J913" t="s">
        <v>55</v>
      </c>
      <c r="K913">
        <v>0</v>
      </c>
      <c r="L913" t="s">
        <v>41</v>
      </c>
      <c r="M913" s="12">
        <v>6</v>
      </c>
      <c r="N913" s="3">
        <f>G913*M913</f>
        <v>396</v>
      </c>
      <c r="O913" s="1">
        <v>45409</v>
      </c>
      <c r="P913" s="1">
        <v>45591</v>
      </c>
      <c r="Q913" s="1">
        <v>45518</v>
      </c>
      <c r="R913">
        <v>670</v>
      </c>
      <c r="S913">
        <v>488</v>
      </c>
      <c r="T913">
        <v>561</v>
      </c>
      <c r="U913" t="str">
        <f t="shared" si="28"/>
        <v>Safe</v>
      </c>
      <c r="V913" t="s">
        <v>3237</v>
      </c>
      <c r="W913">
        <v>85</v>
      </c>
      <c r="X913" s="3">
        <f t="shared" si="29"/>
        <v>33660</v>
      </c>
      <c r="Y913">
        <v>6</v>
      </c>
      <c r="Z913" t="s">
        <v>43</v>
      </c>
      <c r="AA913" s="3">
        <f>X913-Grocery_Inventory_and_Sales_Dat!N913</f>
        <v>33264</v>
      </c>
    </row>
    <row r="914" spans="1:27" x14ac:dyDescent="0.3">
      <c r="A914" t="s">
        <v>3238</v>
      </c>
      <c r="B914" t="s">
        <v>114</v>
      </c>
      <c r="C914" t="s">
        <v>24</v>
      </c>
      <c r="D914" t="s">
        <v>3239</v>
      </c>
      <c r="E914" s="13" t="s">
        <v>1005</v>
      </c>
      <c r="G914" s="2">
        <v>64</v>
      </c>
      <c r="H914">
        <v>11</v>
      </c>
      <c r="I914">
        <v>97</v>
      </c>
      <c r="J914" t="s">
        <v>55</v>
      </c>
      <c r="K914">
        <v>0</v>
      </c>
      <c r="L914" t="s">
        <v>41</v>
      </c>
      <c r="M914" s="12">
        <v>1.5</v>
      </c>
      <c r="N914" s="3">
        <f>G914*M914</f>
        <v>96</v>
      </c>
      <c r="O914" s="1">
        <v>45652</v>
      </c>
      <c r="P914" s="1">
        <v>45644</v>
      </c>
      <c r="Q914" s="1">
        <v>45478</v>
      </c>
      <c r="R914">
        <v>427</v>
      </c>
      <c r="S914">
        <v>435</v>
      </c>
      <c r="T914">
        <v>601</v>
      </c>
      <c r="U914" t="str">
        <f t="shared" si="28"/>
        <v>Safe</v>
      </c>
      <c r="V914" t="s">
        <v>3240</v>
      </c>
      <c r="W914">
        <v>33</v>
      </c>
      <c r="X914" s="3">
        <f t="shared" si="29"/>
        <v>3168</v>
      </c>
      <c r="Y914">
        <v>83</v>
      </c>
      <c r="Z914" t="s">
        <v>30</v>
      </c>
      <c r="AA914" s="3">
        <f>X914-Grocery_Inventory_and_Sales_Dat!N914</f>
        <v>3072</v>
      </c>
    </row>
    <row r="915" spans="1:27" x14ac:dyDescent="0.3">
      <c r="A915" t="s">
        <v>3241</v>
      </c>
      <c r="B915" t="s">
        <v>38</v>
      </c>
      <c r="C915" t="s">
        <v>24</v>
      </c>
      <c r="D915" t="s">
        <v>3242</v>
      </c>
      <c r="E915" s="13" t="s">
        <v>2470</v>
      </c>
      <c r="G915" s="2">
        <v>18</v>
      </c>
      <c r="H915">
        <v>78</v>
      </c>
      <c r="I915">
        <v>43</v>
      </c>
      <c r="J915" t="s">
        <v>27</v>
      </c>
      <c r="K915">
        <v>78</v>
      </c>
      <c r="L915" t="s">
        <v>28</v>
      </c>
      <c r="M915" s="12">
        <v>6</v>
      </c>
      <c r="N915" s="3">
        <f>G915*M915</f>
        <v>108</v>
      </c>
      <c r="O915" s="1">
        <v>45748</v>
      </c>
      <c r="P915" s="1">
        <v>45419</v>
      </c>
      <c r="Q915" s="1">
        <v>45364</v>
      </c>
      <c r="R915">
        <v>331</v>
      </c>
      <c r="S915">
        <v>660</v>
      </c>
      <c r="T915">
        <v>715</v>
      </c>
      <c r="U915" t="str">
        <f t="shared" si="28"/>
        <v>Safe</v>
      </c>
      <c r="V915" t="s">
        <v>3243</v>
      </c>
      <c r="W915">
        <v>85</v>
      </c>
      <c r="X915" s="3">
        <f t="shared" si="29"/>
        <v>9180</v>
      </c>
      <c r="Y915">
        <v>97</v>
      </c>
      <c r="Z915" t="s">
        <v>49</v>
      </c>
      <c r="AA915" s="3">
        <f>X915-Grocery_Inventory_and_Sales_Dat!N915</f>
        <v>9072</v>
      </c>
    </row>
    <row r="916" spans="1:27" x14ac:dyDescent="0.3">
      <c r="A916" t="s">
        <v>3244</v>
      </c>
      <c r="B916" t="s">
        <v>777</v>
      </c>
      <c r="C916" t="s">
        <v>24</v>
      </c>
      <c r="D916" t="s">
        <v>3245</v>
      </c>
      <c r="E916" s="13" t="s">
        <v>1321</v>
      </c>
      <c r="G916" s="2">
        <v>86</v>
      </c>
      <c r="H916">
        <v>100</v>
      </c>
      <c r="I916">
        <v>78</v>
      </c>
      <c r="J916" t="s">
        <v>27</v>
      </c>
      <c r="K916">
        <v>100</v>
      </c>
      <c r="L916" t="s">
        <v>28</v>
      </c>
      <c r="M916" s="12">
        <v>2.75</v>
      </c>
      <c r="N916" s="3">
        <f>G916*M916</f>
        <v>236.5</v>
      </c>
      <c r="O916" s="1">
        <v>45447</v>
      </c>
      <c r="P916" s="1">
        <v>45440</v>
      </c>
      <c r="Q916" s="1">
        <v>45693</v>
      </c>
      <c r="R916">
        <v>632</v>
      </c>
      <c r="S916">
        <v>639</v>
      </c>
      <c r="T916">
        <v>386</v>
      </c>
      <c r="U916" t="str">
        <f t="shared" si="28"/>
        <v>Expiring Soon</v>
      </c>
      <c r="V916" t="s">
        <v>3246</v>
      </c>
      <c r="W916">
        <v>52</v>
      </c>
      <c r="X916" s="3">
        <f t="shared" si="29"/>
        <v>12298</v>
      </c>
      <c r="Y916">
        <v>91</v>
      </c>
      <c r="Z916" t="s">
        <v>43</v>
      </c>
      <c r="AA916" s="3">
        <f>X916-Grocery_Inventory_and_Sales_Dat!N916</f>
        <v>12061.5</v>
      </c>
    </row>
    <row r="917" spans="1:27" x14ac:dyDescent="0.3">
      <c r="A917" t="s">
        <v>3247</v>
      </c>
      <c r="B917" t="s">
        <v>322</v>
      </c>
      <c r="C917" t="s">
        <v>33</v>
      </c>
      <c r="D917" t="s">
        <v>3248</v>
      </c>
      <c r="E917" s="13" t="s">
        <v>222</v>
      </c>
      <c r="G917" s="2">
        <v>35</v>
      </c>
      <c r="H917">
        <v>88</v>
      </c>
      <c r="I917">
        <v>87</v>
      </c>
      <c r="J917" t="s">
        <v>27</v>
      </c>
      <c r="K917">
        <v>88</v>
      </c>
      <c r="L917" t="s">
        <v>28</v>
      </c>
      <c r="M917" s="12">
        <v>4.7</v>
      </c>
      <c r="N917" s="3">
        <f>G917*M917</f>
        <v>164.5</v>
      </c>
      <c r="O917" s="1">
        <v>45416</v>
      </c>
      <c r="P917" s="1">
        <v>45636</v>
      </c>
      <c r="Q917" s="1">
        <v>45617</v>
      </c>
      <c r="R917">
        <v>663</v>
      </c>
      <c r="S917">
        <v>443</v>
      </c>
      <c r="T917">
        <v>462</v>
      </c>
      <c r="U917" t="str">
        <f t="shared" si="28"/>
        <v>Expiring Soon</v>
      </c>
      <c r="V917" t="s">
        <v>3249</v>
      </c>
      <c r="W917">
        <v>39</v>
      </c>
      <c r="X917" s="3">
        <f t="shared" si="29"/>
        <v>6415.5</v>
      </c>
      <c r="Y917">
        <v>62</v>
      </c>
      <c r="Z917" t="s">
        <v>49</v>
      </c>
      <c r="AA917" s="3">
        <f>X917-Grocery_Inventory_and_Sales_Dat!N917</f>
        <v>6251</v>
      </c>
    </row>
    <row r="918" spans="1:27" x14ac:dyDescent="0.3">
      <c r="A918" t="s">
        <v>3250</v>
      </c>
      <c r="B918" t="s">
        <v>143</v>
      </c>
      <c r="C918" t="s">
        <v>52</v>
      </c>
      <c r="D918" t="s">
        <v>3251</v>
      </c>
      <c r="E918" s="13" t="s">
        <v>968</v>
      </c>
      <c r="G918" s="2">
        <v>26</v>
      </c>
      <c r="H918">
        <v>70</v>
      </c>
      <c r="I918">
        <v>52</v>
      </c>
      <c r="J918" t="s">
        <v>27</v>
      </c>
      <c r="K918">
        <v>70</v>
      </c>
      <c r="L918" t="s">
        <v>28</v>
      </c>
      <c r="M918" s="12">
        <v>2</v>
      </c>
      <c r="N918" s="3">
        <f>G918*M918</f>
        <v>52</v>
      </c>
      <c r="O918" s="1">
        <v>45482</v>
      </c>
      <c r="P918" s="1">
        <v>45568</v>
      </c>
      <c r="Q918" s="1">
        <v>45599</v>
      </c>
      <c r="R918">
        <v>597</v>
      </c>
      <c r="S918">
        <v>511</v>
      </c>
      <c r="T918">
        <v>480</v>
      </c>
      <c r="U918" t="str">
        <f t="shared" si="28"/>
        <v>Expiring Soon</v>
      </c>
      <c r="V918" t="s">
        <v>3252</v>
      </c>
      <c r="W918">
        <v>36</v>
      </c>
      <c r="X918" s="3">
        <f t="shared" si="29"/>
        <v>1872</v>
      </c>
      <c r="Y918">
        <v>10</v>
      </c>
      <c r="Z918" t="s">
        <v>30</v>
      </c>
      <c r="AA918" s="3">
        <f>X918-Grocery_Inventory_and_Sales_Dat!N918</f>
        <v>1820</v>
      </c>
    </row>
    <row r="919" spans="1:27" x14ac:dyDescent="0.3">
      <c r="A919" t="s">
        <v>3253</v>
      </c>
      <c r="B919" t="s">
        <v>153</v>
      </c>
      <c r="C919" t="s">
        <v>70</v>
      </c>
      <c r="D919" t="s">
        <v>3254</v>
      </c>
      <c r="E919" s="13" t="s">
        <v>170</v>
      </c>
      <c r="G919" s="2">
        <v>80</v>
      </c>
      <c r="H919">
        <v>100</v>
      </c>
      <c r="I919">
        <v>48</v>
      </c>
      <c r="J919" t="s">
        <v>27</v>
      </c>
      <c r="K919">
        <v>100</v>
      </c>
      <c r="L919" t="s">
        <v>28</v>
      </c>
      <c r="M919" s="12">
        <v>12</v>
      </c>
      <c r="N919" s="3">
        <f>G919*M919</f>
        <v>960</v>
      </c>
      <c r="O919" s="1">
        <v>45522</v>
      </c>
      <c r="P919" s="1">
        <v>45636</v>
      </c>
      <c r="Q919" s="1">
        <v>45388</v>
      </c>
      <c r="R919">
        <v>557</v>
      </c>
      <c r="S919">
        <v>443</v>
      </c>
      <c r="T919">
        <v>691</v>
      </c>
      <c r="U919" t="str">
        <f t="shared" si="28"/>
        <v>Safe</v>
      </c>
      <c r="V919" t="s">
        <v>3255</v>
      </c>
      <c r="W919">
        <v>100</v>
      </c>
      <c r="X919" s="3">
        <f t="shared" si="29"/>
        <v>96000</v>
      </c>
      <c r="Y919">
        <v>28</v>
      </c>
      <c r="Z919" t="s">
        <v>43</v>
      </c>
      <c r="AA919" s="3">
        <f>X919-Grocery_Inventory_and_Sales_Dat!N919</f>
        <v>95040</v>
      </c>
    </row>
    <row r="920" spans="1:27" x14ac:dyDescent="0.3">
      <c r="A920" t="s">
        <v>3256</v>
      </c>
      <c r="B920" t="s">
        <v>220</v>
      </c>
      <c r="C920" t="s">
        <v>52</v>
      </c>
      <c r="D920" t="s">
        <v>3257</v>
      </c>
      <c r="E920" s="13" t="s">
        <v>763</v>
      </c>
      <c r="G920" s="2">
        <v>63</v>
      </c>
      <c r="H920">
        <v>56</v>
      </c>
      <c r="I920">
        <v>33</v>
      </c>
      <c r="J920" t="s">
        <v>55</v>
      </c>
      <c r="K920">
        <v>0</v>
      </c>
      <c r="L920" t="s">
        <v>41</v>
      </c>
      <c r="M920" s="12">
        <v>2.5</v>
      </c>
      <c r="N920" s="3">
        <f>G920*M920</f>
        <v>157.5</v>
      </c>
      <c r="O920" s="1">
        <v>45901</v>
      </c>
      <c r="P920" s="1">
        <v>45479</v>
      </c>
      <c r="Q920" s="1">
        <v>45581</v>
      </c>
      <c r="R920">
        <v>178</v>
      </c>
      <c r="S920">
        <v>600</v>
      </c>
      <c r="T920">
        <v>498</v>
      </c>
      <c r="U920" t="str">
        <f t="shared" si="28"/>
        <v>Expiring Soon</v>
      </c>
      <c r="V920" t="s">
        <v>3258</v>
      </c>
      <c r="W920">
        <v>35</v>
      </c>
      <c r="X920" s="3">
        <f t="shared" si="29"/>
        <v>5512.5</v>
      </c>
      <c r="Y920">
        <v>16</v>
      </c>
      <c r="Z920" t="s">
        <v>43</v>
      </c>
      <c r="AA920" s="3">
        <f>X920-Grocery_Inventory_and_Sales_Dat!N920</f>
        <v>5355</v>
      </c>
    </row>
    <row r="921" spans="1:27" x14ac:dyDescent="0.3">
      <c r="A921" t="s">
        <v>3259</v>
      </c>
      <c r="B921" t="s">
        <v>1439</v>
      </c>
      <c r="C921" t="s">
        <v>95</v>
      </c>
      <c r="D921" t="s">
        <v>3260</v>
      </c>
      <c r="E921" s="13" t="s">
        <v>405</v>
      </c>
      <c r="G921" s="2">
        <v>89</v>
      </c>
      <c r="H921">
        <v>22</v>
      </c>
      <c r="I921">
        <v>23</v>
      </c>
      <c r="J921" t="s">
        <v>55</v>
      </c>
      <c r="K921">
        <v>0</v>
      </c>
      <c r="L921" t="s">
        <v>41</v>
      </c>
      <c r="M921" s="12">
        <v>5.5</v>
      </c>
      <c r="N921" s="3">
        <f>G921*M921</f>
        <v>489.5</v>
      </c>
      <c r="O921" s="1">
        <v>45631</v>
      </c>
      <c r="P921" s="1">
        <v>45468</v>
      </c>
      <c r="Q921" s="1">
        <v>45518</v>
      </c>
      <c r="R921">
        <v>448</v>
      </c>
      <c r="S921">
        <v>611</v>
      </c>
      <c r="T921">
        <v>561</v>
      </c>
      <c r="U921" t="str">
        <f t="shared" si="28"/>
        <v>Safe</v>
      </c>
      <c r="V921" t="s">
        <v>3261</v>
      </c>
      <c r="W921">
        <v>83</v>
      </c>
      <c r="X921" s="3">
        <f t="shared" si="29"/>
        <v>40628.5</v>
      </c>
      <c r="Y921">
        <v>25</v>
      </c>
      <c r="Z921" t="s">
        <v>30</v>
      </c>
      <c r="AA921" s="3">
        <f>X921-Grocery_Inventory_and_Sales_Dat!N921</f>
        <v>40139</v>
      </c>
    </row>
    <row r="922" spans="1:27" x14ac:dyDescent="0.3">
      <c r="A922" t="s">
        <v>3262</v>
      </c>
      <c r="B922" t="s">
        <v>1537</v>
      </c>
      <c r="C922" t="s">
        <v>52</v>
      </c>
      <c r="D922" t="s">
        <v>3263</v>
      </c>
      <c r="E922" s="13" t="s">
        <v>2601</v>
      </c>
      <c r="G922" s="2">
        <v>80</v>
      </c>
      <c r="H922">
        <v>60</v>
      </c>
      <c r="I922">
        <v>71</v>
      </c>
      <c r="J922" t="s">
        <v>55</v>
      </c>
      <c r="K922">
        <v>0</v>
      </c>
      <c r="L922" t="s">
        <v>41</v>
      </c>
      <c r="M922" s="12">
        <v>2</v>
      </c>
      <c r="N922" s="3">
        <f>G922*M922</f>
        <v>160</v>
      </c>
      <c r="O922" s="1">
        <v>45514</v>
      </c>
      <c r="P922" s="1">
        <v>45458</v>
      </c>
      <c r="Q922" s="1">
        <v>45521</v>
      </c>
      <c r="R922">
        <v>565</v>
      </c>
      <c r="S922">
        <v>621</v>
      </c>
      <c r="T922">
        <v>558</v>
      </c>
      <c r="U922" t="str">
        <f t="shared" si="28"/>
        <v>Safe</v>
      </c>
      <c r="V922" t="s">
        <v>3264</v>
      </c>
      <c r="W922">
        <v>98</v>
      </c>
      <c r="X922" s="3">
        <f t="shared" si="29"/>
        <v>15680</v>
      </c>
      <c r="Y922">
        <v>13</v>
      </c>
      <c r="Z922" t="s">
        <v>49</v>
      </c>
      <c r="AA922" s="3">
        <f>X922-Grocery_Inventory_and_Sales_Dat!N922</f>
        <v>15520</v>
      </c>
    </row>
    <row r="923" spans="1:27" x14ac:dyDescent="0.3">
      <c r="A923" t="s">
        <v>3265</v>
      </c>
      <c r="B923" t="s">
        <v>716</v>
      </c>
      <c r="C923" t="s">
        <v>64</v>
      </c>
      <c r="D923" t="s">
        <v>3266</v>
      </c>
      <c r="E923" s="13" t="s">
        <v>376</v>
      </c>
      <c r="G923" s="2">
        <v>41</v>
      </c>
      <c r="H923">
        <v>66</v>
      </c>
      <c r="I923">
        <v>50</v>
      </c>
      <c r="J923" t="s">
        <v>27</v>
      </c>
      <c r="K923">
        <v>66</v>
      </c>
      <c r="L923" t="s">
        <v>28</v>
      </c>
      <c r="M923" s="12">
        <v>2</v>
      </c>
      <c r="N923" s="3">
        <f>G923*M923</f>
        <v>82</v>
      </c>
      <c r="O923" s="1">
        <v>45706</v>
      </c>
      <c r="P923" s="1">
        <v>45503</v>
      </c>
      <c r="Q923" s="1">
        <v>45367</v>
      </c>
      <c r="R923">
        <v>373</v>
      </c>
      <c r="S923">
        <v>576</v>
      </c>
      <c r="T923">
        <v>712</v>
      </c>
      <c r="U923" t="str">
        <f t="shared" si="28"/>
        <v>Safe</v>
      </c>
      <c r="V923" t="s">
        <v>3267</v>
      </c>
      <c r="W923">
        <v>55</v>
      </c>
      <c r="X923" s="3">
        <f t="shared" si="29"/>
        <v>4510</v>
      </c>
      <c r="Y923">
        <v>74</v>
      </c>
      <c r="Z923" t="s">
        <v>43</v>
      </c>
      <c r="AA923" s="3">
        <f>X923-Grocery_Inventory_and_Sales_Dat!N923</f>
        <v>4428</v>
      </c>
    </row>
    <row r="924" spans="1:27" x14ac:dyDescent="0.3">
      <c r="A924" t="s">
        <v>3268</v>
      </c>
      <c r="B924" t="s">
        <v>451</v>
      </c>
      <c r="C924" t="s">
        <v>95</v>
      </c>
      <c r="D924" t="s">
        <v>3269</v>
      </c>
      <c r="E924" s="13" t="s">
        <v>3270</v>
      </c>
      <c r="G924" s="2">
        <v>53</v>
      </c>
      <c r="H924">
        <v>19</v>
      </c>
      <c r="I924">
        <v>94</v>
      </c>
      <c r="J924" t="s">
        <v>55</v>
      </c>
      <c r="K924">
        <v>0</v>
      </c>
      <c r="L924" t="s">
        <v>41</v>
      </c>
      <c r="M924" s="12">
        <v>5</v>
      </c>
      <c r="N924" s="3">
        <f>G924*M924</f>
        <v>265</v>
      </c>
      <c r="O924" s="1">
        <v>45380</v>
      </c>
      <c r="P924" s="1">
        <v>45637</v>
      </c>
      <c r="Q924" s="1">
        <v>45583</v>
      </c>
      <c r="R924">
        <v>699</v>
      </c>
      <c r="S924">
        <v>442</v>
      </c>
      <c r="T924">
        <v>496</v>
      </c>
      <c r="U924" t="str">
        <f t="shared" si="28"/>
        <v>Expiring Soon</v>
      </c>
      <c r="V924" t="s">
        <v>3271</v>
      </c>
      <c r="W924">
        <v>82</v>
      </c>
      <c r="X924" s="3">
        <f t="shared" si="29"/>
        <v>21730</v>
      </c>
      <c r="Y924">
        <v>56</v>
      </c>
      <c r="Z924" t="s">
        <v>30</v>
      </c>
      <c r="AA924" s="3">
        <f>X924-Grocery_Inventory_and_Sales_Dat!N924</f>
        <v>21465</v>
      </c>
    </row>
    <row r="925" spans="1:27" x14ac:dyDescent="0.3">
      <c r="A925" t="s">
        <v>3272</v>
      </c>
      <c r="B925" t="s">
        <v>202</v>
      </c>
      <c r="C925" t="s">
        <v>138</v>
      </c>
      <c r="D925" t="s">
        <v>3273</v>
      </c>
      <c r="E925" s="13" t="s">
        <v>134</v>
      </c>
      <c r="G925" s="2">
        <v>61</v>
      </c>
      <c r="H925">
        <v>91</v>
      </c>
      <c r="I925">
        <v>40</v>
      </c>
      <c r="J925" t="s">
        <v>27</v>
      </c>
      <c r="K925">
        <v>91</v>
      </c>
      <c r="L925" t="s">
        <v>28</v>
      </c>
      <c r="M925" s="12">
        <v>9</v>
      </c>
      <c r="N925" s="3">
        <f>G925*M925</f>
        <v>549</v>
      </c>
      <c r="O925" s="1">
        <v>45870</v>
      </c>
      <c r="P925" s="1">
        <v>45531</v>
      </c>
      <c r="Q925" s="1">
        <v>45452</v>
      </c>
      <c r="R925">
        <v>209</v>
      </c>
      <c r="S925">
        <v>548</v>
      </c>
      <c r="T925">
        <v>627</v>
      </c>
      <c r="U925" t="str">
        <f t="shared" si="28"/>
        <v>Safe</v>
      </c>
      <c r="V925" t="s">
        <v>3274</v>
      </c>
      <c r="W925">
        <v>34</v>
      </c>
      <c r="X925" s="3">
        <f t="shared" si="29"/>
        <v>18666</v>
      </c>
      <c r="Y925">
        <v>76</v>
      </c>
      <c r="Z925" t="s">
        <v>49</v>
      </c>
      <c r="AA925" s="3">
        <f>X925-Grocery_Inventory_and_Sales_Dat!N925</f>
        <v>18117</v>
      </c>
    </row>
    <row r="926" spans="1:27" x14ac:dyDescent="0.3">
      <c r="A926" t="s">
        <v>3275</v>
      </c>
      <c r="B926" t="s">
        <v>80</v>
      </c>
      <c r="C926" t="s">
        <v>70</v>
      </c>
      <c r="D926" t="s">
        <v>3276</v>
      </c>
      <c r="E926" s="13" t="s">
        <v>1876</v>
      </c>
      <c r="G926" s="2">
        <v>70</v>
      </c>
      <c r="H926">
        <v>92</v>
      </c>
      <c r="I926">
        <v>74</v>
      </c>
      <c r="J926" t="s">
        <v>27</v>
      </c>
      <c r="K926">
        <v>92</v>
      </c>
      <c r="L926" t="s">
        <v>28</v>
      </c>
      <c r="M926" s="12">
        <v>1</v>
      </c>
      <c r="N926" s="3">
        <f>G926*M926</f>
        <v>70</v>
      </c>
      <c r="O926" s="1">
        <v>45626</v>
      </c>
      <c r="P926" s="1">
        <v>45521</v>
      </c>
      <c r="Q926" s="1">
        <v>45484</v>
      </c>
      <c r="R926">
        <v>453</v>
      </c>
      <c r="S926">
        <v>558</v>
      </c>
      <c r="T926">
        <v>595</v>
      </c>
      <c r="U926" t="str">
        <f t="shared" si="28"/>
        <v>Safe</v>
      </c>
      <c r="V926" t="s">
        <v>3277</v>
      </c>
      <c r="W926">
        <v>95</v>
      </c>
      <c r="X926" s="3">
        <f t="shared" si="29"/>
        <v>6650</v>
      </c>
      <c r="Y926">
        <v>26</v>
      </c>
      <c r="Z926" t="s">
        <v>43</v>
      </c>
      <c r="AA926" s="3">
        <f>X926-Grocery_Inventory_and_Sales_Dat!N926</f>
        <v>6580</v>
      </c>
    </row>
    <row r="927" spans="1:27" x14ac:dyDescent="0.3">
      <c r="A927" t="s">
        <v>3278</v>
      </c>
      <c r="B927" t="s">
        <v>230</v>
      </c>
      <c r="C927" t="s">
        <v>52</v>
      </c>
      <c r="D927" t="s">
        <v>3279</v>
      </c>
      <c r="E927" s="13" t="s">
        <v>930</v>
      </c>
      <c r="G927" s="2">
        <v>73</v>
      </c>
      <c r="H927">
        <v>69</v>
      </c>
      <c r="I927">
        <v>1</v>
      </c>
      <c r="J927" t="s">
        <v>55</v>
      </c>
      <c r="K927">
        <v>0</v>
      </c>
      <c r="L927" t="s">
        <v>41</v>
      </c>
      <c r="M927" s="12">
        <v>5</v>
      </c>
      <c r="N927" s="3">
        <f>G927*M927</f>
        <v>365</v>
      </c>
      <c r="O927" s="1">
        <v>45423</v>
      </c>
      <c r="P927" s="1">
        <v>45426</v>
      </c>
      <c r="Q927" s="1">
        <v>45552</v>
      </c>
      <c r="R927">
        <v>656</v>
      </c>
      <c r="S927">
        <v>653</v>
      </c>
      <c r="T927">
        <v>527</v>
      </c>
      <c r="U927" t="str">
        <f t="shared" si="28"/>
        <v>Expiring Soon</v>
      </c>
      <c r="V927" t="s">
        <v>3280</v>
      </c>
      <c r="W927">
        <v>50</v>
      </c>
      <c r="X927" s="3">
        <f t="shared" si="29"/>
        <v>18250</v>
      </c>
      <c r="Y927">
        <v>67</v>
      </c>
      <c r="Z927" t="s">
        <v>49</v>
      </c>
      <c r="AA927" s="3">
        <f>X927-Grocery_Inventory_and_Sales_Dat!N927</f>
        <v>17885</v>
      </c>
    </row>
    <row r="928" spans="1:27" x14ac:dyDescent="0.3">
      <c r="A928" t="s">
        <v>3281</v>
      </c>
      <c r="B928" t="s">
        <v>1008</v>
      </c>
      <c r="C928" t="s">
        <v>52</v>
      </c>
      <c r="D928" t="s">
        <v>3282</v>
      </c>
      <c r="E928" s="13" t="s">
        <v>134</v>
      </c>
      <c r="G928" s="2">
        <v>60</v>
      </c>
      <c r="H928">
        <v>15</v>
      </c>
      <c r="I928">
        <v>89</v>
      </c>
      <c r="J928" t="s">
        <v>55</v>
      </c>
      <c r="K928">
        <v>0</v>
      </c>
      <c r="L928" t="s">
        <v>41</v>
      </c>
      <c r="M928" s="12">
        <v>4</v>
      </c>
      <c r="N928" s="3">
        <f>G928*M928</f>
        <v>240</v>
      </c>
      <c r="O928" s="1">
        <v>45479</v>
      </c>
      <c r="P928" s="1">
        <v>45709</v>
      </c>
      <c r="Q928" s="1">
        <v>45393</v>
      </c>
      <c r="R928">
        <v>600</v>
      </c>
      <c r="S928">
        <v>370</v>
      </c>
      <c r="T928">
        <v>686</v>
      </c>
      <c r="U928" t="str">
        <f t="shared" si="28"/>
        <v>Safe</v>
      </c>
      <c r="V928" t="s">
        <v>3283</v>
      </c>
      <c r="W928">
        <v>21</v>
      </c>
      <c r="X928" s="3">
        <f t="shared" si="29"/>
        <v>5040</v>
      </c>
      <c r="Y928">
        <v>29</v>
      </c>
      <c r="Z928" t="s">
        <v>30</v>
      </c>
      <c r="AA928" s="3">
        <f>X928-Grocery_Inventory_and_Sales_Dat!N928</f>
        <v>4800</v>
      </c>
    </row>
    <row r="929" spans="1:27" x14ac:dyDescent="0.3">
      <c r="A929" t="s">
        <v>3284</v>
      </c>
      <c r="B929" t="s">
        <v>551</v>
      </c>
      <c r="C929" t="s">
        <v>52</v>
      </c>
      <c r="D929" t="s">
        <v>3285</v>
      </c>
      <c r="E929" s="13" t="s">
        <v>305</v>
      </c>
      <c r="G929" s="2">
        <v>88</v>
      </c>
      <c r="H929">
        <v>24</v>
      </c>
      <c r="I929">
        <v>44</v>
      </c>
      <c r="J929" t="s">
        <v>55</v>
      </c>
      <c r="K929">
        <v>0</v>
      </c>
      <c r="L929" t="s">
        <v>41</v>
      </c>
      <c r="M929" s="12">
        <v>6</v>
      </c>
      <c r="N929" s="3">
        <f>G929*M929</f>
        <v>528</v>
      </c>
      <c r="O929" s="1">
        <v>45423</v>
      </c>
      <c r="P929" s="1">
        <v>45515</v>
      </c>
      <c r="Q929" s="1">
        <v>45644</v>
      </c>
      <c r="R929">
        <v>656</v>
      </c>
      <c r="S929">
        <v>564</v>
      </c>
      <c r="T929">
        <v>435</v>
      </c>
      <c r="U929" t="str">
        <f t="shared" si="28"/>
        <v>Expiring Soon</v>
      </c>
      <c r="V929" t="s">
        <v>3286</v>
      </c>
      <c r="W929">
        <v>72</v>
      </c>
      <c r="X929" s="3">
        <f t="shared" si="29"/>
        <v>38016</v>
      </c>
      <c r="Y929">
        <v>88</v>
      </c>
      <c r="Z929" t="s">
        <v>43</v>
      </c>
      <c r="AA929" s="3">
        <f>X929-Grocery_Inventory_and_Sales_Dat!N929</f>
        <v>37488</v>
      </c>
    </row>
    <row r="930" spans="1:27" x14ac:dyDescent="0.3">
      <c r="A930" t="s">
        <v>3287</v>
      </c>
      <c r="B930" t="s">
        <v>600</v>
      </c>
      <c r="C930" t="s">
        <v>52</v>
      </c>
      <c r="D930" t="s">
        <v>3288</v>
      </c>
      <c r="E930" s="13" t="s">
        <v>305</v>
      </c>
      <c r="G930" s="2">
        <v>95</v>
      </c>
      <c r="H930">
        <v>6</v>
      </c>
      <c r="I930">
        <v>59</v>
      </c>
      <c r="J930" t="s">
        <v>55</v>
      </c>
      <c r="K930">
        <v>0</v>
      </c>
      <c r="L930" t="s">
        <v>41</v>
      </c>
      <c r="M930" s="12">
        <v>2.5</v>
      </c>
      <c r="N930" s="3">
        <f>G930*M930</f>
        <v>237.5</v>
      </c>
      <c r="O930" s="1">
        <v>45657</v>
      </c>
      <c r="P930" s="1">
        <v>45519</v>
      </c>
      <c r="Q930" s="1">
        <v>45564</v>
      </c>
      <c r="R930">
        <v>422</v>
      </c>
      <c r="S930">
        <v>560</v>
      </c>
      <c r="T930">
        <v>515</v>
      </c>
      <c r="U930" t="str">
        <f t="shared" si="28"/>
        <v>Expiring Soon</v>
      </c>
      <c r="V930" t="s">
        <v>3289</v>
      </c>
      <c r="W930">
        <v>49</v>
      </c>
      <c r="X930" s="3">
        <f t="shared" si="29"/>
        <v>11637.5</v>
      </c>
      <c r="Y930">
        <v>77</v>
      </c>
      <c r="Z930" t="s">
        <v>49</v>
      </c>
      <c r="AA930" s="3">
        <f>X930-Grocery_Inventory_and_Sales_Dat!N930</f>
        <v>11400</v>
      </c>
    </row>
    <row r="931" spans="1:27" x14ac:dyDescent="0.3">
      <c r="A931" t="s">
        <v>3290</v>
      </c>
      <c r="B931" t="s">
        <v>693</v>
      </c>
      <c r="C931" t="s">
        <v>24</v>
      </c>
      <c r="D931" t="s">
        <v>3291</v>
      </c>
      <c r="E931" s="13" t="s">
        <v>581</v>
      </c>
      <c r="G931" s="2">
        <v>47</v>
      </c>
      <c r="H931">
        <v>30</v>
      </c>
      <c r="I931">
        <v>16</v>
      </c>
      <c r="J931" t="s">
        <v>55</v>
      </c>
      <c r="K931">
        <v>0</v>
      </c>
      <c r="L931" t="s">
        <v>41</v>
      </c>
      <c r="M931" s="12">
        <v>2.5</v>
      </c>
      <c r="N931" s="3">
        <f>G931*M931</f>
        <v>117.5</v>
      </c>
      <c r="O931" s="1">
        <v>45568</v>
      </c>
      <c r="P931" s="1">
        <v>45603</v>
      </c>
      <c r="Q931" s="1">
        <v>45435</v>
      </c>
      <c r="R931">
        <v>511</v>
      </c>
      <c r="S931">
        <v>476</v>
      </c>
      <c r="T931">
        <v>644</v>
      </c>
      <c r="U931" t="str">
        <f t="shared" si="28"/>
        <v>Safe</v>
      </c>
      <c r="V931" t="s">
        <v>3292</v>
      </c>
      <c r="W931">
        <v>22</v>
      </c>
      <c r="X931" s="3">
        <f t="shared" si="29"/>
        <v>2585</v>
      </c>
      <c r="Y931">
        <v>81</v>
      </c>
      <c r="Z931" t="s">
        <v>49</v>
      </c>
      <c r="AA931" s="3">
        <f>X931-Grocery_Inventory_and_Sales_Dat!N931</f>
        <v>2467.5</v>
      </c>
    </row>
    <row r="932" spans="1:27" x14ac:dyDescent="0.3">
      <c r="A932" t="s">
        <v>3293</v>
      </c>
      <c r="B932" t="s">
        <v>350</v>
      </c>
      <c r="C932" t="s">
        <v>70</v>
      </c>
      <c r="D932" t="s">
        <v>3294</v>
      </c>
      <c r="E932" s="13" t="s">
        <v>615</v>
      </c>
      <c r="G932" s="2">
        <v>24</v>
      </c>
      <c r="H932">
        <v>1</v>
      </c>
      <c r="I932">
        <v>65</v>
      </c>
      <c r="J932" t="s">
        <v>55</v>
      </c>
      <c r="K932">
        <v>0</v>
      </c>
      <c r="L932" t="s">
        <v>41</v>
      </c>
      <c r="M932" s="12">
        <v>7</v>
      </c>
      <c r="N932" s="3">
        <f>G932*M932</f>
        <v>168</v>
      </c>
      <c r="O932" s="1">
        <v>45614</v>
      </c>
      <c r="P932" s="1">
        <v>45633</v>
      </c>
      <c r="Q932" s="1">
        <v>45351</v>
      </c>
      <c r="R932">
        <v>465</v>
      </c>
      <c r="S932">
        <v>446</v>
      </c>
      <c r="T932">
        <v>728</v>
      </c>
      <c r="U932" t="str">
        <f t="shared" si="28"/>
        <v>Safe</v>
      </c>
      <c r="V932" t="s">
        <v>3295</v>
      </c>
      <c r="W932">
        <v>58</v>
      </c>
      <c r="X932" s="3">
        <f t="shared" si="29"/>
        <v>9744</v>
      </c>
      <c r="Y932">
        <v>61</v>
      </c>
      <c r="Z932" t="s">
        <v>49</v>
      </c>
      <c r="AA932" s="3">
        <f>X932-Grocery_Inventory_and_Sales_Dat!N932</f>
        <v>9576</v>
      </c>
    </row>
    <row r="933" spans="1:27" x14ac:dyDescent="0.3">
      <c r="A933" t="s">
        <v>3296</v>
      </c>
      <c r="B933" t="s">
        <v>806</v>
      </c>
      <c r="C933" t="s">
        <v>138</v>
      </c>
      <c r="D933" t="s">
        <v>3297</v>
      </c>
      <c r="E933" s="13" t="s">
        <v>938</v>
      </c>
      <c r="G933" s="2">
        <v>93</v>
      </c>
      <c r="H933">
        <v>51</v>
      </c>
      <c r="I933">
        <v>70</v>
      </c>
      <c r="J933" t="s">
        <v>55</v>
      </c>
      <c r="K933">
        <v>0</v>
      </c>
      <c r="L933" t="s">
        <v>41</v>
      </c>
      <c r="M933" s="12">
        <v>10</v>
      </c>
      <c r="N933" s="3">
        <f>G933*M933</f>
        <v>930</v>
      </c>
      <c r="O933" s="1">
        <v>45404</v>
      </c>
      <c r="P933" s="1">
        <v>45632</v>
      </c>
      <c r="Q933" s="1">
        <v>45539</v>
      </c>
      <c r="R933">
        <v>675</v>
      </c>
      <c r="S933">
        <v>447</v>
      </c>
      <c r="T933">
        <v>540</v>
      </c>
      <c r="U933" t="str">
        <f t="shared" si="28"/>
        <v>Expiring Soon</v>
      </c>
      <c r="V933" t="s">
        <v>3298</v>
      </c>
      <c r="W933">
        <v>81</v>
      </c>
      <c r="X933" s="3">
        <f t="shared" si="29"/>
        <v>75330</v>
      </c>
      <c r="Y933">
        <v>18</v>
      </c>
      <c r="Z933" t="s">
        <v>49</v>
      </c>
      <c r="AA933" s="3">
        <f>X933-Grocery_Inventory_and_Sales_Dat!N933</f>
        <v>74400</v>
      </c>
    </row>
    <row r="934" spans="1:27" x14ac:dyDescent="0.3">
      <c r="A934" t="s">
        <v>3299</v>
      </c>
      <c r="B934" t="s">
        <v>870</v>
      </c>
      <c r="C934" t="s">
        <v>64</v>
      </c>
      <c r="D934" t="s">
        <v>3300</v>
      </c>
      <c r="E934" s="13" t="s">
        <v>3168</v>
      </c>
      <c r="G934" s="2">
        <v>80</v>
      </c>
      <c r="H934">
        <v>24</v>
      </c>
      <c r="I934">
        <v>60</v>
      </c>
      <c r="J934" t="s">
        <v>55</v>
      </c>
      <c r="K934">
        <v>0</v>
      </c>
      <c r="L934" t="s">
        <v>41</v>
      </c>
      <c r="M934" s="12">
        <v>2.5</v>
      </c>
      <c r="N934" s="3">
        <f>G934*M934</f>
        <v>200</v>
      </c>
      <c r="O934" s="1">
        <v>45678</v>
      </c>
      <c r="P934" s="1">
        <v>45609</v>
      </c>
      <c r="Q934" s="1">
        <v>45410</v>
      </c>
      <c r="R934">
        <v>401</v>
      </c>
      <c r="S934">
        <v>470</v>
      </c>
      <c r="T934">
        <v>669</v>
      </c>
      <c r="U934" t="str">
        <f t="shared" si="28"/>
        <v>Safe</v>
      </c>
      <c r="V934" t="s">
        <v>3301</v>
      </c>
      <c r="W934">
        <v>98</v>
      </c>
      <c r="X934" s="3">
        <f t="shared" si="29"/>
        <v>19600</v>
      </c>
      <c r="Y934">
        <v>38</v>
      </c>
      <c r="Z934" t="s">
        <v>49</v>
      </c>
      <c r="AA934" s="3">
        <f>X934-Grocery_Inventory_and_Sales_Dat!N934</f>
        <v>19400</v>
      </c>
    </row>
    <row r="935" spans="1:27" x14ac:dyDescent="0.3">
      <c r="A935" t="s">
        <v>3302</v>
      </c>
      <c r="B935" t="s">
        <v>1240</v>
      </c>
      <c r="C935" t="s">
        <v>52</v>
      </c>
      <c r="D935" t="s">
        <v>3303</v>
      </c>
      <c r="E935" s="13" t="s">
        <v>661</v>
      </c>
      <c r="G935" s="2">
        <v>77</v>
      </c>
      <c r="H935">
        <v>58</v>
      </c>
      <c r="I935">
        <v>13</v>
      </c>
      <c r="J935" t="s">
        <v>55</v>
      </c>
      <c r="K935">
        <v>0</v>
      </c>
      <c r="L935" t="s">
        <v>41</v>
      </c>
      <c r="M935" s="12">
        <v>3.5</v>
      </c>
      <c r="N935" s="3">
        <f>G935*M935</f>
        <v>269.5</v>
      </c>
      <c r="O935" s="1">
        <v>45465</v>
      </c>
      <c r="P935" s="1">
        <v>45435</v>
      </c>
      <c r="Q935" s="1">
        <v>45398</v>
      </c>
      <c r="R935">
        <v>614</v>
      </c>
      <c r="S935">
        <v>644</v>
      </c>
      <c r="T935">
        <v>681</v>
      </c>
      <c r="U935" t="str">
        <f t="shared" si="28"/>
        <v>Safe</v>
      </c>
      <c r="V935" t="s">
        <v>3304</v>
      </c>
      <c r="W935">
        <v>63</v>
      </c>
      <c r="X935" s="3">
        <f t="shared" si="29"/>
        <v>16978.5</v>
      </c>
      <c r="Y935">
        <v>28</v>
      </c>
      <c r="Z935" t="s">
        <v>30</v>
      </c>
      <c r="AA935" s="3">
        <f>X935-Grocery_Inventory_and_Sales_Dat!N935</f>
        <v>16709</v>
      </c>
    </row>
    <row r="936" spans="1:27" x14ac:dyDescent="0.3">
      <c r="A936" t="s">
        <v>3305</v>
      </c>
      <c r="B936" t="s">
        <v>143</v>
      </c>
      <c r="C936" t="s">
        <v>52</v>
      </c>
      <c r="D936" t="s">
        <v>3306</v>
      </c>
      <c r="E936" s="13" t="s">
        <v>640</v>
      </c>
      <c r="G936" s="2">
        <v>42</v>
      </c>
      <c r="H936">
        <v>48</v>
      </c>
      <c r="I936">
        <v>18</v>
      </c>
      <c r="J936" t="s">
        <v>27</v>
      </c>
      <c r="K936">
        <v>48</v>
      </c>
      <c r="L936" t="s">
        <v>41</v>
      </c>
      <c r="M936" s="12">
        <v>2</v>
      </c>
      <c r="N936" s="3">
        <f>G936*M936</f>
        <v>84</v>
      </c>
      <c r="O936" s="1">
        <v>45901</v>
      </c>
      <c r="P936" s="1">
        <v>45401</v>
      </c>
      <c r="Q936" s="1">
        <v>45405</v>
      </c>
      <c r="R936">
        <v>178</v>
      </c>
      <c r="S936">
        <v>678</v>
      </c>
      <c r="T936">
        <v>674</v>
      </c>
      <c r="U936" t="str">
        <f t="shared" si="28"/>
        <v>Safe</v>
      </c>
      <c r="V936" t="s">
        <v>3307</v>
      </c>
      <c r="W936">
        <v>39</v>
      </c>
      <c r="X936" s="3">
        <f t="shared" si="29"/>
        <v>3276</v>
      </c>
      <c r="Y936">
        <v>57</v>
      </c>
      <c r="Z936" t="s">
        <v>49</v>
      </c>
      <c r="AA936" s="3">
        <f>X936-Grocery_Inventory_and_Sales_Dat!N936</f>
        <v>3192</v>
      </c>
    </row>
    <row r="937" spans="1:27" x14ac:dyDescent="0.3">
      <c r="A937" t="s">
        <v>3308</v>
      </c>
      <c r="B937" t="s">
        <v>734</v>
      </c>
      <c r="C937" t="s">
        <v>70</v>
      </c>
      <c r="D937" t="s">
        <v>3309</v>
      </c>
      <c r="E937" s="13" t="s">
        <v>415</v>
      </c>
      <c r="G937" s="2">
        <v>92</v>
      </c>
      <c r="H937">
        <v>1</v>
      </c>
      <c r="I937">
        <v>23</v>
      </c>
      <c r="J937" t="s">
        <v>55</v>
      </c>
      <c r="K937">
        <v>0</v>
      </c>
      <c r="L937" t="s">
        <v>41</v>
      </c>
      <c r="M937" s="12">
        <v>2.5</v>
      </c>
      <c r="N937" s="3">
        <f>G937*M937</f>
        <v>230</v>
      </c>
      <c r="O937" s="1">
        <v>45531</v>
      </c>
      <c r="P937" s="1">
        <v>45332</v>
      </c>
      <c r="Q937" s="1">
        <v>45395</v>
      </c>
      <c r="R937">
        <v>548</v>
      </c>
      <c r="S937">
        <v>747</v>
      </c>
      <c r="T937">
        <v>684</v>
      </c>
      <c r="U937" t="str">
        <f t="shared" si="28"/>
        <v>Safe</v>
      </c>
      <c r="V937" t="s">
        <v>3310</v>
      </c>
      <c r="W937">
        <v>78</v>
      </c>
      <c r="X937" s="3">
        <f t="shared" si="29"/>
        <v>17940</v>
      </c>
      <c r="Y937">
        <v>36</v>
      </c>
      <c r="Z937" t="s">
        <v>30</v>
      </c>
      <c r="AA937" s="3">
        <f>X937-Grocery_Inventory_and_Sales_Dat!N937</f>
        <v>17710</v>
      </c>
    </row>
    <row r="938" spans="1:27" x14ac:dyDescent="0.3">
      <c r="A938" t="s">
        <v>3311</v>
      </c>
      <c r="B938" t="s">
        <v>168</v>
      </c>
      <c r="C938" t="s">
        <v>52</v>
      </c>
      <c r="D938" t="s">
        <v>3312</v>
      </c>
      <c r="E938" s="13" t="s">
        <v>1128</v>
      </c>
      <c r="G938" s="2">
        <v>81</v>
      </c>
      <c r="H938">
        <v>23</v>
      </c>
      <c r="I938">
        <v>17</v>
      </c>
      <c r="J938" t="s">
        <v>55</v>
      </c>
      <c r="K938">
        <v>0</v>
      </c>
      <c r="L938" t="s">
        <v>41</v>
      </c>
      <c r="M938" s="12">
        <v>6.25</v>
      </c>
      <c r="N938" s="3">
        <f>G938*M938</f>
        <v>506.25</v>
      </c>
      <c r="O938" s="1">
        <v>45438</v>
      </c>
      <c r="P938" s="1">
        <v>45509</v>
      </c>
      <c r="Q938" s="1">
        <v>45489</v>
      </c>
      <c r="R938">
        <v>641</v>
      </c>
      <c r="S938">
        <v>570</v>
      </c>
      <c r="T938">
        <v>590</v>
      </c>
      <c r="U938" t="str">
        <f t="shared" si="28"/>
        <v>Safe</v>
      </c>
      <c r="V938" t="s">
        <v>3313</v>
      </c>
      <c r="W938">
        <v>92</v>
      </c>
      <c r="X938" s="3">
        <f t="shared" si="29"/>
        <v>46575</v>
      </c>
      <c r="Y938">
        <v>78</v>
      </c>
      <c r="Z938" t="s">
        <v>49</v>
      </c>
      <c r="AA938" s="3">
        <f>X938-Grocery_Inventory_and_Sales_Dat!N938</f>
        <v>46068.75</v>
      </c>
    </row>
    <row r="939" spans="1:27" x14ac:dyDescent="0.3">
      <c r="A939" t="s">
        <v>3314</v>
      </c>
      <c r="B939" t="s">
        <v>473</v>
      </c>
      <c r="C939" t="s">
        <v>24</v>
      </c>
      <c r="D939" t="s">
        <v>3315</v>
      </c>
      <c r="E939" s="13" t="s">
        <v>3316</v>
      </c>
      <c r="G939" s="2">
        <v>46</v>
      </c>
      <c r="H939">
        <v>39</v>
      </c>
      <c r="I939">
        <v>11</v>
      </c>
      <c r="J939" t="s">
        <v>55</v>
      </c>
      <c r="K939">
        <v>0</v>
      </c>
      <c r="L939" t="s">
        <v>41</v>
      </c>
      <c r="M939" s="12">
        <v>4.75</v>
      </c>
      <c r="N939" s="3">
        <f>G939*M939</f>
        <v>218.5</v>
      </c>
      <c r="O939" s="1">
        <v>45575</v>
      </c>
      <c r="P939" s="1">
        <v>45520</v>
      </c>
      <c r="Q939" s="1">
        <v>45606</v>
      </c>
      <c r="R939">
        <v>504</v>
      </c>
      <c r="S939">
        <v>559</v>
      </c>
      <c r="T939">
        <v>473</v>
      </c>
      <c r="U939" t="str">
        <f t="shared" si="28"/>
        <v>Expiring Soon</v>
      </c>
      <c r="V939" t="s">
        <v>3317</v>
      </c>
      <c r="W939">
        <v>36</v>
      </c>
      <c r="X939" s="3">
        <f t="shared" si="29"/>
        <v>7866</v>
      </c>
      <c r="Y939">
        <v>54</v>
      </c>
      <c r="Z939" t="s">
        <v>49</v>
      </c>
      <c r="AA939" s="3">
        <f>X939-Grocery_Inventory_and_Sales_Dat!N939</f>
        <v>7647.5</v>
      </c>
    </row>
    <row r="940" spans="1:27" x14ac:dyDescent="0.3">
      <c r="A940" t="s">
        <v>3318</v>
      </c>
      <c r="B940" t="s">
        <v>1151</v>
      </c>
      <c r="C940" t="s">
        <v>24</v>
      </c>
      <c r="D940" t="s">
        <v>3319</v>
      </c>
      <c r="E940" s="13" t="s">
        <v>217</v>
      </c>
      <c r="G940" s="2">
        <v>44</v>
      </c>
      <c r="H940">
        <v>67</v>
      </c>
      <c r="I940">
        <v>31</v>
      </c>
      <c r="J940" t="s">
        <v>27</v>
      </c>
      <c r="K940">
        <v>67</v>
      </c>
      <c r="L940" t="s">
        <v>28</v>
      </c>
      <c r="M940" s="12">
        <v>2.5</v>
      </c>
      <c r="N940" s="3">
        <f>G940*M940</f>
        <v>110</v>
      </c>
      <c r="O940" s="1">
        <v>45487</v>
      </c>
      <c r="P940" s="1">
        <v>45369</v>
      </c>
      <c r="Q940" s="1">
        <v>45448</v>
      </c>
      <c r="R940">
        <v>592</v>
      </c>
      <c r="S940">
        <v>710</v>
      </c>
      <c r="T940">
        <v>631</v>
      </c>
      <c r="U940" t="str">
        <f t="shared" si="28"/>
        <v>Safe</v>
      </c>
      <c r="V940" t="s">
        <v>3320</v>
      </c>
      <c r="W940">
        <v>44</v>
      </c>
      <c r="X940" s="3">
        <f t="shared" si="29"/>
        <v>4840</v>
      </c>
      <c r="Y940">
        <v>72</v>
      </c>
      <c r="Z940" t="s">
        <v>30</v>
      </c>
      <c r="AA940" s="3">
        <f>X940-Grocery_Inventory_and_Sales_Dat!N940</f>
        <v>4730</v>
      </c>
    </row>
    <row r="941" spans="1:27" x14ac:dyDescent="0.3">
      <c r="A941" t="s">
        <v>3321</v>
      </c>
      <c r="B941" t="s">
        <v>249</v>
      </c>
      <c r="C941" t="s">
        <v>95</v>
      </c>
      <c r="D941" t="s">
        <v>3322</v>
      </c>
      <c r="E941" s="13" t="s">
        <v>903</v>
      </c>
      <c r="G941" s="2">
        <v>38</v>
      </c>
      <c r="H941">
        <v>37</v>
      </c>
      <c r="I941">
        <v>27</v>
      </c>
      <c r="J941" t="s">
        <v>55</v>
      </c>
      <c r="K941">
        <v>0</v>
      </c>
      <c r="L941" t="s">
        <v>41</v>
      </c>
      <c r="M941" s="12">
        <v>3.5</v>
      </c>
      <c r="N941" s="3">
        <f>G941*M941</f>
        <v>133</v>
      </c>
      <c r="O941" s="1">
        <v>45457</v>
      </c>
      <c r="P941" s="1">
        <v>45422</v>
      </c>
      <c r="Q941" s="1">
        <v>45487</v>
      </c>
      <c r="R941">
        <v>622</v>
      </c>
      <c r="S941">
        <v>657</v>
      </c>
      <c r="T941">
        <v>592</v>
      </c>
      <c r="U941" t="str">
        <f t="shared" si="28"/>
        <v>Safe</v>
      </c>
      <c r="V941" t="s">
        <v>3323</v>
      </c>
      <c r="W941">
        <v>45</v>
      </c>
      <c r="X941" s="3">
        <f t="shared" si="29"/>
        <v>5985</v>
      </c>
      <c r="Y941">
        <v>88</v>
      </c>
      <c r="Z941" t="s">
        <v>43</v>
      </c>
      <c r="AA941" s="3">
        <f>X941-Grocery_Inventory_and_Sales_Dat!N941</f>
        <v>5852</v>
      </c>
    </row>
    <row r="942" spans="1:27" x14ac:dyDescent="0.3">
      <c r="A942" t="s">
        <v>3324</v>
      </c>
      <c r="B942" t="s">
        <v>1198</v>
      </c>
      <c r="C942" t="s">
        <v>70</v>
      </c>
      <c r="D942" t="s">
        <v>3325</v>
      </c>
      <c r="E942" s="13" t="s">
        <v>1145</v>
      </c>
      <c r="G942" s="2">
        <v>64</v>
      </c>
      <c r="H942">
        <v>28</v>
      </c>
      <c r="I942">
        <v>35</v>
      </c>
      <c r="J942" t="s">
        <v>55</v>
      </c>
      <c r="K942">
        <v>0</v>
      </c>
      <c r="L942" t="s">
        <v>41</v>
      </c>
      <c r="M942" s="12">
        <v>2</v>
      </c>
      <c r="N942" s="3">
        <f>G942*M942</f>
        <v>128</v>
      </c>
      <c r="O942" s="1">
        <v>45423</v>
      </c>
      <c r="P942" s="1">
        <v>45484</v>
      </c>
      <c r="Q942" s="1">
        <v>45349</v>
      </c>
      <c r="R942">
        <v>656</v>
      </c>
      <c r="S942">
        <v>595</v>
      </c>
      <c r="T942">
        <v>730</v>
      </c>
      <c r="U942" t="str">
        <f t="shared" si="28"/>
        <v>Safe</v>
      </c>
      <c r="V942" t="s">
        <v>3326</v>
      </c>
      <c r="W942">
        <v>74</v>
      </c>
      <c r="X942" s="3">
        <f t="shared" si="29"/>
        <v>9472</v>
      </c>
      <c r="Y942">
        <v>50</v>
      </c>
      <c r="Z942" t="s">
        <v>49</v>
      </c>
      <c r="AA942" s="3">
        <f>X942-Grocery_Inventory_and_Sales_Dat!N942</f>
        <v>9344</v>
      </c>
    </row>
    <row r="943" spans="1:27" x14ac:dyDescent="0.3">
      <c r="A943" t="s">
        <v>3327</v>
      </c>
      <c r="B943" t="s">
        <v>45</v>
      </c>
      <c r="C943" t="s">
        <v>24</v>
      </c>
      <c r="D943" t="s">
        <v>3328</v>
      </c>
      <c r="E943" s="13" t="s">
        <v>1449</v>
      </c>
      <c r="G943" s="2">
        <v>39</v>
      </c>
      <c r="H943">
        <v>2</v>
      </c>
      <c r="I943">
        <v>71</v>
      </c>
      <c r="J943" t="s">
        <v>55</v>
      </c>
      <c r="K943">
        <v>0</v>
      </c>
      <c r="L943" t="s">
        <v>41</v>
      </c>
      <c r="M943" s="12">
        <v>1.45</v>
      </c>
      <c r="N943" s="3">
        <f>G943*M943</f>
        <v>56.55</v>
      </c>
      <c r="O943" s="1">
        <v>45411</v>
      </c>
      <c r="P943" s="1">
        <v>45369</v>
      </c>
      <c r="Q943" s="1">
        <v>45403</v>
      </c>
      <c r="R943">
        <v>668</v>
      </c>
      <c r="S943">
        <v>710</v>
      </c>
      <c r="T943">
        <v>676</v>
      </c>
      <c r="U943" t="str">
        <f t="shared" si="28"/>
        <v>Safe</v>
      </c>
      <c r="V943" t="s">
        <v>3329</v>
      </c>
      <c r="W943">
        <v>20</v>
      </c>
      <c r="X943" s="3">
        <f t="shared" si="29"/>
        <v>1131</v>
      </c>
      <c r="Y943">
        <v>70</v>
      </c>
      <c r="Z943" t="s">
        <v>43</v>
      </c>
      <c r="AA943" s="3">
        <f>X943-Grocery_Inventory_and_Sales_Dat!N943</f>
        <v>1074.45</v>
      </c>
    </row>
    <row r="944" spans="1:27" x14ac:dyDescent="0.3">
      <c r="A944" t="s">
        <v>3330</v>
      </c>
      <c r="B944" t="s">
        <v>288</v>
      </c>
      <c r="C944" t="s">
        <v>95</v>
      </c>
      <c r="D944" t="s">
        <v>3331</v>
      </c>
      <c r="E944" s="13" t="s">
        <v>2853</v>
      </c>
      <c r="G944" s="2">
        <v>42</v>
      </c>
      <c r="H944">
        <v>88</v>
      </c>
      <c r="I944">
        <v>95</v>
      </c>
      <c r="J944" t="s">
        <v>27</v>
      </c>
      <c r="K944">
        <v>88</v>
      </c>
      <c r="L944" t="s">
        <v>28</v>
      </c>
      <c r="M944" s="12">
        <v>2.5</v>
      </c>
      <c r="N944" s="3">
        <f>G944*M944</f>
        <v>105</v>
      </c>
      <c r="O944" s="1">
        <v>45379</v>
      </c>
      <c r="P944" s="1">
        <v>45685</v>
      </c>
      <c r="Q944" s="1">
        <v>45406</v>
      </c>
      <c r="R944">
        <v>700</v>
      </c>
      <c r="S944">
        <v>394</v>
      </c>
      <c r="T944">
        <v>673</v>
      </c>
      <c r="U944" t="str">
        <f t="shared" si="28"/>
        <v>Safe</v>
      </c>
      <c r="V944" t="s">
        <v>3332</v>
      </c>
      <c r="W944">
        <v>67</v>
      </c>
      <c r="X944" s="3">
        <f t="shared" si="29"/>
        <v>7035</v>
      </c>
      <c r="Y944">
        <v>94</v>
      </c>
      <c r="Z944" t="s">
        <v>43</v>
      </c>
      <c r="AA944" s="3">
        <f>X944-Grocery_Inventory_and_Sales_Dat!N944</f>
        <v>6930</v>
      </c>
    </row>
    <row r="945" spans="1:27" x14ac:dyDescent="0.3">
      <c r="A945" t="s">
        <v>3333</v>
      </c>
      <c r="B945" t="s">
        <v>89</v>
      </c>
      <c r="C945" t="s">
        <v>24</v>
      </c>
      <c r="D945" t="s">
        <v>3334</v>
      </c>
      <c r="E945" s="13" t="s">
        <v>759</v>
      </c>
      <c r="G945" s="2">
        <v>29</v>
      </c>
      <c r="H945">
        <v>54</v>
      </c>
      <c r="I945">
        <v>54</v>
      </c>
      <c r="J945" t="s">
        <v>27</v>
      </c>
      <c r="K945">
        <v>54</v>
      </c>
      <c r="L945" t="s">
        <v>41</v>
      </c>
      <c r="M945" s="12">
        <v>2</v>
      </c>
      <c r="N945" s="3">
        <f>G945*M945</f>
        <v>58</v>
      </c>
      <c r="O945" s="1">
        <v>45592</v>
      </c>
      <c r="P945" s="1">
        <v>45712</v>
      </c>
      <c r="Q945" s="1">
        <v>45651</v>
      </c>
      <c r="R945">
        <v>487</v>
      </c>
      <c r="S945">
        <v>367</v>
      </c>
      <c r="T945">
        <v>428</v>
      </c>
      <c r="U945" t="str">
        <f t="shared" si="28"/>
        <v>Expiring Soon</v>
      </c>
      <c r="V945" t="s">
        <v>3335</v>
      </c>
      <c r="W945">
        <v>58</v>
      </c>
      <c r="X945" s="3">
        <f t="shared" si="29"/>
        <v>3364</v>
      </c>
      <c r="Y945">
        <v>63</v>
      </c>
      <c r="Z945" t="s">
        <v>43</v>
      </c>
      <c r="AA945" s="3">
        <f>X945-Grocery_Inventory_and_Sales_Dat!N945</f>
        <v>3306</v>
      </c>
    </row>
    <row r="946" spans="1:27" x14ac:dyDescent="0.3">
      <c r="A946" t="s">
        <v>3336</v>
      </c>
      <c r="B946" t="s">
        <v>182</v>
      </c>
      <c r="C946" t="s">
        <v>52</v>
      </c>
      <c r="D946" t="s">
        <v>3337</v>
      </c>
      <c r="E946" s="13" t="s">
        <v>624</v>
      </c>
      <c r="G946" s="2">
        <v>60</v>
      </c>
      <c r="H946">
        <v>63</v>
      </c>
      <c r="I946">
        <v>81</v>
      </c>
      <c r="J946" t="s">
        <v>27</v>
      </c>
      <c r="K946">
        <v>63</v>
      </c>
      <c r="L946" t="s">
        <v>28</v>
      </c>
      <c r="M946" s="12">
        <v>1.8</v>
      </c>
      <c r="N946" s="3">
        <f>G946*M946</f>
        <v>108</v>
      </c>
      <c r="O946" s="1">
        <v>45683</v>
      </c>
      <c r="P946" s="1">
        <v>45361</v>
      </c>
      <c r="Q946" s="1">
        <v>45413</v>
      </c>
      <c r="R946">
        <v>396</v>
      </c>
      <c r="S946">
        <v>718</v>
      </c>
      <c r="T946">
        <v>666</v>
      </c>
      <c r="U946" t="str">
        <f t="shared" si="28"/>
        <v>Safe</v>
      </c>
      <c r="V946" t="s">
        <v>3338</v>
      </c>
      <c r="W946">
        <v>74</v>
      </c>
      <c r="X946" s="3">
        <f t="shared" si="29"/>
        <v>7992</v>
      </c>
      <c r="Y946">
        <v>31</v>
      </c>
      <c r="Z946" t="s">
        <v>49</v>
      </c>
      <c r="AA946" s="3">
        <f>X946-Grocery_Inventory_and_Sales_Dat!N946</f>
        <v>7884</v>
      </c>
    </row>
    <row r="947" spans="1:27" x14ac:dyDescent="0.3">
      <c r="A947" t="s">
        <v>3339</v>
      </c>
      <c r="B947" t="s">
        <v>153</v>
      </c>
      <c r="C947" t="s">
        <v>70</v>
      </c>
      <c r="D947" t="s">
        <v>3340</v>
      </c>
      <c r="E947" s="13" t="s">
        <v>913</v>
      </c>
      <c r="G947" s="2">
        <v>65</v>
      </c>
      <c r="H947">
        <v>54</v>
      </c>
      <c r="I947">
        <v>29</v>
      </c>
      <c r="J947" t="s">
        <v>55</v>
      </c>
      <c r="K947">
        <v>0</v>
      </c>
      <c r="L947" t="s">
        <v>41</v>
      </c>
      <c r="M947" s="12">
        <v>12</v>
      </c>
      <c r="N947" s="3">
        <f>G947*M947</f>
        <v>780</v>
      </c>
      <c r="O947" s="1">
        <v>45626</v>
      </c>
      <c r="P947" s="1">
        <v>45625</v>
      </c>
      <c r="Q947" s="1">
        <v>45394</v>
      </c>
      <c r="R947">
        <v>453</v>
      </c>
      <c r="S947">
        <v>454</v>
      </c>
      <c r="T947">
        <v>685</v>
      </c>
      <c r="U947" t="str">
        <f t="shared" si="28"/>
        <v>Safe</v>
      </c>
      <c r="V947" t="s">
        <v>3341</v>
      </c>
      <c r="W947">
        <v>69</v>
      </c>
      <c r="X947" s="3">
        <f t="shared" si="29"/>
        <v>53820</v>
      </c>
      <c r="Y947">
        <v>79</v>
      </c>
      <c r="Z947" t="s">
        <v>43</v>
      </c>
      <c r="AA947" s="3">
        <f>X947-Grocery_Inventory_and_Sales_Dat!N947</f>
        <v>53040</v>
      </c>
    </row>
    <row r="948" spans="1:27" x14ac:dyDescent="0.3">
      <c r="A948" t="s">
        <v>3342</v>
      </c>
      <c r="B948" t="s">
        <v>374</v>
      </c>
      <c r="C948" t="s">
        <v>52</v>
      </c>
      <c r="D948" t="s">
        <v>3343</v>
      </c>
      <c r="E948" s="13" t="s">
        <v>3344</v>
      </c>
      <c r="G948" s="2">
        <v>89</v>
      </c>
      <c r="H948">
        <v>96</v>
      </c>
      <c r="I948">
        <v>94</v>
      </c>
      <c r="J948" t="s">
        <v>27</v>
      </c>
      <c r="K948">
        <v>96</v>
      </c>
      <c r="L948" t="s">
        <v>28</v>
      </c>
      <c r="M948" s="12">
        <v>4.5</v>
      </c>
      <c r="N948" s="3">
        <f>G948*M948</f>
        <v>400.5</v>
      </c>
      <c r="O948" s="1">
        <v>45571</v>
      </c>
      <c r="P948" s="1">
        <v>45809</v>
      </c>
      <c r="Q948" s="1">
        <v>45554</v>
      </c>
      <c r="R948">
        <v>508</v>
      </c>
      <c r="S948">
        <v>270</v>
      </c>
      <c r="T948">
        <v>525</v>
      </c>
      <c r="U948" t="str">
        <f t="shared" si="28"/>
        <v>Expiring Soon</v>
      </c>
      <c r="V948" t="s">
        <v>3345</v>
      </c>
      <c r="W948">
        <v>38</v>
      </c>
      <c r="X948" s="3">
        <f t="shared" si="29"/>
        <v>15219</v>
      </c>
      <c r="Y948">
        <v>96</v>
      </c>
      <c r="Z948" t="s">
        <v>30</v>
      </c>
      <c r="AA948" s="3">
        <f>X948-Grocery_Inventory_and_Sales_Dat!N948</f>
        <v>14818.5</v>
      </c>
    </row>
    <row r="949" spans="1:27" x14ac:dyDescent="0.3">
      <c r="A949" t="s">
        <v>3346</v>
      </c>
      <c r="B949" t="s">
        <v>63</v>
      </c>
      <c r="C949" t="s">
        <v>64</v>
      </c>
      <c r="D949" t="s">
        <v>3347</v>
      </c>
      <c r="E949" s="13" t="s">
        <v>644</v>
      </c>
      <c r="G949" s="2">
        <v>50</v>
      </c>
      <c r="H949">
        <v>40</v>
      </c>
      <c r="I949">
        <v>69</v>
      </c>
      <c r="J949" t="s">
        <v>55</v>
      </c>
      <c r="K949">
        <v>0</v>
      </c>
      <c r="L949" t="s">
        <v>41</v>
      </c>
      <c r="M949" s="12">
        <v>2.5</v>
      </c>
      <c r="N949" s="3">
        <f>G949*M949</f>
        <v>125</v>
      </c>
      <c r="O949" s="1">
        <v>45473</v>
      </c>
      <c r="P949" s="1">
        <v>45382</v>
      </c>
      <c r="Q949" s="1">
        <v>45530</v>
      </c>
      <c r="R949">
        <v>606</v>
      </c>
      <c r="S949">
        <v>697</v>
      </c>
      <c r="T949">
        <v>549</v>
      </c>
      <c r="U949" t="str">
        <f t="shared" si="28"/>
        <v>Expiring Soon</v>
      </c>
      <c r="V949" t="s">
        <v>3348</v>
      </c>
      <c r="W949">
        <v>28</v>
      </c>
      <c r="X949" s="3">
        <f t="shared" si="29"/>
        <v>3500</v>
      </c>
      <c r="Y949">
        <v>98</v>
      </c>
      <c r="Z949" t="s">
        <v>49</v>
      </c>
      <c r="AA949" s="3">
        <f>X949-Grocery_Inventory_and_Sales_Dat!N949</f>
        <v>3375</v>
      </c>
    </row>
    <row r="950" spans="1:27" x14ac:dyDescent="0.3">
      <c r="A950" t="s">
        <v>3349</v>
      </c>
      <c r="B950" t="s">
        <v>374</v>
      </c>
      <c r="C950" t="s">
        <v>52</v>
      </c>
      <c r="D950" t="s">
        <v>3350</v>
      </c>
      <c r="E950" s="13" t="s">
        <v>483</v>
      </c>
      <c r="G950" s="2">
        <v>94</v>
      </c>
      <c r="H950">
        <v>18</v>
      </c>
      <c r="I950">
        <v>84</v>
      </c>
      <c r="J950" t="s">
        <v>55</v>
      </c>
      <c r="K950">
        <v>0</v>
      </c>
      <c r="L950" t="s">
        <v>41</v>
      </c>
      <c r="M950" s="12">
        <v>4.5</v>
      </c>
      <c r="N950" s="3">
        <f>G950*M950</f>
        <v>423</v>
      </c>
      <c r="O950" s="1">
        <v>45748</v>
      </c>
      <c r="P950" s="1">
        <v>45580</v>
      </c>
      <c r="Q950" s="1">
        <v>45552</v>
      </c>
      <c r="R950">
        <v>331</v>
      </c>
      <c r="S950">
        <v>499</v>
      </c>
      <c r="T950">
        <v>527</v>
      </c>
      <c r="U950" t="str">
        <f t="shared" si="28"/>
        <v>Expiring Soon</v>
      </c>
      <c r="V950" t="s">
        <v>3351</v>
      </c>
      <c r="W950">
        <v>44</v>
      </c>
      <c r="X950" s="3">
        <f t="shared" si="29"/>
        <v>18612</v>
      </c>
      <c r="Y950">
        <v>49</v>
      </c>
      <c r="Z950" t="s">
        <v>30</v>
      </c>
      <c r="AA950" s="3">
        <f>X950-Grocery_Inventory_and_Sales_Dat!N950</f>
        <v>18189</v>
      </c>
    </row>
    <row r="951" spans="1:27" x14ac:dyDescent="0.3">
      <c r="A951" t="s">
        <v>3352</v>
      </c>
      <c r="B951" t="s">
        <v>605</v>
      </c>
      <c r="C951" t="s">
        <v>64</v>
      </c>
      <c r="D951" t="s">
        <v>3353</v>
      </c>
      <c r="E951" s="13" t="s">
        <v>2359</v>
      </c>
      <c r="G951" s="2">
        <v>97</v>
      </c>
      <c r="H951">
        <v>32</v>
      </c>
      <c r="I951">
        <v>43</v>
      </c>
      <c r="J951" t="s">
        <v>55</v>
      </c>
      <c r="K951">
        <v>0</v>
      </c>
      <c r="L951" t="s">
        <v>41</v>
      </c>
      <c r="M951" s="12">
        <v>2.2999999999999998</v>
      </c>
      <c r="N951" s="3">
        <f>G951*M951</f>
        <v>223.1</v>
      </c>
      <c r="O951" s="1">
        <v>45453</v>
      </c>
      <c r="P951" s="1">
        <v>45356</v>
      </c>
      <c r="Q951" s="1">
        <v>45442</v>
      </c>
      <c r="R951">
        <v>626</v>
      </c>
      <c r="S951">
        <v>723</v>
      </c>
      <c r="T951">
        <v>637</v>
      </c>
      <c r="U951" t="str">
        <f t="shared" si="28"/>
        <v>Safe</v>
      </c>
      <c r="V951" t="s">
        <v>3354</v>
      </c>
      <c r="W951">
        <v>82</v>
      </c>
      <c r="X951" s="3">
        <f t="shared" si="29"/>
        <v>18294.2</v>
      </c>
      <c r="Y951">
        <v>98</v>
      </c>
      <c r="Z951" t="s">
        <v>49</v>
      </c>
      <c r="AA951" s="3">
        <f>X951-Grocery_Inventory_and_Sales_Dat!N951</f>
        <v>18071.100000000002</v>
      </c>
    </row>
    <row r="952" spans="1:27" x14ac:dyDescent="0.3">
      <c r="A952" t="s">
        <v>3355</v>
      </c>
      <c r="B952" t="s">
        <v>989</v>
      </c>
      <c r="C952" t="s">
        <v>95</v>
      </c>
      <c r="D952" t="s">
        <v>3356</v>
      </c>
      <c r="E952" s="13" t="s">
        <v>2205</v>
      </c>
      <c r="G952" s="2">
        <v>72</v>
      </c>
      <c r="H952">
        <v>78</v>
      </c>
      <c r="I952">
        <v>1</v>
      </c>
      <c r="J952" t="s">
        <v>27</v>
      </c>
      <c r="K952">
        <v>78</v>
      </c>
      <c r="L952" t="s">
        <v>28</v>
      </c>
      <c r="M952" s="12">
        <v>4</v>
      </c>
      <c r="N952" s="3">
        <f>G952*M952</f>
        <v>288</v>
      </c>
      <c r="O952" s="1">
        <v>45576</v>
      </c>
      <c r="P952" s="1">
        <v>45379</v>
      </c>
      <c r="Q952" s="1">
        <v>45660</v>
      </c>
      <c r="R952">
        <v>503</v>
      </c>
      <c r="S952">
        <v>700</v>
      </c>
      <c r="T952">
        <v>419</v>
      </c>
      <c r="U952" t="str">
        <f t="shared" si="28"/>
        <v>Expiring Soon</v>
      </c>
      <c r="V952" t="s">
        <v>3357</v>
      </c>
      <c r="W952">
        <v>85</v>
      </c>
      <c r="X952" s="3">
        <f t="shared" si="29"/>
        <v>24480</v>
      </c>
      <c r="Y952">
        <v>30</v>
      </c>
      <c r="Z952" t="s">
        <v>30</v>
      </c>
      <c r="AA952" s="3">
        <f>X952-Grocery_Inventory_and_Sales_Dat!N952</f>
        <v>24192</v>
      </c>
    </row>
    <row r="953" spans="1:27" x14ac:dyDescent="0.3">
      <c r="A953" t="s">
        <v>3358</v>
      </c>
      <c r="B953" t="s">
        <v>413</v>
      </c>
      <c r="C953" t="s">
        <v>70</v>
      </c>
      <c r="D953" t="s">
        <v>3359</v>
      </c>
      <c r="E953" s="13" t="s">
        <v>3360</v>
      </c>
      <c r="G953" s="2">
        <v>62</v>
      </c>
      <c r="H953">
        <v>91</v>
      </c>
      <c r="I953">
        <v>14</v>
      </c>
      <c r="J953" t="s">
        <v>27</v>
      </c>
      <c r="K953">
        <v>91</v>
      </c>
      <c r="L953" t="s">
        <v>28</v>
      </c>
      <c r="M953" s="12">
        <v>2.5</v>
      </c>
      <c r="N953" s="3">
        <f>G953*M953</f>
        <v>155</v>
      </c>
      <c r="O953" s="1">
        <v>45556</v>
      </c>
      <c r="P953" s="1">
        <v>45443</v>
      </c>
      <c r="Q953" s="1">
        <v>45634</v>
      </c>
      <c r="R953">
        <v>523</v>
      </c>
      <c r="S953">
        <v>636</v>
      </c>
      <c r="T953">
        <v>445</v>
      </c>
      <c r="U953" t="str">
        <f t="shared" si="28"/>
        <v>Expiring Soon</v>
      </c>
      <c r="V953" t="s">
        <v>3361</v>
      </c>
      <c r="W953">
        <v>41</v>
      </c>
      <c r="X953" s="3">
        <f t="shared" si="29"/>
        <v>6355</v>
      </c>
      <c r="Y953">
        <v>77</v>
      </c>
      <c r="Z953" t="s">
        <v>30</v>
      </c>
      <c r="AA953" s="3">
        <f>X953-Grocery_Inventory_and_Sales_Dat!N953</f>
        <v>6200</v>
      </c>
    </row>
    <row r="954" spans="1:27" x14ac:dyDescent="0.3">
      <c r="A954" t="s">
        <v>3362</v>
      </c>
      <c r="B954" t="s">
        <v>1240</v>
      </c>
      <c r="C954" t="s">
        <v>52</v>
      </c>
      <c r="D954" t="s">
        <v>3363</v>
      </c>
      <c r="E954" s="13" t="s">
        <v>1317</v>
      </c>
      <c r="G954" s="2">
        <v>44</v>
      </c>
      <c r="H954">
        <v>92</v>
      </c>
      <c r="I954">
        <v>92</v>
      </c>
      <c r="J954" t="s">
        <v>27</v>
      </c>
      <c r="K954">
        <v>92</v>
      </c>
      <c r="L954" t="s">
        <v>28</v>
      </c>
      <c r="M954" s="12">
        <v>3.5</v>
      </c>
      <c r="N954" s="3">
        <f>G954*M954</f>
        <v>154</v>
      </c>
      <c r="O954" s="1">
        <v>45507</v>
      </c>
      <c r="P954" s="1">
        <v>45962</v>
      </c>
      <c r="Q954" s="1">
        <v>45560</v>
      </c>
      <c r="R954">
        <v>572</v>
      </c>
      <c r="S954">
        <v>117</v>
      </c>
      <c r="T954">
        <v>519</v>
      </c>
      <c r="U954" t="str">
        <f t="shared" si="28"/>
        <v>Expiring Soon</v>
      </c>
      <c r="V954" t="s">
        <v>3364</v>
      </c>
      <c r="W954">
        <v>41</v>
      </c>
      <c r="X954" s="3">
        <f t="shared" si="29"/>
        <v>6314</v>
      </c>
      <c r="Y954">
        <v>61</v>
      </c>
      <c r="Z954" t="s">
        <v>49</v>
      </c>
      <c r="AA954" s="3">
        <f>X954-Grocery_Inventory_and_Sales_Dat!N954</f>
        <v>6160</v>
      </c>
    </row>
    <row r="955" spans="1:27" x14ac:dyDescent="0.3">
      <c r="A955" t="s">
        <v>3365</v>
      </c>
      <c r="B955" t="s">
        <v>441</v>
      </c>
      <c r="C955" t="s">
        <v>64</v>
      </c>
      <c r="D955" t="s">
        <v>3366</v>
      </c>
      <c r="E955" s="13" t="s">
        <v>934</v>
      </c>
      <c r="G955" s="2">
        <v>21</v>
      </c>
      <c r="H955">
        <v>25</v>
      </c>
      <c r="I955">
        <v>39</v>
      </c>
      <c r="J955" t="s">
        <v>27</v>
      </c>
      <c r="K955">
        <v>25</v>
      </c>
      <c r="L955" t="s">
        <v>41</v>
      </c>
      <c r="M955" s="12">
        <v>4</v>
      </c>
      <c r="N955" s="3">
        <f>G955*M955</f>
        <v>84</v>
      </c>
      <c r="O955" s="1">
        <v>45503</v>
      </c>
      <c r="P955" s="1">
        <v>45574</v>
      </c>
      <c r="Q955" s="1">
        <v>45351</v>
      </c>
      <c r="R955">
        <v>576</v>
      </c>
      <c r="S955">
        <v>505</v>
      </c>
      <c r="T955">
        <v>728</v>
      </c>
      <c r="U955" t="str">
        <f t="shared" si="28"/>
        <v>Safe</v>
      </c>
      <c r="V955" t="s">
        <v>3367</v>
      </c>
      <c r="W955">
        <v>79</v>
      </c>
      <c r="X955" s="3">
        <f t="shared" si="29"/>
        <v>6636</v>
      </c>
      <c r="Y955">
        <v>30</v>
      </c>
      <c r="Z955" t="s">
        <v>49</v>
      </c>
      <c r="AA955" s="3">
        <f>X955-Grocery_Inventory_and_Sales_Dat!N955</f>
        <v>6552</v>
      </c>
    </row>
    <row r="956" spans="1:27" x14ac:dyDescent="0.3">
      <c r="A956" t="s">
        <v>3368</v>
      </c>
      <c r="B956" t="s">
        <v>1270</v>
      </c>
      <c r="C956" t="s">
        <v>24</v>
      </c>
      <c r="D956" t="s">
        <v>3369</v>
      </c>
      <c r="E956" s="13" t="s">
        <v>854</v>
      </c>
      <c r="G956" s="2">
        <v>91</v>
      </c>
      <c r="H956">
        <v>39</v>
      </c>
      <c r="I956">
        <v>48</v>
      </c>
      <c r="J956" t="s">
        <v>55</v>
      </c>
      <c r="K956">
        <v>0</v>
      </c>
      <c r="L956" t="s">
        <v>41</v>
      </c>
      <c r="M956" s="12">
        <v>5</v>
      </c>
      <c r="N956" s="3">
        <f>G956*M956</f>
        <v>455</v>
      </c>
      <c r="O956" s="1">
        <v>45382</v>
      </c>
      <c r="P956" s="1">
        <v>45647</v>
      </c>
      <c r="Q956" s="1">
        <v>45612</v>
      </c>
      <c r="R956">
        <v>697</v>
      </c>
      <c r="S956">
        <v>432</v>
      </c>
      <c r="T956">
        <v>467</v>
      </c>
      <c r="U956" t="str">
        <f t="shared" si="28"/>
        <v>Expiring Soon</v>
      </c>
      <c r="V956" t="s">
        <v>3370</v>
      </c>
      <c r="W956">
        <v>48</v>
      </c>
      <c r="X956" s="3">
        <f t="shared" si="29"/>
        <v>21840</v>
      </c>
      <c r="Y956">
        <v>18</v>
      </c>
      <c r="Z956" t="s">
        <v>49</v>
      </c>
      <c r="AA956" s="3">
        <f>X956-Grocery_Inventory_and_Sales_Dat!N956</f>
        <v>21385</v>
      </c>
    </row>
    <row r="957" spans="1:27" x14ac:dyDescent="0.3">
      <c r="A957" t="s">
        <v>3371</v>
      </c>
      <c r="B957" t="s">
        <v>630</v>
      </c>
      <c r="C957" t="s">
        <v>138</v>
      </c>
      <c r="D957" t="s">
        <v>3372</v>
      </c>
      <c r="E957" s="13" t="s">
        <v>1460</v>
      </c>
      <c r="G957" s="2">
        <v>87</v>
      </c>
      <c r="H957">
        <v>24</v>
      </c>
      <c r="I957">
        <v>66</v>
      </c>
      <c r="J957" t="s">
        <v>55</v>
      </c>
      <c r="K957">
        <v>0</v>
      </c>
      <c r="L957" t="s">
        <v>41</v>
      </c>
      <c r="M957" s="12">
        <v>18</v>
      </c>
      <c r="N957" s="3">
        <f>G957*M957</f>
        <v>1566</v>
      </c>
      <c r="O957" s="1">
        <v>45432</v>
      </c>
      <c r="P957" s="1">
        <v>45620</v>
      </c>
      <c r="Q957" s="1">
        <v>45416</v>
      </c>
      <c r="R957">
        <v>647</v>
      </c>
      <c r="S957">
        <v>459</v>
      </c>
      <c r="T957">
        <v>663</v>
      </c>
      <c r="U957" t="str">
        <f t="shared" si="28"/>
        <v>Safe</v>
      </c>
      <c r="V957" t="s">
        <v>3373</v>
      </c>
      <c r="W957">
        <v>22</v>
      </c>
      <c r="X957" s="3">
        <f t="shared" si="29"/>
        <v>34452</v>
      </c>
      <c r="Y957">
        <v>34</v>
      </c>
      <c r="Z957" t="s">
        <v>49</v>
      </c>
      <c r="AA957" s="3">
        <f>X957-Grocery_Inventory_and_Sales_Dat!N957</f>
        <v>32886</v>
      </c>
    </row>
    <row r="958" spans="1:27" x14ac:dyDescent="0.3">
      <c r="A958" t="s">
        <v>3374</v>
      </c>
      <c r="B958" t="s">
        <v>132</v>
      </c>
      <c r="C958" t="s">
        <v>52</v>
      </c>
      <c r="D958" t="s">
        <v>3375</v>
      </c>
      <c r="E958" s="13" t="s">
        <v>1795</v>
      </c>
      <c r="G958" s="2">
        <v>61</v>
      </c>
      <c r="H958">
        <v>17</v>
      </c>
      <c r="I958">
        <v>69</v>
      </c>
      <c r="J958" t="s">
        <v>55</v>
      </c>
      <c r="K958">
        <v>0</v>
      </c>
      <c r="L958" t="s">
        <v>41</v>
      </c>
      <c r="M958" s="12">
        <v>2.52</v>
      </c>
      <c r="N958" s="3">
        <f>G958*M958</f>
        <v>153.72</v>
      </c>
      <c r="O958" s="1">
        <v>45434</v>
      </c>
      <c r="P958" s="1">
        <v>45478</v>
      </c>
      <c r="Q958" s="1">
        <v>45460</v>
      </c>
      <c r="R958">
        <v>645</v>
      </c>
      <c r="S958">
        <v>601</v>
      </c>
      <c r="T958">
        <v>619</v>
      </c>
      <c r="U958" t="str">
        <f t="shared" si="28"/>
        <v>Safe</v>
      </c>
      <c r="V958" t="s">
        <v>3376</v>
      </c>
      <c r="W958">
        <v>31</v>
      </c>
      <c r="X958" s="3">
        <f t="shared" si="29"/>
        <v>4765.32</v>
      </c>
      <c r="Y958">
        <v>29</v>
      </c>
      <c r="Z958" t="s">
        <v>49</v>
      </c>
      <c r="AA958" s="3">
        <f>X958-Grocery_Inventory_and_Sales_Dat!N958</f>
        <v>4611.5999999999995</v>
      </c>
    </row>
    <row r="959" spans="1:27" x14ac:dyDescent="0.3">
      <c r="A959" t="s">
        <v>3377</v>
      </c>
      <c r="B959" t="s">
        <v>317</v>
      </c>
      <c r="C959" t="s">
        <v>52</v>
      </c>
      <c r="D959" t="s">
        <v>3378</v>
      </c>
      <c r="E959" s="13" t="s">
        <v>589</v>
      </c>
      <c r="G959" s="2">
        <v>61</v>
      </c>
      <c r="H959">
        <v>81</v>
      </c>
      <c r="I959">
        <v>99</v>
      </c>
      <c r="J959" t="s">
        <v>27</v>
      </c>
      <c r="K959">
        <v>81</v>
      </c>
      <c r="L959" t="s">
        <v>28</v>
      </c>
      <c r="M959" s="12">
        <v>1.5</v>
      </c>
      <c r="N959" s="3">
        <f>G959*M959</f>
        <v>91.5</v>
      </c>
      <c r="O959" s="1">
        <v>45592</v>
      </c>
      <c r="P959" s="1">
        <v>45364</v>
      </c>
      <c r="Q959" s="1">
        <v>45406</v>
      </c>
      <c r="R959">
        <v>487</v>
      </c>
      <c r="S959">
        <v>715</v>
      </c>
      <c r="T959">
        <v>673</v>
      </c>
      <c r="U959" t="str">
        <f t="shared" si="28"/>
        <v>Safe</v>
      </c>
      <c r="V959" t="s">
        <v>3379</v>
      </c>
      <c r="W959">
        <v>26</v>
      </c>
      <c r="X959" s="3">
        <f t="shared" si="29"/>
        <v>2379</v>
      </c>
      <c r="Y959">
        <v>76</v>
      </c>
      <c r="Z959" t="s">
        <v>30</v>
      </c>
      <c r="AA959" s="3">
        <f>X959-Grocery_Inventory_and_Sales_Dat!N959</f>
        <v>2287.5</v>
      </c>
    </row>
    <row r="960" spans="1:27" x14ac:dyDescent="0.3">
      <c r="A960" t="s">
        <v>3380</v>
      </c>
      <c r="B960" t="s">
        <v>1537</v>
      </c>
      <c r="C960" t="s">
        <v>52</v>
      </c>
      <c r="D960" t="s">
        <v>3381</v>
      </c>
      <c r="E960" s="13" t="s">
        <v>2179</v>
      </c>
      <c r="G960" s="2">
        <v>49</v>
      </c>
      <c r="H960">
        <v>1</v>
      </c>
      <c r="I960">
        <v>28</v>
      </c>
      <c r="J960" t="s">
        <v>55</v>
      </c>
      <c r="K960">
        <v>0</v>
      </c>
      <c r="L960" t="s">
        <v>41</v>
      </c>
      <c r="M960" s="12">
        <v>2</v>
      </c>
      <c r="N960" s="3">
        <f>G960*M960</f>
        <v>98</v>
      </c>
      <c r="O960" s="1">
        <v>45303</v>
      </c>
      <c r="P960" s="1">
        <v>45649</v>
      </c>
      <c r="Q960" s="1">
        <v>45614</v>
      </c>
      <c r="R960">
        <v>776</v>
      </c>
      <c r="S960">
        <v>430</v>
      </c>
      <c r="T960">
        <v>465</v>
      </c>
      <c r="U960" t="str">
        <f t="shared" si="28"/>
        <v>Expiring Soon</v>
      </c>
      <c r="V960" t="s">
        <v>3382</v>
      </c>
      <c r="W960">
        <v>97</v>
      </c>
      <c r="X960" s="3">
        <f t="shared" si="29"/>
        <v>9506</v>
      </c>
      <c r="Y960">
        <v>95</v>
      </c>
      <c r="Z960" t="s">
        <v>49</v>
      </c>
      <c r="AA960" s="3">
        <f>X960-Grocery_Inventory_and_Sales_Dat!N960</f>
        <v>9408</v>
      </c>
    </row>
    <row r="961" spans="1:27" x14ac:dyDescent="0.3">
      <c r="A961" t="s">
        <v>3383</v>
      </c>
      <c r="B961" t="s">
        <v>235</v>
      </c>
      <c r="C961" t="s">
        <v>52</v>
      </c>
      <c r="D961" t="s">
        <v>3384</v>
      </c>
      <c r="E961" s="13" t="s">
        <v>2395</v>
      </c>
      <c r="G961" s="2">
        <v>87</v>
      </c>
      <c r="H961">
        <v>1</v>
      </c>
      <c r="I961">
        <v>98</v>
      </c>
      <c r="J961" t="s">
        <v>55</v>
      </c>
      <c r="K961">
        <v>0</v>
      </c>
      <c r="L961" t="s">
        <v>41</v>
      </c>
      <c r="M961" s="12">
        <v>2.5</v>
      </c>
      <c r="N961" s="3">
        <f>G961*M961</f>
        <v>217.5</v>
      </c>
      <c r="O961" s="1">
        <v>45477</v>
      </c>
      <c r="P961" s="1">
        <v>45483</v>
      </c>
      <c r="Q961" s="1">
        <v>45492</v>
      </c>
      <c r="R961">
        <v>602</v>
      </c>
      <c r="S961">
        <v>596</v>
      </c>
      <c r="T961">
        <v>587</v>
      </c>
      <c r="U961" t="str">
        <f t="shared" si="28"/>
        <v>Safe</v>
      </c>
      <c r="V961" t="s">
        <v>3385</v>
      </c>
      <c r="W961">
        <v>61</v>
      </c>
      <c r="X961" s="3">
        <f t="shared" si="29"/>
        <v>13267.5</v>
      </c>
      <c r="Y961">
        <v>84</v>
      </c>
      <c r="Z961" t="s">
        <v>30</v>
      </c>
      <c r="AA961" s="3">
        <f>X961-Grocery_Inventory_and_Sales_Dat!N961</f>
        <v>13050</v>
      </c>
    </row>
    <row r="962" spans="1:27" x14ac:dyDescent="0.3">
      <c r="A962" t="s">
        <v>3386</v>
      </c>
      <c r="B962" t="s">
        <v>249</v>
      </c>
      <c r="C962" t="s">
        <v>95</v>
      </c>
      <c r="D962" t="s">
        <v>3387</v>
      </c>
      <c r="E962" s="13" t="s">
        <v>277</v>
      </c>
      <c r="G962" s="2">
        <v>93</v>
      </c>
      <c r="H962">
        <v>55</v>
      </c>
      <c r="I962">
        <v>95</v>
      </c>
      <c r="J962" t="s">
        <v>55</v>
      </c>
      <c r="K962">
        <v>0</v>
      </c>
      <c r="L962" t="s">
        <v>41</v>
      </c>
      <c r="M962" s="12">
        <v>3.25</v>
      </c>
      <c r="N962" s="3">
        <f>G962*M962</f>
        <v>302.25</v>
      </c>
      <c r="O962" s="1">
        <v>45963</v>
      </c>
      <c r="P962" s="1">
        <v>45415</v>
      </c>
      <c r="Q962" s="1">
        <v>45645</v>
      </c>
      <c r="R962">
        <v>116</v>
      </c>
      <c r="S962">
        <v>664</v>
      </c>
      <c r="T962">
        <v>434</v>
      </c>
      <c r="U962" t="str">
        <f t="shared" si="28"/>
        <v>Expiring Soon</v>
      </c>
      <c r="V962" t="s">
        <v>3388</v>
      </c>
      <c r="W962">
        <v>56</v>
      </c>
      <c r="X962" s="3">
        <f t="shared" si="29"/>
        <v>16926</v>
      </c>
      <c r="Y962">
        <v>72</v>
      </c>
      <c r="Z962" t="s">
        <v>43</v>
      </c>
      <c r="AA962" s="3">
        <f>X962-Grocery_Inventory_and_Sales_Dat!N962</f>
        <v>16623.75</v>
      </c>
    </row>
    <row r="963" spans="1:27" x14ac:dyDescent="0.3">
      <c r="A963" t="s">
        <v>3389</v>
      </c>
      <c r="B963" t="s">
        <v>834</v>
      </c>
      <c r="C963" t="s">
        <v>24</v>
      </c>
      <c r="D963" t="s">
        <v>3390</v>
      </c>
      <c r="E963" s="13" t="s">
        <v>668</v>
      </c>
      <c r="G963" s="2">
        <v>55</v>
      </c>
      <c r="H963">
        <v>13</v>
      </c>
      <c r="I963">
        <v>71</v>
      </c>
      <c r="J963" t="s">
        <v>55</v>
      </c>
      <c r="K963">
        <v>0</v>
      </c>
      <c r="L963" t="s">
        <v>41</v>
      </c>
      <c r="M963" s="12">
        <v>4.45</v>
      </c>
      <c r="N963" s="3">
        <f>G963*M963</f>
        <v>244.75</v>
      </c>
      <c r="O963" s="1">
        <v>45408</v>
      </c>
      <c r="P963" s="1">
        <v>45587</v>
      </c>
      <c r="Q963" s="1">
        <v>45396</v>
      </c>
      <c r="R963">
        <v>671</v>
      </c>
      <c r="S963">
        <v>492</v>
      </c>
      <c r="T963">
        <v>683</v>
      </c>
      <c r="U963" t="str">
        <f t="shared" ref="U963:U991" si="30">IF(T963&lt;0,"Expired",IF(T963&lt;=550,"Expiring Soon","Safe"))</f>
        <v>Safe</v>
      </c>
      <c r="V963" t="s">
        <v>3391</v>
      </c>
      <c r="W963">
        <v>37</v>
      </c>
      <c r="X963" s="3">
        <f t="shared" ref="X963:X990" si="31">W963*N963</f>
        <v>9055.75</v>
      </c>
      <c r="Y963">
        <v>4</v>
      </c>
      <c r="Z963" t="s">
        <v>43</v>
      </c>
      <c r="AA963" s="3">
        <f>X963-Grocery_Inventory_and_Sales_Dat!N963</f>
        <v>8811</v>
      </c>
    </row>
    <row r="964" spans="1:27" x14ac:dyDescent="0.3">
      <c r="A964" t="s">
        <v>3392</v>
      </c>
      <c r="B964" t="s">
        <v>651</v>
      </c>
      <c r="C964" t="s">
        <v>70</v>
      </c>
      <c r="D964" t="s">
        <v>3393</v>
      </c>
      <c r="E964" s="13" t="s">
        <v>2470</v>
      </c>
      <c r="G964" s="2">
        <v>29</v>
      </c>
      <c r="H964">
        <v>39</v>
      </c>
      <c r="I964">
        <v>80</v>
      </c>
      <c r="J964" t="s">
        <v>27</v>
      </c>
      <c r="K964">
        <v>39</v>
      </c>
      <c r="L964" t="s">
        <v>41</v>
      </c>
      <c r="M964" s="12">
        <v>4</v>
      </c>
      <c r="N964" s="3">
        <f>G964*M964</f>
        <v>116</v>
      </c>
      <c r="O964" s="1">
        <v>45441</v>
      </c>
      <c r="P964" s="1">
        <v>45362</v>
      </c>
      <c r="Q964" s="1">
        <v>45388</v>
      </c>
      <c r="R964">
        <v>638</v>
      </c>
      <c r="S964">
        <v>717</v>
      </c>
      <c r="T964">
        <v>691</v>
      </c>
      <c r="U964" t="str">
        <f t="shared" si="30"/>
        <v>Safe</v>
      </c>
      <c r="V964" t="s">
        <v>3394</v>
      </c>
      <c r="W964">
        <v>23</v>
      </c>
      <c r="X964" s="3">
        <f t="shared" si="31"/>
        <v>2668</v>
      </c>
      <c r="Y964">
        <v>85</v>
      </c>
      <c r="Z964" t="s">
        <v>43</v>
      </c>
      <c r="AA964" s="3">
        <f>X964-Grocery_Inventory_and_Sales_Dat!N964</f>
        <v>2552</v>
      </c>
    </row>
    <row r="965" spans="1:27" x14ac:dyDescent="0.3">
      <c r="A965" t="s">
        <v>3395</v>
      </c>
      <c r="B965" t="s">
        <v>2294</v>
      </c>
      <c r="C965" t="s">
        <v>70</v>
      </c>
      <c r="D965" t="s">
        <v>3396</v>
      </c>
      <c r="E965" s="13" t="s">
        <v>106</v>
      </c>
      <c r="G965" s="2">
        <v>63</v>
      </c>
      <c r="H965">
        <v>62</v>
      </c>
      <c r="I965">
        <v>18</v>
      </c>
      <c r="J965" t="s">
        <v>55</v>
      </c>
      <c r="K965">
        <v>0</v>
      </c>
      <c r="L965" t="s">
        <v>41</v>
      </c>
      <c r="M965" s="12">
        <v>0.2</v>
      </c>
      <c r="N965" s="3">
        <f>G965*M965</f>
        <v>12.600000000000001</v>
      </c>
      <c r="O965" s="1">
        <v>45399</v>
      </c>
      <c r="P965" s="1">
        <v>45326</v>
      </c>
      <c r="Q965" s="1">
        <v>45601</v>
      </c>
      <c r="R965">
        <v>680</v>
      </c>
      <c r="S965">
        <v>753</v>
      </c>
      <c r="T965">
        <v>478</v>
      </c>
      <c r="U965" t="str">
        <f t="shared" si="30"/>
        <v>Expiring Soon</v>
      </c>
      <c r="V965" t="s">
        <v>3397</v>
      </c>
      <c r="W965">
        <v>67</v>
      </c>
      <c r="X965" s="3">
        <f t="shared" si="31"/>
        <v>844.2</v>
      </c>
      <c r="Y965">
        <v>17</v>
      </c>
      <c r="Z965" t="s">
        <v>49</v>
      </c>
      <c r="AA965" s="3">
        <f>X965-Grocery_Inventory_and_Sales_Dat!N965</f>
        <v>831.6</v>
      </c>
    </row>
    <row r="966" spans="1:27" x14ac:dyDescent="0.3">
      <c r="A966" t="s">
        <v>3398</v>
      </c>
      <c r="B966" t="s">
        <v>395</v>
      </c>
      <c r="C966" t="s">
        <v>52</v>
      </c>
      <c r="D966" t="s">
        <v>3399</v>
      </c>
      <c r="E966" s="13" t="s">
        <v>2048</v>
      </c>
      <c r="G966" s="2">
        <v>42</v>
      </c>
      <c r="H966">
        <v>69</v>
      </c>
      <c r="I966">
        <v>54</v>
      </c>
      <c r="J966" t="s">
        <v>27</v>
      </c>
      <c r="K966">
        <v>69</v>
      </c>
      <c r="L966" t="s">
        <v>28</v>
      </c>
      <c r="M966" s="12">
        <v>1.2</v>
      </c>
      <c r="N966" s="3">
        <f>G966*M966</f>
        <v>50.4</v>
      </c>
      <c r="O966" s="1">
        <v>45676</v>
      </c>
      <c r="P966" s="1">
        <v>45446</v>
      </c>
      <c r="Q966" s="1">
        <v>45352</v>
      </c>
      <c r="R966">
        <v>403</v>
      </c>
      <c r="S966">
        <v>633</v>
      </c>
      <c r="T966">
        <v>727</v>
      </c>
      <c r="U966" t="str">
        <f t="shared" si="30"/>
        <v>Safe</v>
      </c>
      <c r="V966" t="s">
        <v>3400</v>
      </c>
      <c r="W966">
        <v>43</v>
      </c>
      <c r="X966" s="3">
        <f t="shared" si="31"/>
        <v>2167.1999999999998</v>
      </c>
      <c r="Y966">
        <v>96</v>
      </c>
      <c r="Z966" t="s">
        <v>49</v>
      </c>
      <c r="AA966" s="3">
        <f>X966-Grocery_Inventory_and_Sales_Dat!N966</f>
        <v>2116.7999999999997</v>
      </c>
    </row>
    <row r="967" spans="1:27" x14ac:dyDescent="0.3">
      <c r="A967" t="s">
        <v>3401</v>
      </c>
      <c r="B967" t="s">
        <v>207</v>
      </c>
      <c r="C967" t="s">
        <v>52</v>
      </c>
      <c r="D967" t="s">
        <v>3402</v>
      </c>
      <c r="E967" s="13" t="s">
        <v>3069</v>
      </c>
      <c r="G967" s="2">
        <v>74</v>
      </c>
      <c r="H967">
        <v>4</v>
      </c>
      <c r="I967">
        <v>39</v>
      </c>
      <c r="J967" t="s">
        <v>55</v>
      </c>
      <c r="K967">
        <v>0</v>
      </c>
      <c r="L967" t="s">
        <v>41</v>
      </c>
      <c r="M967" s="12">
        <v>2</v>
      </c>
      <c r="N967" s="3">
        <f>G967*M967</f>
        <v>148</v>
      </c>
      <c r="O967" s="1">
        <v>45652</v>
      </c>
      <c r="P967" s="1">
        <v>45416</v>
      </c>
      <c r="Q967" s="1">
        <v>45511</v>
      </c>
      <c r="R967">
        <v>427</v>
      </c>
      <c r="S967">
        <v>663</v>
      </c>
      <c r="T967">
        <v>568</v>
      </c>
      <c r="U967" t="str">
        <f t="shared" si="30"/>
        <v>Safe</v>
      </c>
      <c r="V967" t="s">
        <v>3403</v>
      </c>
      <c r="W967">
        <v>97</v>
      </c>
      <c r="X967" s="3">
        <f t="shared" si="31"/>
        <v>14356</v>
      </c>
      <c r="Y967">
        <v>24</v>
      </c>
      <c r="Z967" t="s">
        <v>43</v>
      </c>
      <c r="AA967" s="3">
        <f>X967-Grocery_Inventory_and_Sales_Dat!N967</f>
        <v>14208</v>
      </c>
    </row>
    <row r="968" spans="1:27" x14ac:dyDescent="0.3">
      <c r="A968" t="s">
        <v>3404</v>
      </c>
      <c r="B968" t="s">
        <v>225</v>
      </c>
      <c r="C968" t="s">
        <v>24</v>
      </c>
      <c r="D968" t="s">
        <v>3405</v>
      </c>
      <c r="E968" s="13" t="s">
        <v>2260</v>
      </c>
      <c r="G968" s="2">
        <v>22</v>
      </c>
      <c r="H968">
        <v>77</v>
      </c>
      <c r="I968">
        <v>15</v>
      </c>
      <c r="J968" t="s">
        <v>27</v>
      </c>
      <c r="K968">
        <v>77</v>
      </c>
      <c r="L968" t="s">
        <v>28</v>
      </c>
      <c r="M968" s="12">
        <v>3</v>
      </c>
      <c r="N968" s="3">
        <f>G968*M968</f>
        <v>66</v>
      </c>
      <c r="O968" s="1">
        <v>45600</v>
      </c>
      <c r="P968" s="1">
        <v>45441</v>
      </c>
      <c r="Q968" s="1">
        <v>45502</v>
      </c>
      <c r="R968">
        <v>479</v>
      </c>
      <c r="S968">
        <v>638</v>
      </c>
      <c r="T968">
        <v>577</v>
      </c>
      <c r="U968" t="str">
        <f t="shared" si="30"/>
        <v>Safe</v>
      </c>
      <c r="V968" t="s">
        <v>3406</v>
      </c>
      <c r="W968">
        <v>68</v>
      </c>
      <c r="X968" s="3">
        <f t="shared" si="31"/>
        <v>4488</v>
      </c>
      <c r="Y968">
        <v>46</v>
      </c>
      <c r="Z968" t="s">
        <v>49</v>
      </c>
      <c r="AA968" s="3">
        <f>X968-Grocery_Inventory_and_Sales_Dat!N968</f>
        <v>4422</v>
      </c>
    </row>
    <row r="969" spans="1:27" x14ac:dyDescent="0.3">
      <c r="A969" t="s">
        <v>3407</v>
      </c>
      <c r="B969" t="s">
        <v>2294</v>
      </c>
      <c r="C969" t="s">
        <v>70</v>
      </c>
      <c r="D969" t="s">
        <v>3408</v>
      </c>
      <c r="E969" s="13" t="s">
        <v>624</v>
      </c>
      <c r="G969" s="2">
        <v>83</v>
      </c>
      <c r="H969">
        <v>35</v>
      </c>
      <c r="I969">
        <v>43</v>
      </c>
      <c r="J969" t="s">
        <v>55</v>
      </c>
      <c r="K969">
        <v>0</v>
      </c>
      <c r="L969" t="s">
        <v>41</v>
      </c>
      <c r="M969" s="12">
        <v>0.2</v>
      </c>
      <c r="N969" s="3">
        <f>G969*M969</f>
        <v>16.600000000000001</v>
      </c>
      <c r="O969" s="1">
        <v>45518</v>
      </c>
      <c r="P969" s="1">
        <v>45530</v>
      </c>
      <c r="Q969" s="1">
        <v>45541</v>
      </c>
      <c r="R969">
        <v>561</v>
      </c>
      <c r="S969">
        <v>549</v>
      </c>
      <c r="T969">
        <v>538</v>
      </c>
      <c r="U969" t="str">
        <f t="shared" si="30"/>
        <v>Expiring Soon</v>
      </c>
      <c r="V969" t="s">
        <v>3409</v>
      </c>
      <c r="W969">
        <v>94</v>
      </c>
      <c r="X969" s="3">
        <f t="shared" si="31"/>
        <v>1560.4</v>
      </c>
      <c r="Y969">
        <v>68</v>
      </c>
      <c r="Z969" t="s">
        <v>30</v>
      </c>
      <c r="AA969" s="3">
        <f>X969-Grocery_Inventory_and_Sales_Dat!N969</f>
        <v>1543.8000000000002</v>
      </c>
    </row>
    <row r="970" spans="1:27" x14ac:dyDescent="0.3">
      <c r="A970" t="s">
        <v>3410</v>
      </c>
      <c r="B970" t="s">
        <v>1474</v>
      </c>
      <c r="C970" t="s">
        <v>24</v>
      </c>
      <c r="D970" t="s">
        <v>3411</v>
      </c>
      <c r="E970" s="13" t="s">
        <v>246</v>
      </c>
      <c r="G970" s="2">
        <v>32</v>
      </c>
      <c r="H970">
        <v>91</v>
      </c>
      <c r="I970">
        <v>80</v>
      </c>
      <c r="J970" t="s">
        <v>27</v>
      </c>
      <c r="K970">
        <v>91</v>
      </c>
      <c r="L970" t="s">
        <v>28</v>
      </c>
      <c r="M970" s="12">
        <v>10</v>
      </c>
      <c r="N970" s="3">
        <f>G970*M970</f>
        <v>320</v>
      </c>
      <c r="O970" s="1">
        <v>45583</v>
      </c>
      <c r="P970" s="1">
        <v>45532</v>
      </c>
      <c r="Q970" s="1">
        <v>45673</v>
      </c>
      <c r="R970">
        <v>496</v>
      </c>
      <c r="S970">
        <v>547</v>
      </c>
      <c r="T970">
        <v>406</v>
      </c>
      <c r="U970" t="str">
        <f t="shared" si="30"/>
        <v>Expiring Soon</v>
      </c>
      <c r="V970" t="s">
        <v>3412</v>
      </c>
      <c r="W970">
        <v>69</v>
      </c>
      <c r="X970" s="3">
        <f t="shared" si="31"/>
        <v>22080</v>
      </c>
      <c r="Y970">
        <v>80</v>
      </c>
      <c r="Z970" t="s">
        <v>30</v>
      </c>
      <c r="AA970" s="3">
        <f>X970-Grocery_Inventory_and_Sales_Dat!N970</f>
        <v>21760</v>
      </c>
    </row>
    <row r="971" spans="1:27" x14ac:dyDescent="0.3">
      <c r="A971" t="s">
        <v>3413</v>
      </c>
      <c r="B971" t="s">
        <v>1240</v>
      </c>
      <c r="C971" t="s">
        <v>52</v>
      </c>
      <c r="D971" t="s">
        <v>3414</v>
      </c>
      <c r="E971" s="13" t="s">
        <v>2656</v>
      </c>
      <c r="G971" s="2">
        <v>84</v>
      </c>
      <c r="H971">
        <v>46</v>
      </c>
      <c r="I971">
        <v>80</v>
      </c>
      <c r="J971" t="s">
        <v>55</v>
      </c>
      <c r="K971">
        <v>0</v>
      </c>
      <c r="L971" t="s">
        <v>41</v>
      </c>
      <c r="M971" s="12">
        <v>3.5</v>
      </c>
      <c r="N971" s="3">
        <f>G971*M971</f>
        <v>294</v>
      </c>
      <c r="O971" s="1">
        <v>45430</v>
      </c>
      <c r="P971" s="1">
        <v>45332</v>
      </c>
      <c r="Q971" s="1">
        <v>45650</v>
      </c>
      <c r="R971">
        <v>649</v>
      </c>
      <c r="S971">
        <v>747</v>
      </c>
      <c r="T971">
        <v>429</v>
      </c>
      <c r="U971" t="str">
        <f t="shared" si="30"/>
        <v>Expiring Soon</v>
      </c>
      <c r="V971" t="s">
        <v>3415</v>
      </c>
      <c r="W971">
        <v>66</v>
      </c>
      <c r="X971" s="3">
        <f t="shared" si="31"/>
        <v>19404</v>
      </c>
      <c r="Y971">
        <v>84</v>
      </c>
      <c r="Z971" t="s">
        <v>30</v>
      </c>
      <c r="AA971" s="3">
        <f>X971-Grocery_Inventory_and_Sales_Dat!N971</f>
        <v>19110</v>
      </c>
    </row>
    <row r="972" spans="1:27" x14ac:dyDescent="0.3">
      <c r="A972" t="s">
        <v>3416</v>
      </c>
      <c r="B972" t="s">
        <v>51</v>
      </c>
      <c r="C972" t="s">
        <v>52</v>
      </c>
      <c r="D972" t="s">
        <v>3417</v>
      </c>
      <c r="E972" s="13" t="s">
        <v>1460</v>
      </c>
      <c r="G972" s="2">
        <v>22</v>
      </c>
      <c r="H972">
        <v>56</v>
      </c>
      <c r="I972">
        <v>72</v>
      </c>
      <c r="J972" t="s">
        <v>27</v>
      </c>
      <c r="K972">
        <v>56</v>
      </c>
      <c r="L972" t="s">
        <v>41</v>
      </c>
      <c r="M972" s="12">
        <v>4</v>
      </c>
      <c r="N972" s="3">
        <f>G972*M972</f>
        <v>88</v>
      </c>
      <c r="O972" s="1">
        <v>45539</v>
      </c>
      <c r="P972" s="1">
        <v>45510</v>
      </c>
      <c r="Q972" s="1">
        <v>45629</v>
      </c>
      <c r="R972">
        <v>540</v>
      </c>
      <c r="S972">
        <v>569</v>
      </c>
      <c r="T972">
        <v>450</v>
      </c>
      <c r="U972" t="str">
        <f t="shared" si="30"/>
        <v>Expiring Soon</v>
      </c>
      <c r="V972" t="s">
        <v>3418</v>
      </c>
      <c r="W972">
        <v>70</v>
      </c>
      <c r="X972" s="3">
        <f t="shared" si="31"/>
        <v>6160</v>
      </c>
      <c r="Y972">
        <v>39</v>
      </c>
      <c r="Z972" t="s">
        <v>30</v>
      </c>
      <c r="AA972" s="3">
        <f>X972-Grocery_Inventory_and_Sales_Dat!N972</f>
        <v>6072</v>
      </c>
    </row>
    <row r="973" spans="1:27" x14ac:dyDescent="0.3">
      <c r="A973" t="s">
        <v>3419</v>
      </c>
      <c r="B973" t="s">
        <v>408</v>
      </c>
      <c r="C973" t="s">
        <v>52</v>
      </c>
      <c r="D973" t="s">
        <v>3420</v>
      </c>
      <c r="E973" s="13" t="s">
        <v>1795</v>
      </c>
      <c r="G973" s="2">
        <v>100</v>
      </c>
      <c r="H973">
        <v>52</v>
      </c>
      <c r="I973">
        <v>2</v>
      </c>
      <c r="J973" t="s">
        <v>55</v>
      </c>
      <c r="K973">
        <v>0</v>
      </c>
      <c r="L973" t="s">
        <v>41</v>
      </c>
      <c r="M973" s="12">
        <v>3</v>
      </c>
      <c r="N973" s="3">
        <f>G973*M973</f>
        <v>300</v>
      </c>
      <c r="O973" s="1">
        <v>45507</v>
      </c>
      <c r="P973" s="1">
        <v>45625</v>
      </c>
      <c r="Q973" s="1">
        <v>45582</v>
      </c>
      <c r="R973">
        <v>572</v>
      </c>
      <c r="S973">
        <v>454</v>
      </c>
      <c r="T973">
        <v>497</v>
      </c>
      <c r="U973" t="str">
        <f t="shared" si="30"/>
        <v>Expiring Soon</v>
      </c>
      <c r="V973" t="s">
        <v>3421</v>
      </c>
      <c r="W973">
        <v>86</v>
      </c>
      <c r="X973" s="3">
        <f t="shared" si="31"/>
        <v>25800</v>
      </c>
      <c r="Y973">
        <v>70</v>
      </c>
      <c r="Z973" t="s">
        <v>43</v>
      </c>
      <c r="AA973" s="3">
        <f>X973-Grocery_Inventory_and_Sales_Dat!N973</f>
        <v>25500</v>
      </c>
    </row>
    <row r="974" spans="1:27" x14ac:dyDescent="0.3">
      <c r="A974" t="s">
        <v>3422</v>
      </c>
      <c r="B974" t="s">
        <v>725</v>
      </c>
      <c r="C974" t="s">
        <v>70</v>
      </c>
      <c r="D974" t="s">
        <v>3423</v>
      </c>
      <c r="E974" s="13" t="s">
        <v>2570</v>
      </c>
      <c r="G974" s="2">
        <v>36</v>
      </c>
      <c r="H974">
        <v>77</v>
      </c>
      <c r="I974">
        <v>49</v>
      </c>
      <c r="J974" t="s">
        <v>27</v>
      </c>
      <c r="K974">
        <v>77</v>
      </c>
      <c r="L974" t="s">
        <v>28</v>
      </c>
      <c r="M974" s="12">
        <v>9</v>
      </c>
      <c r="N974" s="3">
        <f>G974*M974</f>
        <v>324</v>
      </c>
      <c r="O974" s="1">
        <v>45569</v>
      </c>
      <c r="P974" s="1">
        <v>45589</v>
      </c>
      <c r="Q974" s="1">
        <v>45697</v>
      </c>
      <c r="R974">
        <v>510</v>
      </c>
      <c r="S974">
        <v>490</v>
      </c>
      <c r="T974">
        <v>382</v>
      </c>
      <c r="U974" t="str">
        <f t="shared" si="30"/>
        <v>Expiring Soon</v>
      </c>
      <c r="V974" t="s">
        <v>3424</v>
      </c>
      <c r="W974">
        <v>30</v>
      </c>
      <c r="X974" s="3">
        <f t="shared" si="31"/>
        <v>9720</v>
      </c>
      <c r="Y974">
        <v>84</v>
      </c>
      <c r="Z974" t="s">
        <v>49</v>
      </c>
      <c r="AA974" s="3">
        <f>X974-Grocery_Inventory_and_Sales_Dat!N974</f>
        <v>9396</v>
      </c>
    </row>
    <row r="975" spans="1:27" x14ac:dyDescent="0.3">
      <c r="A975" t="s">
        <v>3425</v>
      </c>
      <c r="B975" t="s">
        <v>1172</v>
      </c>
      <c r="C975" t="s">
        <v>138</v>
      </c>
      <c r="D975" t="s">
        <v>3426</v>
      </c>
      <c r="E975" s="13" t="s">
        <v>920</v>
      </c>
      <c r="G975" s="2">
        <v>14</v>
      </c>
      <c r="H975">
        <v>67</v>
      </c>
      <c r="I975">
        <v>65</v>
      </c>
      <c r="J975" t="s">
        <v>27</v>
      </c>
      <c r="K975">
        <v>67</v>
      </c>
      <c r="L975" t="s">
        <v>28</v>
      </c>
      <c r="M975" s="12">
        <v>20</v>
      </c>
      <c r="N975" s="3">
        <f>G975*M975</f>
        <v>280</v>
      </c>
      <c r="O975" s="1">
        <v>45365</v>
      </c>
      <c r="P975" s="1">
        <v>45584</v>
      </c>
      <c r="Q975" s="1">
        <v>45584</v>
      </c>
      <c r="R975">
        <v>714</v>
      </c>
      <c r="S975">
        <v>495</v>
      </c>
      <c r="T975">
        <v>495</v>
      </c>
      <c r="U975" t="str">
        <f t="shared" si="30"/>
        <v>Expiring Soon</v>
      </c>
      <c r="V975" t="s">
        <v>3427</v>
      </c>
      <c r="W975">
        <v>71</v>
      </c>
      <c r="X975" s="3">
        <f t="shared" si="31"/>
        <v>19880</v>
      </c>
      <c r="Y975">
        <v>94</v>
      </c>
      <c r="Z975" t="s">
        <v>30</v>
      </c>
      <c r="AA975" s="3">
        <f>X975-Grocery_Inventory_and_Sales_Dat!N975</f>
        <v>19600</v>
      </c>
    </row>
    <row r="976" spans="1:27" x14ac:dyDescent="0.3">
      <c r="A976" t="s">
        <v>3428</v>
      </c>
      <c r="B976" t="s">
        <v>89</v>
      </c>
      <c r="C976" t="s">
        <v>24</v>
      </c>
      <c r="D976" t="s">
        <v>3429</v>
      </c>
      <c r="E976" s="13" t="s">
        <v>2763</v>
      </c>
      <c r="G976" s="2">
        <v>38</v>
      </c>
      <c r="H976">
        <v>82</v>
      </c>
      <c r="I976">
        <v>17</v>
      </c>
      <c r="J976" t="s">
        <v>27</v>
      </c>
      <c r="K976">
        <v>82</v>
      </c>
      <c r="L976" t="s">
        <v>28</v>
      </c>
      <c r="M976" s="12">
        <v>2</v>
      </c>
      <c r="N976" s="3">
        <f>G976*M976</f>
        <v>76</v>
      </c>
      <c r="O976" s="1">
        <v>45655</v>
      </c>
      <c r="P976" s="1">
        <v>45372</v>
      </c>
      <c r="Q976" s="1">
        <v>45510</v>
      </c>
      <c r="R976">
        <v>424</v>
      </c>
      <c r="S976">
        <v>707</v>
      </c>
      <c r="T976">
        <v>569</v>
      </c>
      <c r="U976" t="str">
        <f t="shared" si="30"/>
        <v>Safe</v>
      </c>
      <c r="V976" t="s">
        <v>3430</v>
      </c>
      <c r="W976">
        <v>52</v>
      </c>
      <c r="X976" s="3">
        <f t="shared" si="31"/>
        <v>3952</v>
      </c>
      <c r="Y976">
        <v>47</v>
      </c>
      <c r="Z976" t="s">
        <v>30</v>
      </c>
      <c r="AA976" s="3">
        <f>X976-Grocery_Inventory_and_Sales_Dat!N976</f>
        <v>3876</v>
      </c>
    </row>
    <row r="977" spans="1:27" x14ac:dyDescent="0.3">
      <c r="A977" t="s">
        <v>3431</v>
      </c>
      <c r="B977" t="s">
        <v>360</v>
      </c>
      <c r="C977" t="s">
        <v>52</v>
      </c>
      <c r="D977" t="s">
        <v>3432</v>
      </c>
      <c r="E977" s="13" t="s">
        <v>366</v>
      </c>
      <c r="G977" s="2">
        <v>97</v>
      </c>
      <c r="H977">
        <v>52</v>
      </c>
      <c r="I977">
        <v>80</v>
      </c>
      <c r="J977" t="s">
        <v>55</v>
      </c>
      <c r="K977">
        <v>0</v>
      </c>
      <c r="L977" t="s">
        <v>41</v>
      </c>
      <c r="M977" s="12">
        <v>3</v>
      </c>
      <c r="N977" s="3">
        <f>G977*M977</f>
        <v>291</v>
      </c>
      <c r="O977" s="1">
        <v>45676</v>
      </c>
      <c r="P977" s="1">
        <v>45490</v>
      </c>
      <c r="Q977" s="1">
        <v>45578</v>
      </c>
      <c r="R977">
        <v>403</v>
      </c>
      <c r="S977">
        <v>589</v>
      </c>
      <c r="T977">
        <v>501</v>
      </c>
      <c r="U977" t="str">
        <f t="shared" si="30"/>
        <v>Expiring Soon</v>
      </c>
      <c r="V977" t="s">
        <v>3433</v>
      </c>
      <c r="W977">
        <v>22</v>
      </c>
      <c r="X977" s="3">
        <f t="shared" si="31"/>
        <v>6402</v>
      </c>
      <c r="Y977">
        <v>90</v>
      </c>
      <c r="Z977" t="s">
        <v>43</v>
      </c>
      <c r="AA977" s="3">
        <f>X977-Grocery_Inventory_and_Sales_Dat!N977</f>
        <v>6111</v>
      </c>
    </row>
    <row r="978" spans="1:27" x14ac:dyDescent="0.3">
      <c r="A978" t="s">
        <v>3434</v>
      </c>
      <c r="B978" t="s">
        <v>678</v>
      </c>
      <c r="C978" t="s">
        <v>33</v>
      </c>
      <c r="D978" t="s">
        <v>3435</v>
      </c>
      <c r="E978" s="13" t="s">
        <v>1005</v>
      </c>
      <c r="G978" s="2">
        <v>64</v>
      </c>
      <c r="H978">
        <v>66</v>
      </c>
      <c r="I978">
        <v>28</v>
      </c>
      <c r="J978" t="s">
        <v>27</v>
      </c>
      <c r="K978">
        <v>66</v>
      </c>
      <c r="L978" t="s">
        <v>28</v>
      </c>
      <c r="M978" s="12">
        <v>8</v>
      </c>
      <c r="N978" s="3">
        <f>G978*M978</f>
        <v>512</v>
      </c>
      <c r="O978" s="1">
        <v>45440</v>
      </c>
      <c r="P978" s="1">
        <v>45671</v>
      </c>
      <c r="Q978" s="1">
        <v>45523</v>
      </c>
      <c r="R978">
        <v>639</v>
      </c>
      <c r="S978">
        <v>408</v>
      </c>
      <c r="T978">
        <v>556</v>
      </c>
      <c r="U978" t="str">
        <f t="shared" si="30"/>
        <v>Safe</v>
      </c>
      <c r="V978" t="s">
        <v>3436</v>
      </c>
      <c r="W978">
        <v>25</v>
      </c>
      <c r="X978" s="3">
        <f t="shared" si="31"/>
        <v>12800</v>
      </c>
      <c r="Y978">
        <v>52</v>
      </c>
      <c r="Z978" t="s">
        <v>30</v>
      </c>
      <c r="AA978" s="3">
        <f>X978-Grocery_Inventory_and_Sales_Dat!N978</f>
        <v>12288</v>
      </c>
    </row>
    <row r="979" spans="1:27" x14ac:dyDescent="0.3">
      <c r="A979" t="s">
        <v>3437</v>
      </c>
      <c r="B979" t="s">
        <v>887</v>
      </c>
      <c r="C979" t="s">
        <v>52</v>
      </c>
      <c r="D979" t="s">
        <v>3438</v>
      </c>
      <c r="E979" s="13" t="s">
        <v>1445</v>
      </c>
      <c r="G979" s="2">
        <v>14</v>
      </c>
      <c r="H979">
        <v>75</v>
      </c>
      <c r="I979">
        <v>19</v>
      </c>
      <c r="J979" t="s">
        <v>27</v>
      </c>
      <c r="K979">
        <v>75</v>
      </c>
      <c r="L979" t="s">
        <v>28</v>
      </c>
      <c r="M979" s="12">
        <v>1.9</v>
      </c>
      <c r="N979" s="3">
        <f>G979*M979</f>
        <v>26.599999999999998</v>
      </c>
      <c r="O979" s="1">
        <v>45650</v>
      </c>
      <c r="P979" s="1">
        <v>45601</v>
      </c>
      <c r="Q979" s="1">
        <v>45355</v>
      </c>
      <c r="R979">
        <v>429</v>
      </c>
      <c r="S979">
        <v>478</v>
      </c>
      <c r="T979">
        <v>724</v>
      </c>
      <c r="U979" t="str">
        <f t="shared" si="30"/>
        <v>Safe</v>
      </c>
      <c r="V979" t="s">
        <v>3439</v>
      </c>
      <c r="W979">
        <v>100</v>
      </c>
      <c r="X979" s="3">
        <f t="shared" si="31"/>
        <v>2660</v>
      </c>
      <c r="Y979">
        <v>84</v>
      </c>
      <c r="Z979" t="s">
        <v>43</v>
      </c>
      <c r="AA979" s="3">
        <f>X979-Grocery_Inventory_and_Sales_Dat!N979</f>
        <v>2633.4</v>
      </c>
    </row>
    <row r="980" spans="1:27" x14ac:dyDescent="0.3">
      <c r="A980" t="s">
        <v>3440</v>
      </c>
      <c r="B980" t="s">
        <v>609</v>
      </c>
      <c r="C980" t="s">
        <v>64</v>
      </c>
      <c r="D980" t="s">
        <v>3441</v>
      </c>
      <c r="E980" s="13" t="s">
        <v>846</v>
      </c>
      <c r="G980" s="2">
        <v>24</v>
      </c>
      <c r="H980">
        <v>89</v>
      </c>
      <c r="I980">
        <v>27</v>
      </c>
      <c r="J980" t="s">
        <v>27</v>
      </c>
      <c r="K980">
        <v>89</v>
      </c>
      <c r="L980" t="s">
        <v>28</v>
      </c>
      <c r="M980" s="12">
        <v>10</v>
      </c>
      <c r="N980" s="3">
        <f>G980*M980</f>
        <v>240</v>
      </c>
      <c r="O980" s="1">
        <v>45569</v>
      </c>
      <c r="P980" s="1">
        <v>45580</v>
      </c>
      <c r="Q980" s="1">
        <v>45379</v>
      </c>
      <c r="R980">
        <v>510</v>
      </c>
      <c r="S980">
        <v>499</v>
      </c>
      <c r="T980">
        <v>700</v>
      </c>
      <c r="U980" t="str">
        <f t="shared" si="30"/>
        <v>Safe</v>
      </c>
      <c r="V980" t="s">
        <v>3442</v>
      </c>
      <c r="W980">
        <v>99</v>
      </c>
      <c r="X980" s="3">
        <f t="shared" si="31"/>
        <v>23760</v>
      </c>
      <c r="Y980">
        <v>1</v>
      </c>
      <c r="Z980" t="s">
        <v>30</v>
      </c>
      <c r="AA980" s="3">
        <f>X980-Grocery_Inventory_and_Sales_Dat!N980</f>
        <v>23520</v>
      </c>
    </row>
    <row r="981" spans="1:27" x14ac:dyDescent="0.3">
      <c r="A981" t="s">
        <v>3443</v>
      </c>
      <c r="B981" t="s">
        <v>514</v>
      </c>
      <c r="C981" t="s">
        <v>138</v>
      </c>
      <c r="D981" t="s">
        <v>3444</v>
      </c>
      <c r="E981" s="13" t="s">
        <v>1054</v>
      </c>
      <c r="G981" s="2">
        <v>100</v>
      </c>
      <c r="H981">
        <v>61</v>
      </c>
      <c r="I981">
        <v>21</v>
      </c>
      <c r="J981" t="s">
        <v>55</v>
      </c>
      <c r="K981">
        <v>0</v>
      </c>
      <c r="L981" t="s">
        <v>41</v>
      </c>
      <c r="M981" s="12">
        <v>7</v>
      </c>
      <c r="N981" s="3">
        <f>G981*M981</f>
        <v>700</v>
      </c>
      <c r="O981" s="1">
        <v>45556</v>
      </c>
      <c r="P981" s="1">
        <v>45651</v>
      </c>
      <c r="Q981" s="1">
        <v>45430</v>
      </c>
      <c r="R981">
        <v>523</v>
      </c>
      <c r="S981">
        <v>428</v>
      </c>
      <c r="T981">
        <v>649</v>
      </c>
      <c r="U981" t="str">
        <f t="shared" si="30"/>
        <v>Safe</v>
      </c>
      <c r="V981" t="s">
        <v>3445</v>
      </c>
      <c r="W981">
        <v>85</v>
      </c>
      <c r="X981" s="3">
        <f t="shared" si="31"/>
        <v>59500</v>
      </c>
      <c r="Y981">
        <v>79</v>
      </c>
      <c r="Z981" t="s">
        <v>43</v>
      </c>
      <c r="AA981" s="3">
        <f>X981-Grocery_Inventory_and_Sales_Dat!N981</f>
        <v>58800</v>
      </c>
    </row>
    <row r="982" spans="1:27" x14ac:dyDescent="0.3">
      <c r="A982" t="s">
        <v>3446</v>
      </c>
      <c r="B982" t="s">
        <v>473</v>
      </c>
      <c r="C982" t="s">
        <v>24</v>
      </c>
      <c r="D982" t="s">
        <v>3447</v>
      </c>
      <c r="E982" s="13" t="s">
        <v>1358</v>
      </c>
      <c r="G982" s="2">
        <v>62</v>
      </c>
      <c r="H982">
        <v>36</v>
      </c>
      <c r="I982">
        <v>96</v>
      </c>
      <c r="J982" t="s">
        <v>55</v>
      </c>
      <c r="K982">
        <v>0</v>
      </c>
      <c r="L982" t="s">
        <v>41</v>
      </c>
      <c r="M982" s="12">
        <v>4.75</v>
      </c>
      <c r="N982" s="3">
        <f>G982*M982</f>
        <v>294.5</v>
      </c>
      <c r="O982" s="1">
        <v>45355</v>
      </c>
      <c r="P982" s="1">
        <v>45569</v>
      </c>
      <c r="Q982" s="1">
        <v>45439</v>
      </c>
      <c r="R982">
        <v>724</v>
      </c>
      <c r="S982">
        <v>510</v>
      </c>
      <c r="T982">
        <v>640</v>
      </c>
      <c r="U982" t="str">
        <f t="shared" si="30"/>
        <v>Safe</v>
      </c>
      <c r="V982" t="s">
        <v>3448</v>
      </c>
      <c r="W982">
        <v>31</v>
      </c>
      <c r="X982" s="3">
        <f t="shared" si="31"/>
        <v>9129.5</v>
      </c>
      <c r="Y982">
        <v>25</v>
      </c>
      <c r="Z982" t="s">
        <v>30</v>
      </c>
      <c r="AA982" s="3">
        <f>X982-Grocery_Inventory_and_Sales_Dat!N982</f>
        <v>8835</v>
      </c>
    </row>
    <row r="983" spans="1:27" x14ac:dyDescent="0.3">
      <c r="A983" t="s">
        <v>3449</v>
      </c>
      <c r="B983" t="s">
        <v>834</v>
      </c>
      <c r="C983" t="s">
        <v>24</v>
      </c>
      <c r="D983" t="s">
        <v>3450</v>
      </c>
      <c r="E983" s="13" t="s">
        <v>285</v>
      </c>
      <c r="G983" s="2">
        <v>71</v>
      </c>
      <c r="H983">
        <v>60</v>
      </c>
      <c r="I983">
        <v>62</v>
      </c>
      <c r="J983" t="s">
        <v>55</v>
      </c>
      <c r="K983">
        <v>0</v>
      </c>
      <c r="L983" t="s">
        <v>41</v>
      </c>
      <c r="M983" s="12">
        <v>4.5</v>
      </c>
      <c r="N983" s="3">
        <f>G983*M983</f>
        <v>319.5</v>
      </c>
      <c r="O983" s="1">
        <v>45531</v>
      </c>
      <c r="P983" s="1">
        <v>45376</v>
      </c>
      <c r="Q983" s="1">
        <v>45365</v>
      </c>
      <c r="R983">
        <v>548</v>
      </c>
      <c r="S983">
        <v>703</v>
      </c>
      <c r="T983">
        <v>714</v>
      </c>
      <c r="U983" t="str">
        <f t="shared" si="30"/>
        <v>Safe</v>
      </c>
      <c r="V983" t="s">
        <v>3451</v>
      </c>
      <c r="W983">
        <v>60</v>
      </c>
      <c r="X983" s="3">
        <f t="shared" si="31"/>
        <v>19170</v>
      </c>
      <c r="Y983">
        <v>63</v>
      </c>
      <c r="Z983" t="s">
        <v>30</v>
      </c>
      <c r="AA983" s="3">
        <f>X983-Grocery_Inventory_and_Sales_Dat!N983</f>
        <v>18850.5</v>
      </c>
    </row>
    <row r="984" spans="1:27" x14ac:dyDescent="0.3">
      <c r="A984" t="s">
        <v>3452</v>
      </c>
      <c r="B984" t="s">
        <v>153</v>
      </c>
      <c r="C984" t="s">
        <v>70</v>
      </c>
      <c r="D984" t="s">
        <v>3453</v>
      </c>
      <c r="E984" s="13" t="s">
        <v>991</v>
      </c>
      <c r="G984" s="2">
        <v>38</v>
      </c>
      <c r="H984">
        <v>67</v>
      </c>
      <c r="I984">
        <v>66</v>
      </c>
      <c r="J984" t="s">
        <v>27</v>
      </c>
      <c r="K984">
        <v>67</v>
      </c>
      <c r="L984" t="s">
        <v>28</v>
      </c>
      <c r="M984" s="12">
        <v>12</v>
      </c>
      <c r="N984" s="3">
        <f>G984*M984</f>
        <v>456</v>
      </c>
      <c r="O984" s="1">
        <v>45295</v>
      </c>
      <c r="P984" s="1">
        <v>45647</v>
      </c>
      <c r="Q984" s="1">
        <v>45390</v>
      </c>
      <c r="R984">
        <v>784</v>
      </c>
      <c r="S984">
        <v>432</v>
      </c>
      <c r="T984">
        <v>689</v>
      </c>
      <c r="U984" t="str">
        <f t="shared" si="30"/>
        <v>Safe</v>
      </c>
      <c r="V984" t="s">
        <v>3454</v>
      </c>
      <c r="W984">
        <v>35</v>
      </c>
      <c r="X984" s="3">
        <f t="shared" si="31"/>
        <v>15960</v>
      </c>
      <c r="Y984">
        <v>24</v>
      </c>
      <c r="Z984" t="s">
        <v>30</v>
      </c>
      <c r="AA984" s="3">
        <f>X984-Grocery_Inventory_and_Sales_Dat!N984</f>
        <v>15504</v>
      </c>
    </row>
    <row r="985" spans="1:27" x14ac:dyDescent="0.3">
      <c r="A985" t="s">
        <v>3455</v>
      </c>
      <c r="B985" t="s">
        <v>693</v>
      </c>
      <c r="C985" t="s">
        <v>24</v>
      </c>
      <c r="D985" t="s">
        <v>3456</v>
      </c>
      <c r="E985" s="13" t="s">
        <v>657</v>
      </c>
      <c r="G985" s="2">
        <v>88</v>
      </c>
      <c r="H985">
        <v>34</v>
      </c>
      <c r="I985">
        <v>94</v>
      </c>
      <c r="J985" t="s">
        <v>55</v>
      </c>
      <c r="K985">
        <v>0</v>
      </c>
      <c r="L985" t="s">
        <v>41</v>
      </c>
      <c r="M985" s="12">
        <v>2.4</v>
      </c>
      <c r="N985" s="3">
        <f>G985*M985</f>
        <v>211.2</v>
      </c>
      <c r="O985" s="1">
        <v>45653</v>
      </c>
      <c r="P985" s="1">
        <v>45708</v>
      </c>
      <c r="Q985" s="1">
        <v>45595</v>
      </c>
      <c r="R985">
        <v>426</v>
      </c>
      <c r="S985">
        <v>371</v>
      </c>
      <c r="T985">
        <v>484</v>
      </c>
      <c r="U985" t="str">
        <f t="shared" si="30"/>
        <v>Expiring Soon</v>
      </c>
      <c r="V985" t="s">
        <v>3457</v>
      </c>
      <c r="W985">
        <v>95</v>
      </c>
      <c r="X985" s="3">
        <f t="shared" si="31"/>
        <v>20064</v>
      </c>
      <c r="Y985">
        <v>63</v>
      </c>
      <c r="Z985" t="s">
        <v>49</v>
      </c>
      <c r="AA985" s="3">
        <f>X985-Grocery_Inventory_and_Sales_Dat!N985</f>
        <v>19852.8</v>
      </c>
    </row>
    <row r="986" spans="1:27" x14ac:dyDescent="0.3">
      <c r="A986" t="s">
        <v>3458</v>
      </c>
      <c r="B986" t="s">
        <v>271</v>
      </c>
      <c r="C986" t="s">
        <v>95</v>
      </c>
      <c r="D986" t="s">
        <v>3459</v>
      </c>
      <c r="E986" s="13" t="s">
        <v>1321</v>
      </c>
      <c r="G986" s="2">
        <v>40</v>
      </c>
      <c r="H986">
        <v>30</v>
      </c>
      <c r="I986">
        <v>65</v>
      </c>
      <c r="J986" t="s">
        <v>55</v>
      </c>
      <c r="K986">
        <v>0</v>
      </c>
      <c r="L986" t="s">
        <v>41</v>
      </c>
      <c r="M986" s="12">
        <v>4.5</v>
      </c>
      <c r="N986" s="3">
        <f>G986*M986</f>
        <v>180</v>
      </c>
      <c r="O986" s="1">
        <v>45329</v>
      </c>
      <c r="P986" s="1">
        <v>45370</v>
      </c>
      <c r="Q986" s="1">
        <v>45426</v>
      </c>
      <c r="R986">
        <v>750</v>
      </c>
      <c r="S986">
        <v>709</v>
      </c>
      <c r="T986">
        <v>653</v>
      </c>
      <c r="U986" t="str">
        <f t="shared" si="30"/>
        <v>Safe</v>
      </c>
      <c r="V986" t="s">
        <v>3460</v>
      </c>
      <c r="W986">
        <v>54</v>
      </c>
      <c r="X986" s="3">
        <f t="shared" si="31"/>
        <v>9720</v>
      </c>
      <c r="Y986">
        <v>29</v>
      </c>
      <c r="Z986" t="s">
        <v>49</v>
      </c>
      <c r="AA986" s="3">
        <f>X986-Grocery_Inventory_and_Sales_Dat!N986</f>
        <v>9540</v>
      </c>
    </row>
    <row r="987" spans="1:27" x14ac:dyDescent="0.3">
      <c r="A987" t="s">
        <v>3461</v>
      </c>
      <c r="B987" t="s">
        <v>132</v>
      </c>
      <c r="C987" t="s">
        <v>52</v>
      </c>
      <c r="D987" t="s">
        <v>3462</v>
      </c>
      <c r="E987" s="13" t="s">
        <v>458</v>
      </c>
      <c r="G987" s="2">
        <v>88</v>
      </c>
      <c r="H987">
        <v>78</v>
      </c>
      <c r="I987">
        <v>17</v>
      </c>
      <c r="J987" t="s">
        <v>55</v>
      </c>
      <c r="K987">
        <v>0</v>
      </c>
      <c r="L987" t="s">
        <v>41</v>
      </c>
      <c r="M987" s="12">
        <v>2.5</v>
      </c>
      <c r="N987" s="3">
        <f>G987*M987</f>
        <v>220</v>
      </c>
      <c r="O987" s="1">
        <v>45452</v>
      </c>
      <c r="P987" s="1">
        <v>45654</v>
      </c>
      <c r="Q987" s="1">
        <v>45600</v>
      </c>
      <c r="R987">
        <v>627</v>
      </c>
      <c r="S987">
        <v>425</v>
      </c>
      <c r="T987">
        <v>479</v>
      </c>
      <c r="U987" t="str">
        <f t="shared" si="30"/>
        <v>Expiring Soon</v>
      </c>
      <c r="V987" t="s">
        <v>3463</v>
      </c>
      <c r="W987">
        <v>58</v>
      </c>
      <c r="X987" s="3">
        <f t="shared" si="31"/>
        <v>12760</v>
      </c>
      <c r="Y987">
        <v>21</v>
      </c>
      <c r="Z987" t="s">
        <v>49</v>
      </c>
      <c r="AA987" s="3">
        <f>X987-Grocery_Inventory_and_Sales_Dat!N987</f>
        <v>12540</v>
      </c>
    </row>
    <row r="988" spans="1:27" x14ac:dyDescent="0.3">
      <c r="A988" t="s">
        <v>3464</v>
      </c>
      <c r="B988" t="s">
        <v>725</v>
      </c>
      <c r="C988" t="s">
        <v>70</v>
      </c>
      <c r="D988" t="s">
        <v>3465</v>
      </c>
      <c r="E988" s="13" t="s">
        <v>3466</v>
      </c>
      <c r="G988" s="2">
        <v>60</v>
      </c>
      <c r="H988">
        <v>9</v>
      </c>
      <c r="I988">
        <v>89</v>
      </c>
      <c r="J988" t="s">
        <v>55</v>
      </c>
      <c r="K988">
        <v>0</v>
      </c>
      <c r="L988" t="s">
        <v>41</v>
      </c>
      <c r="M988" s="12">
        <v>9</v>
      </c>
      <c r="N988" s="3">
        <f>G988*M988</f>
        <v>540</v>
      </c>
      <c r="O988" s="1">
        <v>45297</v>
      </c>
      <c r="P988" s="1">
        <v>45328</v>
      </c>
      <c r="Q988" s="1">
        <v>45570</v>
      </c>
      <c r="R988">
        <v>782</v>
      </c>
      <c r="S988">
        <v>751</v>
      </c>
      <c r="T988">
        <v>509</v>
      </c>
      <c r="U988" t="str">
        <f t="shared" si="30"/>
        <v>Expiring Soon</v>
      </c>
      <c r="V988" t="s">
        <v>3467</v>
      </c>
      <c r="W988">
        <v>95</v>
      </c>
      <c r="X988" s="3">
        <f t="shared" si="31"/>
        <v>51300</v>
      </c>
      <c r="Y988">
        <v>63</v>
      </c>
      <c r="Z988" t="s">
        <v>49</v>
      </c>
      <c r="AA988" s="3">
        <f>X988-Grocery_Inventory_and_Sales_Dat!N988</f>
        <v>50760</v>
      </c>
    </row>
    <row r="989" spans="1:27" x14ac:dyDescent="0.3">
      <c r="A989" t="s">
        <v>3468</v>
      </c>
      <c r="B989" t="s">
        <v>148</v>
      </c>
      <c r="C989" t="s">
        <v>52</v>
      </c>
      <c r="D989" t="s">
        <v>3469</v>
      </c>
      <c r="E989" s="13" t="s">
        <v>2205</v>
      </c>
      <c r="G989" s="2">
        <v>94</v>
      </c>
      <c r="H989">
        <v>90</v>
      </c>
      <c r="I989">
        <v>12</v>
      </c>
      <c r="J989" t="s">
        <v>55</v>
      </c>
      <c r="K989">
        <v>0</v>
      </c>
      <c r="L989" t="s">
        <v>41</v>
      </c>
      <c r="M989" s="12">
        <v>0.9</v>
      </c>
      <c r="N989" s="3">
        <f>G989*M989</f>
        <v>84.600000000000009</v>
      </c>
      <c r="O989" s="1">
        <v>45361</v>
      </c>
      <c r="P989" s="1">
        <v>45589</v>
      </c>
      <c r="Q989" s="1">
        <v>45597</v>
      </c>
      <c r="R989">
        <v>718</v>
      </c>
      <c r="S989">
        <v>490</v>
      </c>
      <c r="T989">
        <v>482</v>
      </c>
      <c r="U989" t="str">
        <f t="shared" si="30"/>
        <v>Expiring Soon</v>
      </c>
      <c r="V989" t="s">
        <v>3470</v>
      </c>
      <c r="W989">
        <v>98</v>
      </c>
      <c r="X989" s="3">
        <f t="shared" si="31"/>
        <v>8290.8000000000011</v>
      </c>
      <c r="Y989">
        <v>71</v>
      </c>
      <c r="Z989" t="s">
        <v>49</v>
      </c>
      <c r="AA989" s="3">
        <f>X989-Grocery_Inventory_and_Sales_Dat!N989</f>
        <v>8206.2000000000007</v>
      </c>
    </row>
    <row r="990" spans="1:27" x14ac:dyDescent="0.3">
      <c r="A990" t="s">
        <v>3471</v>
      </c>
      <c r="B990" t="s">
        <v>609</v>
      </c>
      <c r="C990" t="s">
        <v>64</v>
      </c>
      <c r="D990" t="s">
        <v>3472</v>
      </c>
      <c r="E990" s="13" t="s">
        <v>352</v>
      </c>
      <c r="G990" s="2">
        <v>30</v>
      </c>
      <c r="H990">
        <v>48</v>
      </c>
      <c r="I990">
        <v>52</v>
      </c>
      <c r="J990" t="s">
        <v>27</v>
      </c>
      <c r="K990">
        <v>48</v>
      </c>
      <c r="L990" t="s">
        <v>41</v>
      </c>
      <c r="M990" s="12">
        <v>10</v>
      </c>
      <c r="N990" s="3">
        <f>G990*M990</f>
        <v>300</v>
      </c>
      <c r="O990" s="1">
        <v>45602</v>
      </c>
      <c r="P990" s="1">
        <v>45485</v>
      </c>
      <c r="Q990" s="1">
        <v>45412</v>
      </c>
      <c r="R990">
        <v>477</v>
      </c>
      <c r="S990">
        <v>594</v>
      </c>
      <c r="T990">
        <v>667</v>
      </c>
      <c r="U990" t="str">
        <f t="shared" si="30"/>
        <v>Safe</v>
      </c>
      <c r="V990" t="s">
        <v>3473</v>
      </c>
      <c r="W990">
        <v>22</v>
      </c>
      <c r="X990" s="3">
        <f t="shared" si="31"/>
        <v>6600</v>
      </c>
      <c r="Y990">
        <v>78</v>
      </c>
      <c r="Z990" t="s">
        <v>49</v>
      </c>
      <c r="AA990" s="3">
        <f>X990-Grocery_Inventory_and_Sales_Dat!N990</f>
        <v>6300</v>
      </c>
    </row>
    <row r="991" spans="1:27" x14ac:dyDescent="0.3">
      <c r="A991" t="s">
        <v>3474</v>
      </c>
      <c r="B991" t="s">
        <v>1211</v>
      </c>
      <c r="C991" t="s">
        <v>52</v>
      </c>
      <c r="D991" t="s">
        <v>3475</v>
      </c>
      <c r="E991" s="13" t="s">
        <v>2331</v>
      </c>
      <c r="G991" s="2">
        <v>19</v>
      </c>
      <c r="H991">
        <v>28</v>
      </c>
      <c r="I991">
        <v>83</v>
      </c>
      <c r="J991" t="s">
        <v>27</v>
      </c>
      <c r="K991">
        <v>28</v>
      </c>
      <c r="L991" t="s">
        <v>41</v>
      </c>
      <c r="M991" s="12">
        <v>4.5</v>
      </c>
      <c r="N991" s="3">
        <f>G991*M991</f>
        <v>85.5</v>
      </c>
      <c r="O991" s="1">
        <v>45622</v>
      </c>
      <c r="P991" s="1">
        <v>45294</v>
      </c>
      <c r="Q991" s="1">
        <v>45531</v>
      </c>
      <c r="R991">
        <v>457</v>
      </c>
      <c r="S991">
        <v>785</v>
      </c>
      <c r="T991">
        <v>548</v>
      </c>
      <c r="U991" t="str">
        <f t="shared" si="30"/>
        <v>Expiring Soon</v>
      </c>
      <c r="V991" t="s">
        <v>3476</v>
      </c>
      <c r="W991">
        <v>91</v>
      </c>
      <c r="X991" s="3">
        <f>W991*N991</f>
        <v>7780.5</v>
      </c>
      <c r="Y991">
        <v>73</v>
      </c>
      <c r="Z991" t="s">
        <v>30</v>
      </c>
      <c r="AA991" s="3">
        <f>X991-Grocery_Inventory_and_Sales_Dat!N991</f>
        <v>7695</v>
      </c>
    </row>
    <row r="997" spans="1:3" x14ac:dyDescent="0.3">
      <c r="A997" t="s">
        <v>3483</v>
      </c>
      <c r="B997" t="s">
        <v>3484</v>
      </c>
      <c r="C997" t="s">
        <v>3485</v>
      </c>
    </row>
    <row r="998" spans="1:3" x14ac:dyDescent="0.3">
      <c r="A998" s="10">
        <f>SUMIF(U2:U991,"Expiring Soon",N2:N991)</f>
        <v>164236.76</v>
      </c>
      <c r="B998" s="7">
        <f>A998/SUM(N2:N991)</f>
        <v>0.49371542041295613</v>
      </c>
      <c r="C998" s="6" t="str">
        <f>IF(B998&gt;30%,"High Risk","LowRisk")</f>
        <v>High Risk</v>
      </c>
    </row>
    <row r="1001" spans="1:3" x14ac:dyDescent="0.3">
      <c r="A1001" t="s">
        <v>3486</v>
      </c>
      <c r="B1001" t="s">
        <v>3487</v>
      </c>
    </row>
    <row r="1002" spans="1:3" x14ac:dyDescent="0.3">
      <c r="A1002" s="9">
        <f>SUMIF(J2:J991,"Require",N2:N991)</f>
        <v>103132.73999999999</v>
      </c>
      <c r="B1002" s="8">
        <f>A1002/SUM(N2:N991)</f>
        <v>0.31002939955366926</v>
      </c>
    </row>
    <row r="1007" spans="1:3" x14ac:dyDescent="0.3">
      <c r="A1007" t="s">
        <v>3493</v>
      </c>
    </row>
    <row r="1008" spans="1:3" x14ac:dyDescent="0.3">
      <c r="A1008" t="s">
        <v>3491</v>
      </c>
      <c r="B1008" t="s">
        <v>3494</v>
      </c>
      <c r="C1008" t="s">
        <v>3493</v>
      </c>
    </row>
    <row r="1009" spans="1:3" x14ac:dyDescent="0.3">
      <c r="A1009" s="3">
        <f>SUM(AA:AA)</f>
        <v>19469041.729999997</v>
      </c>
      <c r="B1009" s="3">
        <f>SUM(X:X)</f>
        <v>19801696.439999998</v>
      </c>
      <c r="C1009" s="8">
        <f>A1009/B1009</f>
        <v>0.98320069641467545</v>
      </c>
    </row>
  </sheetData>
  <conditionalFormatting sqref="A1002:B1002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J1:J1048576">
    <cfRule type="cellIs" dxfId="2" priority="4" operator="equal">
      <formula>"Require"</formula>
    </cfRule>
    <cfRule type="colorScale" priority="5">
      <colorScale>
        <cfvo type="min"/>
        <cfvo type="max"/>
        <color rgb="FFFF7128"/>
        <color rgb="FFFFEF9C"/>
      </colorScale>
    </cfRule>
  </conditionalFormatting>
  <conditionalFormatting sqref="L1:L1048576">
    <cfRule type="cellIs" dxfId="1" priority="6" operator="equal">
      <formula>"High Priority"</formula>
    </cfRule>
  </conditionalFormatting>
  <conditionalFormatting sqref="T1:U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048576">
    <cfRule type="cellIs" dxfId="0" priority="2" operator="equal">
      <formula>"Expiring Soon"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B10D-DBC6-46BD-B0F7-5FC8C2BFFF9B}">
  <dimension ref="A1:B554"/>
  <sheetViews>
    <sheetView tabSelected="1" workbookViewId="0">
      <selection activeCell="J7" sqref="J7"/>
    </sheetView>
  </sheetViews>
  <sheetFormatPr defaultRowHeight="14.4" x14ac:dyDescent="0.3"/>
  <cols>
    <col min="1" max="1" width="29.88671875" bestFit="1" customWidth="1"/>
    <col min="2" max="2" width="20.6640625" bestFit="1" customWidth="1"/>
  </cols>
  <sheetData>
    <row r="1" spans="1:2" x14ac:dyDescent="0.3">
      <c r="A1" t="s">
        <v>3503</v>
      </c>
    </row>
    <row r="3" spans="1:2" x14ac:dyDescent="0.3">
      <c r="A3" t="s">
        <v>3511</v>
      </c>
      <c r="B3" t="s">
        <v>3512</v>
      </c>
    </row>
    <row r="4" spans="1:2" x14ac:dyDescent="0.3">
      <c r="A4" t="s">
        <v>3504</v>
      </c>
    </row>
    <row r="5" spans="1:2" x14ac:dyDescent="0.3">
      <c r="A5" t="s">
        <v>3505</v>
      </c>
      <c r="B5">
        <v>990</v>
      </c>
    </row>
    <row r="6" spans="1:2" x14ac:dyDescent="0.3">
      <c r="A6" t="s">
        <v>3506</v>
      </c>
      <c r="B6">
        <v>6</v>
      </c>
    </row>
    <row r="7" spans="1:2" x14ac:dyDescent="0.3">
      <c r="A7" t="s">
        <v>3507</v>
      </c>
      <c r="B7">
        <v>349</v>
      </c>
    </row>
    <row r="8" spans="1:2" x14ac:dyDescent="0.3">
      <c r="A8" t="s">
        <v>3508</v>
      </c>
      <c r="B8">
        <v>55053</v>
      </c>
    </row>
    <row r="9" spans="1:2" x14ac:dyDescent="0.3">
      <c r="A9" t="s">
        <v>3509</v>
      </c>
      <c r="B9">
        <v>5.92</v>
      </c>
    </row>
    <row r="10" spans="1:2" x14ac:dyDescent="0.3">
      <c r="A10" t="s">
        <v>3510</v>
      </c>
      <c r="B10">
        <v>58336</v>
      </c>
    </row>
    <row r="13" spans="1:2" x14ac:dyDescent="0.3">
      <c r="A13" t="s">
        <v>3495</v>
      </c>
    </row>
    <row r="15" spans="1:2" x14ac:dyDescent="0.3">
      <c r="A15" s="4" t="s">
        <v>3479</v>
      </c>
      <c r="B15" t="s">
        <v>3496</v>
      </c>
    </row>
    <row r="16" spans="1:2" x14ac:dyDescent="0.3">
      <c r="A16" s="5" t="s">
        <v>95</v>
      </c>
      <c r="B16">
        <v>74</v>
      </c>
    </row>
    <row r="17" spans="1:2" x14ac:dyDescent="0.3">
      <c r="A17" s="5" t="s">
        <v>33</v>
      </c>
      <c r="B17">
        <v>75</v>
      </c>
    </row>
    <row r="18" spans="1:2" x14ac:dyDescent="0.3">
      <c r="A18" s="5" t="s">
        <v>70</v>
      </c>
      <c r="B18">
        <v>180</v>
      </c>
    </row>
    <row r="19" spans="1:2" x14ac:dyDescent="0.3">
      <c r="A19" s="5" t="s">
        <v>52</v>
      </c>
      <c r="B19">
        <v>331</v>
      </c>
    </row>
    <row r="20" spans="1:2" x14ac:dyDescent="0.3">
      <c r="A20" s="5" t="s">
        <v>24</v>
      </c>
      <c r="B20">
        <v>162</v>
      </c>
    </row>
    <row r="21" spans="1:2" x14ac:dyDescent="0.3">
      <c r="A21" s="5" t="s">
        <v>64</v>
      </c>
      <c r="B21">
        <v>77</v>
      </c>
    </row>
    <row r="22" spans="1:2" x14ac:dyDescent="0.3">
      <c r="A22" s="5" t="s">
        <v>138</v>
      </c>
      <c r="B22">
        <v>90</v>
      </c>
    </row>
    <row r="23" spans="1:2" x14ac:dyDescent="0.3">
      <c r="A23" s="5" t="s">
        <v>3480</v>
      </c>
      <c r="B23">
        <v>1</v>
      </c>
    </row>
    <row r="24" spans="1:2" x14ac:dyDescent="0.3">
      <c r="A24" s="5" t="s">
        <v>3481</v>
      </c>
      <c r="B24">
        <v>990</v>
      </c>
    </row>
    <row r="31" spans="1:2" x14ac:dyDescent="0.3">
      <c r="A31" t="s">
        <v>3497</v>
      </c>
    </row>
    <row r="32" spans="1:2" x14ac:dyDescent="0.3">
      <c r="A32" s="4" t="s">
        <v>3479</v>
      </c>
      <c r="B32" t="s">
        <v>3496</v>
      </c>
    </row>
    <row r="33" spans="1:2" x14ac:dyDescent="0.3">
      <c r="A33" s="5" t="s">
        <v>1248</v>
      </c>
      <c r="B33">
        <v>3</v>
      </c>
    </row>
    <row r="34" spans="1:2" x14ac:dyDescent="0.3">
      <c r="A34" s="5" t="s">
        <v>419</v>
      </c>
      <c r="B34">
        <v>3</v>
      </c>
    </row>
    <row r="35" spans="1:2" x14ac:dyDescent="0.3">
      <c r="A35" s="5" t="s">
        <v>2609</v>
      </c>
      <c r="B35">
        <v>1</v>
      </c>
    </row>
    <row r="36" spans="1:2" x14ac:dyDescent="0.3">
      <c r="A36" s="5" t="s">
        <v>1285</v>
      </c>
      <c r="B36">
        <v>3</v>
      </c>
    </row>
    <row r="37" spans="1:2" x14ac:dyDescent="0.3">
      <c r="A37" s="5" t="s">
        <v>1956</v>
      </c>
      <c r="B37">
        <v>1</v>
      </c>
    </row>
    <row r="38" spans="1:2" x14ac:dyDescent="0.3">
      <c r="A38" s="5" t="s">
        <v>1449</v>
      </c>
      <c r="B38">
        <v>3</v>
      </c>
    </row>
    <row r="39" spans="1:2" x14ac:dyDescent="0.3">
      <c r="A39" s="5" t="s">
        <v>1876</v>
      </c>
      <c r="B39">
        <v>3</v>
      </c>
    </row>
    <row r="40" spans="1:2" x14ac:dyDescent="0.3">
      <c r="A40" s="5" t="s">
        <v>1252</v>
      </c>
      <c r="B40">
        <v>2</v>
      </c>
    </row>
    <row r="41" spans="1:2" x14ac:dyDescent="0.3">
      <c r="A41" s="5" t="s">
        <v>2154</v>
      </c>
      <c r="B41">
        <v>2</v>
      </c>
    </row>
    <row r="42" spans="1:2" x14ac:dyDescent="0.3">
      <c r="A42" s="5" t="s">
        <v>1741</v>
      </c>
      <c r="B42">
        <v>2</v>
      </c>
    </row>
    <row r="43" spans="1:2" x14ac:dyDescent="0.3">
      <c r="A43" s="5" t="s">
        <v>319</v>
      </c>
      <c r="B43">
        <v>5</v>
      </c>
    </row>
    <row r="44" spans="1:2" x14ac:dyDescent="0.3">
      <c r="A44" s="5" t="s">
        <v>3270</v>
      </c>
      <c r="B44">
        <v>1</v>
      </c>
    </row>
    <row r="45" spans="1:2" x14ac:dyDescent="0.3">
      <c r="A45" s="5" t="s">
        <v>878</v>
      </c>
      <c r="B45">
        <v>2</v>
      </c>
    </row>
    <row r="46" spans="1:2" x14ac:dyDescent="0.3">
      <c r="A46" s="5" t="s">
        <v>3316</v>
      </c>
      <c r="B46">
        <v>1</v>
      </c>
    </row>
    <row r="47" spans="1:2" x14ac:dyDescent="0.3">
      <c r="A47" s="5" t="s">
        <v>106</v>
      </c>
      <c r="B47">
        <v>7</v>
      </c>
    </row>
    <row r="48" spans="1:2" x14ac:dyDescent="0.3">
      <c r="A48" s="5" t="s">
        <v>1200</v>
      </c>
      <c r="B48">
        <v>3</v>
      </c>
    </row>
    <row r="49" spans="1:2" x14ac:dyDescent="0.3">
      <c r="A49" s="5" t="s">
        <v>2143</v>
      </c>
      <c r="B49">
        <v>3</v>
      </c>
    </row>
    <row r="50" spans="1:2" x14ac:dyDescent="0.3">
      <c r="A50" s="5" t="s">
        <v>314</v>
      </c>
      <c r="B50">
        <v>2</v>
      </c>
    </row>
    <row r="51" spans="1:2" x14ac:dyDescent="0.3">
      <c r="A51" s="5" t="s">
        <v>366</v>
      </c>
      <c r="B51">
        <v>2</v>
      </c>
    </row>
    <row r="52" spans="1:2" x14ac:dyDescent="0.3">
      <c r="A52" s="5" t="s">
        <v>1649</v>
      </c>
      <c r="B52">
        <v>1</v>
      </c>
    </row>
    <row r="53" spans="1:2" x14ac:dyDescent="0.3">
      <c r="A53" s="5" t="s">
        <v>991</v>
      </c>
      <c r="B53">
        <v>5</v>
      </c>
    </row>
    <row r="54" spans="1:2" x14ac:dyDescent="0.3">
      <c r="A54" s="5" t="s">
        <v>2619</v>
      </c>
      <c r="B54">
        <v>2</v>
      </c>
    </row>
    <row r="55" spans="1:2" x14ac:dyDescent="0.3">
      <c r="A55" s="5" t="s">
        <v>443</v>
      </c>
      <c r="B55">
        <v>3</v>
      </c>
    </row>
    <row r="56" spans="1:2" x14ac:dyDescent="0.3">
      <c r="A56" s="5" t="s">
        <v>324</v>
      </c>
      <c r="B56">
        <v>1</v>
      </c>
    </row>
    <row r="57" spans="1:2" x14ac:dyDescent="0.3">
      <c r="A57" s="5" t="s">
        <v>831</v>
      </c>
      <c r="B57">
        <v>1</v>
      </c>
    </row>
    <row r="58" spans="1:2" x14ac:dyDescent="0.3">
      <c r="A58" s="5" t="s">
        <v>570</v>
      </c>
      <c r="B58">
        <v>1</v>
      </c>
    </row>
    <row r="59" spans="1:2" x14ac:dyDescent="0.3">
      <c r="A59" s="5" t="s">
        <v>184</v>
      </c>
      <c r="B59">
        <v>5</v>
      </c>
    </row>
    <row r="60" spans="1:2" x14ac:dyDescent="0.3">
      <c r="A60" s="5" t="s">
        <v>47</v>
      </c>
      <c r="B60">
        <v>5</v>
      </c>
    </row>
    <row r="61" spans="1:2" x14ac:dyDescent="0.3">
      <c r="A61" s="5" t="s">
        <v>2260</v>
      </c>
      <c r="B61">
        <v>2</v>
      </c>
    </row>
    <row r="62" spans="1:2" x14ac:dyDescent="0.3">
      <c r="A62" s="5" t="s">
        <v>1077</v>
      </c>
      <c r="B62">
        <v>2</v>
      </c>
    </row>
    <row r="63" spans="1:2" x14ac:dyDescent="0.3">
      <c r="A63" s="5" t="s">
        <v>1638</v>
      </c>
      <c r="B63">
        <v>1</v>
      </c>
    </row>
    <row r="64" spans="1:2" x14ac:dyDescent="0.3">
      <c r="A64" s="5" t="s">
        <v>740</v>
      </c>
      <c r="B64">
        <v>3</v>
      </c>
    </row>
    <row r="65" spans="1:2" x14ac:dyDescent="0.3">
      <c r="A65" s="5" t="s">
        <v>1825</v>
      </c>
      <c r="B65">
        <v>1</v>
      </c>
    </row>
    <row r="66" spans="1:2" x14ac:dyDescent="0.3">
      <c r="A66" s="5" t="s">
        <v>423</v>
      </c>
      <c r="B66">
        <v>4</v>
      </c>
    </row>
    <row r="67" spans="1:2" x14ac:dyDescent="0.3">
      <c r="A67" s="5" t="s">
        <v>259</v>
      </c>
      <c r="B67">
        <v>3</v>
      </c>
    </row>
    <row r="68" spans="1:2" x14ac:dyDescent="0.3">
      <c r="A68" s="5" t="s">
        <v>978</v>
      </c>
      <c r="B68">
        <v>4</v>
      </c>
    </row>
    <row r="69" spans="1:2" x14ac:dyDescent="0.3">
      <c r="A69" s="5" t="s">
        <v>624</v>
      </c>
      <c r="B69">
        <v>5</v>
      </c>
    </row>
    <row r="70" spans="1:2" x14ac:dyDescent="0.3">
      <c r="A70" s="5" t="s">
        <v>2225</v>
      </c>
      <c r="B70">
        <v>3</v>
      </c>
    </row>
    <row r="71" spans="1:2" x14ac:dyDescent="0.3">
      <c r="A71" s="5" t="s">
        <v>1038</v>
      </c>
      <c r="B71">
        <v>2</v>
      </c>
    </row>
    <row r="72" spans="1:2" x14ac:dyDescent="0.3">
      <c r="A72" s="5" t="s">
        <v>675</v>
      </c>
      <c r="B72">
        <v>4</v>
      </c>
    </row>
    <row r="73" spans="1:2" x14ac:dyDescent="0.3">
      <c r="A73" s="5" t="s">
        <v>1088</v>
      </c>
      <c r="B73">
        <v>2</v>
      </c>
    </row>
    <row r="74" spans="1:2" x14ac:dyDescent="0.3">
      <c r="A74" s="5" t="s">
        <v>1445</v>
      </c>
      <c r="B74">
        <v>5</v>
      </c>
    </row>
    <row r="75" spans="1:2" x14ac:dyDescent="0.3">
      <c r="A75" s="5" t="s">
        <v>1341</v>
      </c>
      <c r="B75">
        <v>2</v>
      </c>
    </row>
    <row r="76" spans="1:2" x14ac:dyDescent="0.3">
      <c r="A76" s="5" t="s">
        <v>597</v>
      </c>
      <c r="B76">
        <v>2</v>
      </c>
    </row>
    <row r="77" spans="1:2" x14ac:dyDescent="0.3">
      <c r="A77" s="5" t="s">
        <v>1991</v>
      </c>
      <c r="B77">
        <v>5</v>
      </c>
    </row>
    <row r="78" spans="1:2" x14ac:dyDescent="0.3">
      <c r="A78" s="5" t="s">
        <v>179</v>
      </c>
      <c r="B78">
        <v>4</v>
      </c>
    </row>
    <row r="79" spans="1:2" x14ac:dyDescent="0.3">
      <c r="A79" s="5" t="s">
        <v>150</v>
      </c>
      <c r="B79">
        <v>4</v>
      </c>
    </row>
    <row r="80" spans="1:2" x14ac:dyDescent="0.3">
      <c r="A80" s="5" t="s">
        <v>1128</v>
      </c>
      <c r="B80">
        <v>3</v>
      </c>
    </row>
    <row r="81" spans="1:2" x14ac:dyDescent="0.3">
      <c r="A81" s="5" t="s">
        <v>792</v>
      </c>
      <c r="B81">
        <v>2</v>
      </c>
    </row>
    <row r="82" spans="1:2" x14ac:dyDescent="0.3">
      <c r="A82" s="5" t="s">
        <v>2318</v>
      </c>
      <c r="B82">
        <v>1</v>
      </c>
    </row>
    <row r="83" spans="1:2" x14ac:dyDescent="0.3">
      <c r="A83" s="5" t="s">
        <v>438</v>
      </c>
      <c r="B83">
        <v>3</v>
      </c>
    </row>
    <row r="84" spans="1:2" x14ac:dyDescent="0.3">
      <c r="A84" s="5" t="s">
        <v>2136</v>
      </c>
      <c r="B84">
        <v>1</v>
      </c>
    </row>
    <row r="85" spans="1:2" x14ac:dyDescent="0.3">
      <c r="A85" s="5" t="s">
        <v>60</v>
      </c>
      <c r="B85">
        <v>4</v>
      </c>
    </row>
    <row r="86" spans="1:2" x14ac:dyDescent="0.3">
      <c r="A86" s="5" t="s">
        <v>574</v>
      </c>
      <c r="B86">
        <v>2</v>
      </c>
    </row>
    <row r="87" spans="1:2" x14ac:dyDescent="0.3">
      <c r="A87" s="5" t="s">
        <v>1706</v>
      </c>
      <c r="B87">
        <v>4</v>
      </c>
    </row>
    <row r="88" spans="1:2" x14ac:dyDescent="0.3">
      <c r="A88" s="5" t="s">
        <v>1184</v>
      </c>
      <c r="B88">
        <v>1</v>
      </c>
    </row>
    <row r="89" spans="1:2" x14ac:dyDescent="0.3">
      <c r="A89" s="5" t="s">
        <v>961</v>
      </c>
      <c r="B89">
        <v>2</v>
      </c>
    </row>
    <row r="90" spans="1:2" x14ac:dyDescent="0.3">
      <c r="A90" s="5" t="s">
        <v>352</v>
      </c>
      <c r="B90">
        <v>4</v>
      </c>
    </row>
    <row r="91" spans="1:2" x14ac:dyDescent="0.3">
      <c r="A91" s="5" t="s">
        <v>1070</v>
      </c>
      <c r="B91">
        <v>3</v>
      </c>
    </row>
    <row r="92" spans="1:2" x14ac:dyDescent="0.3">
      <c r="A92" s="5" t="s">
        <v>1145</v>
      </c>
      <c r="B92">
        <v>5</v>
      </c>
    </row>
    <row r="93" spans="1:2" x14ac:dyDescent="0.3">
      <c r="A93" s="5" t="s">
        <v>727</v>
      </c>
      <c r="B93">
        <v>2</v>
      </c>
    </row>
    <row r="94" spans="1:2" x14ac:dyDescent="0.3">
      <c r="A94" s="5" t="s">
        <v>540</v>
      </c>
      <c r="B94">
        <v>4</v>
      </c>
    </row>
    <row r="95" spans="1:2" x14ac:dyDescent="0.3">
      <c r="A95" s="5" t="s">
        <v>1779</v>
      </c>
      <c r="B95">
        <v>4</v>
      </c>
    </row>
    <row r="96" spans="1:2" x14ac:dyDescent="0.3">
      <c r="A96" s="5" t="s">
        <v>759</v>
      </c>
      <c r="B96">
        <v>4</v>
      </c>
    </row>
    <row r="97" spans="1:2" x14ac:dyDescent="0.3">
      <c r="A97" s="5" t="s">
        <v>1611</v>
      </c>
      <c r="B97">
        <v>6</v>
      </c>
    </row>
    <row r="98" spans="1:2" x14ac:dyDescent="0.3">
      <c r="A98" s="5" t="s">
        <v>134</v>
      </c>
      <c r="B98">
        <v>6</v>
      </c>
    </row>
    <row r="99" spans="1:2" x14ac:dyDescent="0.3">
      <c r="A99" s="5" t="s">
        <v>1645</v>
      </c>
      <c r="B99">
        <v>3</v>
      </c>
    </row>
    <row r="100" spans="1:2" x14ac:dyDescent="0.3">
      <c r="A100" s="5" t="s">
        <v>2560</v>
      </c>
      <c r="B100">
        <v>1</v>
      </c>
    </row>
    <row r="101" spans="1:2" x14ac:dyDescent="0.3">
      <c r="A101" s="5" t="s">
        <v>1518</v>
      </c>
      <c r="B101">
        <v>1</v>
      </c>
    </row>
    <row r="102" spans="1:2" x14ac:dyDescent="0.3">
      <c r="A102" s="5" t="s">
        <v>553</v>
      </c>
      <c r="B102">
        <v>4</v>
      </c>
    </row>
    <row r="103" spans="1:2" x14ac:dyDescent="0.3">
      <c r="A103" s="5" t="s">
        <v>1054</v>
      </c>
      <c r="B103">
        <v>2</v>
      </c>
    </row>
    <row r="104" spans="1:2" x14ac:dyDescent="0.3">
      <c r="A104" s="5" t="s">
        <v>2010</v>
      </c>
      <c r="B104">
        <v>2</v>
      </c>
    </row>
    <row r="105" spans="1:2" x14ac:dyDescent="0.3">
      <c r="A105" s="5" t="s">
        <v>2378</v>
      </c>
      <c r="B105">
        <v>2</v>
      </c>
    </row>
    <row r="106" spans="1:2" x14ac:dyDescent="0.3">
      <c r="A106" s="5" t="s">
        <v>585</v>
      </c>
      <c r="B106">
        <v>2</v>
      </c>
    </row>
    <row r="107" spans="1:2" x14ac:dyDescent="0.3">
      <c r="A107" s="5" t="s">
        <v>1426</v>
      </c>
      <c r="B107">
        <v>1</v>
      </c>
    </row>
    <row r="108" spans="1:2" x14ac:dyDescent="0.3">
      <c r="A108" s="5" t="s">
        <v>2126</v>
      </c>
      <c r="B108">
        <v>2</v>
      </c>
    </row>
    <row r="109" spans="1:2" x14ac:dyDescent="0.3">
      <c r="A109" s="5" t="s">
        <v>528</v>
      </c>
      <c r="B109">
        <v>2</v>
      </c>
    </row>
    <row r="110" spans="1:2" x14ac:dyDescent="0.3">
      <c r="A110" s="5" t="s">
        <v>2667</v>
      </c>
      <c r="B110">
        <v>1</v>
      </c>
    </row>
    <row r="111" spans="1:2" x14ac:dyDescent="0.3">
      <c r="A111" s="5" t="s">
        <v>2061</v>
      </c>
      <c r="B111">
        <v>1</v>
      </c>
    </row>
    <row r="112" spans="1:2" x14ac:dyDescent="0.3">
      <c r="A112" s="5" t="s">
        <v>524</v>
      </c>
      <c r="B112">
        <v>1</v>
      </c>
    </row>
    <row r="113" spans="1:2" x14ac:dyDescent="0.3">
      <c r="A113" s="5" t="s">
        <v>410</v>
      </c>
      <c r="B113">
        <v>1</v>
      </c>
    </row>
    <row r="114" spans="1:2" x14ac:dyDescent="0.3">
      <c r="A114" s="5" t="s">
        <v>2338</v>
      </c>
      <c r="B114">
        <v>1</v>
      </c>
    </row>
    <row r="115" spans="1:2" x14ac:dyDescent="0.3">
      <c r="A115" s="5" t="s">
        <v>1482</v>
      </c>
      <c r="B115">
        <v>3</v>
      </c>
    </row>
    <row r="116" spans="1:2" x14ac:dyDescent="0.3">
      <c r="A116" s="5" t="s">
        <v>615</v>
      </c>
      <c r="B116">
        <v>5</v>
      </c>
    </row>
    <row r="117" spans="1:2" x14ac:dyDescent="0.3">
      <c r="A117" s="5" t="s">
        <v>1030</v>
      </c>
      <c r="B117">
        <v>7</v>
      </c>
    </row>
    <row r="118" spans="1:2" x14ac:dyDescent="0.3">
      <c r="A118" s="5" t="s">
        <v>2480</v>
      </c>
      <c r="B118">
        <v>3</v>
      </c>
    </row>
    <row r="119" spans="1:2" x14ac:dyDescent="0.3">
      <c r="A119" s="5" t="s">
        <v>362</v>
      </c>
      <c r="B119">
        <v>3</v>
      </c>
    </row>
    <row r="120" spans="1:2" x14ac:dyDescent="0.3">
      <c r="A120" s="5" t="s">
        <v>520</v>
      </c>
      <c r="B120">
        <v>1</v>
      </c>
    </row>
    <row r="121" spans="1:2" x14ac:dyDescent="0.3">
      <c r="A121" s="5" t="s">
        <v>2605</v>
      </c>
      <c r="B121">
        <v>1</v>
      </c>
    </row>
    <row r="122" spans="1:2" x14ac:dyDescent="0.3">
      <c r="A122" s="5" t="s">
        <v>2632</v>
      </c>
      <c r="B122">
        <v>1</v>
      </c>
    </row>
    <row r="123" spans="1:2" x14ac:dyDescent="0.3">
      <c r="A123" s="5" t="s">
        <v>504</v>
      </c>
      <c r="B123">
        <v>3</v>
      </c>
    </row>
    <row r="124" spans="1:2" x14ac:dyDescent="0.3">
      <c r="A124" s="5" t="s">
        <v>854</v>
      </c>
      <c r="B124">
        <v>5</v>
      </c>
    </row>
    <row r="125" spans="1:2" x14ac:dyDescent="0.3">
      <c r="A125" s="5" t="s">
        <v>1256</v>
      </c>
      <c r="B125">
        <v>3</v>
      </c>
    </row>
    <row r="126" spans="1:2" x14ac:dyDescent="0.3">
      <c r="A126" s="5" t="s">
        <v>35</v>
      </c>
      <c r="B126">
        <v>5</v>
      </c>
    </row>
    <row r="127" spans="1:2" x14ac:dyDescent="0.3">
      <c r="A127" s="5" t="s">
        <v>2553</v>
      </c>
      <c r="B127">
        <v>1</v>
      </c>
    </row>
    <row r="128" spans="1:2" x14ac:dyDescent="0.3">
      <c r="A128" s="5" t="s">
        <v>155</v>
      </c>
      <c r="B128">
        <v>2</v>
      </c>
    </row>
    <row r="129" spans="1:2" x14ac:dyDescent="0.3">
      <c r="A129" s="5" t="s">
        <v>86</v>
      </c>
      <c r="B129">
        <v>6</v>
      </c>
    </row>
    <row r="130" spans="1:2" x14ac:dyDescent="0.3">
      <c r="A130" s="5" t="s">
        <v>264</v>
      </c>
      <c r="B130">
        <v>3</v>
      </c>
    </row>
    <row r="131" spans="1:2" x14ac:dyDescent="0.3">
      <c r="A131" s="5" t="s">
        <v>3230</v>
      </c>
      <c r="B131">
        <v>1</v>
      </c>
    </row>
    <row r="132" spans="1:2" x14ac:dyDescent="0.3">
      <c r="A132" s="5" t="s">
        <v>2238</v>
      </c>
      <c r="B132">
        <v>1</v>
      </c>
    </row>
    <row r="133" spans="1:2" x14ac:dyDescent="0.3">
      <c r="A133" s="5" t="s">
        <v>1166</v>
      </c>
      <c r="B133">
        <v>2</v>
      </c>
    </row>
    <row r="134" spans="1:2" x14ac:dyDescent="0.3">
      <c r="A134" s="5" t="s">
        <v>273</v>
      </c>
      <c r="B134">
        <v>4</v>
      </c>
    </row>
    <row r="135" spans="1:2" x14ac:dyDescent="0.3">
      <c r="A135" s="5" t="s">
        <v>217</v>
      </c>
      <c r="B135">
        <v>5</v>
      </c>
    </row>
    <row r="136" spans="1:2" x14ac:dyDescent="0.3">
      <c r="A136" s="5" t="s">
        <v>644</v>
      </c>
      <c r="B136">
        <v>6</v>
      </c>
    </row>
    <row r="137" spans="1:2" x14ac:dyDescent="0.3">
      <c r="A137" s="5" t="s">
        <v>1141</v>
      </c>
      <c r="B137">
        <v>2</v>
      </c>
    </row>
    <row r="138" spans="1:2" x14ac:dyDescent="0.3">
      <c r="A138" s="5" t="s">
        <v>3466</v>
      </c>
      <c r="B138">
        <v>1</v>
      </c>
    </row>
    <row r="139" spans="1:2" x14ac:dyDescent="0.3">
      <c r="A139" s="5" t="s">
        <v>1675</v>
      </c>
      <c r="B139">
        <v>3</v>
      </c>
    </row>
    <row r="140" spans="1:2" x14ac:dyDescent="0.3">
      <c r="A140" s="5" t="s">
        <v>2526</v>
      </c>
      <c r="B140">
        <v>2</v>
      </c>
    </row>
    <row r="141" spans="1:2" x14ac:dyDescent="0.3">
      <c r="A141" s="5" t="s">
        <v>661</v>
      </c>
      <c r="B141">
        <v>5</v>
      </c>
    </row>
    <row r="142" spans="1:2" x14ac:dyDescent="0.3">
      <c r="A142" s="5" t="s">
        <v>767</v>
      </c>
      <c r="B142">
        <v>4</v>
      </c>
    </row>
    <row r="143" spans="1:2" x14ac:dyDescent="0.3">
      <c r="A143" s="5" t="s">
        <v>1380</v>
      </c>
      <c r="B143">
        <v>3</v>
      </c>
    </row>
    <row r="144" spans="1:2" x14ac:dyDescent="0.3">
      <c r="A144" s="5" t="s">
        <v>589</v>
      </c>
      <c r="B144">
        <v>3</v>
      </c>
    </row>
    <row r="145" spans="1:2" x14ac:dyDescent="0.3">
      <c r="A145" s="5" t="s">
        <v>1099</v>
      </c>
      <c r="B145">
        <v>6</v>
      </c>
    </row>
    <row r="146" spans="1:2" x14ac:dyDescent="0.3">
      <c r="A146" s="5" t="s">
        <v>145</v>
      </c>
      <c r="B146">
        <v>5</v>
      </c>
    </row>
    <row r="147" spans="1:2" x14ac:dyDescent="0.3">
      <c r="A147" s="5" t="s">
        <v>903</v>
      </c>
      <c r="B147">
        <v>4</v>
      </c>
    </row>
    <row r="148" spans="1:2" x14ac:dyDescent="0.3">
      <c r="A148" s="5" t="s">
        <v>1769</v>
      </c>
      <c r="B148">
        <v>1</v>
      </c>
    </row>
    <row r="149" spans="1:2" x14ac:dyDescent="0.3">
      <c r="A149" s="5" t="s">
        <v>1137</v>
      </c>
      <c r="B149">
        <v>2</v>
      </c>
    </row>
    <row r="150" spans="1:2" x14ac:dyDescent="0.3">
      <c r="A150" s="5" t="s">
        <v>827</v>
      </c>
      <c r="B150">
        <v>4</v>
      </c>
    </row>
    <row r="151" spans="1:2" x14ac:dyDescent="0.3">
      <c r="A151" s="5" t="s">
        <v>1895</v>
      </c>
      <c r="B151">
        <v>2</v>
      </c>
    </row>
    <row r="152" spans="1:2" x14ac:dyDescent="0.3">
      <c r="A152" s="5" t="s">
        <v>1317</v>
      </c>
      <c r="B152">
        <v>6</v>
      </c>
    </row>
    <row r="153" spans="1:2" x14ac:dyDescent="0.3">
      <c r="A153" s="5" t="s">
        <v>657</v>
      </c>
      <c r="B153">
        <v>3</v>
      </c>
    </row>
    <row r="154" spans="1:2" x14ac:dyDescent="0.3">
      <c r="A154" s="5" t="s">
        <v>140</v>
      </c>
      <c r="B154">
        <v>2</v>
      </c>
    </row>
    <row r="155" spans="1:2" x14ac:dyDescent="0.3">
      <c r="A155" s="5" t="s">
        <v>448</v>
      </c>
      <c r="B155">
        <v>2</v>
      </c>
    </row>
    <row r="156" spans="1:2" x14ac:dyDescent="0.3">
      <c r="A156" s="5" t="s">
        <v>1195</v>
      </c>
      <c r="B156">
        <v>1</v>
      </c>
    </row>
    <row r="157" spans="1:2" x14ac:dyDescent="0.3">
      <c r="A157" s="5" t="s">
        <v>1050</v>
      </c>
      <c r="B157">
        <v>3</v>
      </c>
    </row>
    <row r="158" spans="1:2" x14ac:dyDescent="0.3">
      <c r="A158" s="5" t="s">
        <v>1156</v>
      </c>
      <c r="B158">
        <v>3</v>
      </c>
    </row>
    <row r="159" spans="1:2" x14ac:dyDescent="0.3">
      <c r="A159" s="5" t="s">
        <v>2699</v>
      </c>
      <c r="B159">
        <v>1</v>
      </c>
    </row>
    <row r="160" spans="1:2" x14ac:dyDescent="0.3">
      <c r="A160" s="5" t="s">
        <v>26</v>
      </c>
      <c r="B160">
        <v>3</v>
      </c>
    </row>
    <row r="161" spans="1:2" x14ac:dyDescent="0.3">
      <c r="A161" s="5" t="s">
        <v>808</v>
      </c>
      <c r="B161">
        <v>6</v>
      </c>
    </row>
    <row r="162" spans="1:2" x14ac:dyDescent="0.3">
      <c r="A162" s="5" t="s">
        <v>2601</v>
      </c>
      <c r="B162">
        <v>3</v>
      </c>
    </row>
    <row r="163" spans="1:2" x14ac:dyDescent="0.3">
      <c r="A163" s="5" t="s">
        <v>812</v>
      </c>
      <c r="B163">
        <v>4</v>
      </c>
    </row>
    <row r="164" spans="1:2" x14ac:dyDescent="0.3">
      <c r="A164" s="5" t="s">
        <v>2853</v>
      </c>
      <c r="B164">
        <v>3</v>
      </c>
    </row>
    <row r="165" spans="1:2" x14ac:dyDescent="0.3">
      <c r="A165" s="5" t="s">
        <v>1005</v>
      </c>
      <c r="B165">
        <v>4</v>
      </c>
    </row>
    <row r="166" spans="1:2" x14ac:dyDescent="0.3">
      <c r="A166" s="5" t="s">
        <v>895</v>
      </c>
      <c r="B166">
        <v>2</v>
      </c>
    </row>
    <row r="167" spans="1:2" x14ac:dyDescent="0.3">
      <c r="A167" s="5" t="s">
        <v>864</v>
      </c>
      <c r="B167">
        <v>1</v>
      </c>
    </row>
    <row r="168" spans="1:2" x14ac:dyDescent="0.3">
      <c r="A168" s="5" t="s">
        <v>194</v>
      </c>
      <c r="B168">
        <v>5</v>
      </c>
    </row>
    <row r="169" spans="1:2" x14ac:dyDescent="0.3">
      <c r="A169" s="5" t="s">
        <v>640</v>
      </c>
      <c r="B169">
        <v>5</v>
      </c>
    </row>
    <row r="170" spans="1:2" x14ac:dyDescent="0.3">
      <c r="A170" s="5" t="s">
        <v>222</v>
      </c>
      <c r="B170">
        <v>2</v>
      </c>
    </row>
    <row r="171" spans="1:2" x14ac:dyDescent="0.3">
      <c r="A171" s="5" t="s">
        <v>277</v>
      </c>
      <c r="B171">
        <v>12</v>
      </c>
    </row>
    <row r="172" spans="1:2" x14ac:dyDescent="0.3">
      <c r="A172" s="5" t="s">
        <v>2584</v>
      </c>
      <c r="B172">
        <v>1</v>
      </c>
    </row>
    <row r="173" spans="1:2" x14ac:dyDescent="0.3">
      <c r="A173" s="5" t="s">
        <v>246</v>
      </c>
      <c r="B173">
        <v>4</v>
      </c>
    </row>
    <row r="174" spans="1:2" x14ac:dyDescent="0.3">
      <c r="A174" s="5" t="s">
        <v>1809</v>
      </c>
      <c r="B174">
        <v>1</v>
      </c>
    </row>
    <row r="175" spans="1:2" x14ac:dyDescent="0.3">
      <c r="A175" s="5" t="s">
        <v>1725</v>
      </c>
      <c r="B175">
        <v>2</v>
      </c>
    </row>
    <row r="176" spans="1:2" x14ac:dyDescent="0.3">
      <c r="A176" s="5" t="s">
        <v>1974</v>
      </c>
      <c r="B176">
        <v>2</v>
      </c>
    </row>
    <row r="177" spans="1:2" x14ac:dyDescent="0.3">
      <c r="A177" s="5" t="s">
        <v>2645</v>
      </c>
      <c r="B177">
        <v>3</v>
      </c>
    </row>
    <row r="178" spans="1:2" x14ac:dyDescent="0.3">
      <c r="A178" s="5" t="s">
        <v>1401</v>
      </c>
      <c r="B178">
        <v>3</v>
      </c>
    </row>
    <row r="179" spans="1:2" x14ac:dyDescent="0.3">
      <c r="A179" s="5" t="s">
        <v>1679</v>
      </c>
      <c r="B179">
        <v>3</v>
      </c>
    </row>
    <row r="180" spans="1:2" x14ac:dyDescent="0.3">
      <c r="A180" s="5" t="s">
        <v>294</v>
      </c>
      <c r="B180">
        <v>2</v>
      </c>
    </row>
    <row r="181" spans="1:2" x14ac:dyDescent="0.3">
      <c r="A181" s="5" t="s">
        <v>2205</v>
      </c>
      <c r="B181">
        <v>4</v>
      </c>
    </row>
    <row r="182" spans="1:2" x14ac:dyDescent="0.3">
      <c r="A182" s="5" t="s">
        <v>788</v>
      </c>
      <c r="B182">
        <v>2</v>
      </c>
    </row>
    <row r="183" spans="1:2" x14ac:dyDescent="0.3">
      <c r="A183" s="5" t="s">
        <v>237</v>
      </c>
      <c r="B183">
        <v>4</v>
      </c>
    </row>
    <row r="184" spans="1:2" x14ac:dyDescent="0.3">
      <c r="A184" s="5" t="s">
        <v>1263</v>
      </c>
      <c r="B184">
        <v>4</v>
      </c>
    </row>
    <row r="185" spans="1:2" x14ac:dyDescent="0.3">
      <c r="A185" s="5" t="s">
        <v>1436</v>
      </c>
      <c r="B185">
        <v>1</v>
      </c>
    </row>
    <row r="186" spans="1:2" x14ac:dyDescent="0.3">
      <c r="A186" s="5" t="s">
        <v>1829</v>
      </c>
      <c r="B186">
        <v>2</v>
      </c>
    </row>
    <row r="187" spans="1:2" x14ac:dyDescent="0.3">
      <c r="A187" s="5" t="s">
        <v>213</v>
      </c>
      <c r="B187">
        <v>5</v>
      </c>
    </row>
    <row r="188" spans="1:2" x14ac:dyDescent="0.3">
      <c r="A188" s="5" t="s">
        <v>1300</v>
      </c>
      <c r="B188">
        <v>3</v>
      </c>
    </row>
    <row r="189" spans="1:2" x14ac:dyDescent="0.3">
      <c r="A189" s="5" t="s">
        <v>2580</v>
      </c>
      <c r="B189">
        <v>1</v>
      </c>
    </row>
    <row r="190" spans="1:2" x14ac:dyDescent="0.3">
      <c r="A190" s="5" t="s">
        <v>1204</v>
      </c>
      <c r="B190">
        <v>3</v>
      </c>
    </row>
    <row r="191" spans="1:2" x14ac:dyDescent="0.3">
      <c r="A191" s="5" t="s">
        <v>483</v>
      </c>
      <c r="B191">
        <v>5</v>
      </c>
    </row>
    <row r="192" spans="1:2" x14ac:dyDescent="0.3">
      <c r="A192" s="5" t="s">
        <v>2382</v>
      </c>
      <c r="B192">
        <v>2</v>
      </c>
    </row>
    <row r="193" spans="1:2" x14ac:dyDescent="0.3">
      <c r="A193" s="5" t="s">
        <v>703</v>
      </c>
      <c r="B193">
        <v>2</v>
      </c>
    </row>
    <row r="194" spans="1:2" x14ac:dyDescent="0.3">
      <c r="A194" s="5" t="s">
        <v>2395</v>
      </c>
      <c r="B194">
        <v>2</v>
      </c>
    </row>
    <row r="195" spans="1:2" x14ac:dyDescent="0.3">
      <c r="A195" s="5" t="s">
        <v>1092</v>
      </c>
      <c r="B195">
        <v>3</v>
      </c>
    </row>
    <row r="196" spans="1:2" x14ac:dyDescent="0.3">
      <c r="A196" s="5" t="s">
        <v>632</v>
      </c>
      <c r="B196">
        <v>2</v>
      </c>
    </row>
    <row r="197" spans="1:2" x14ac:dyDescent="0.3">
      <c r="A197" s="5" t="s">
        <v>3344</v>
      </c>
      <c r="B197">
        <v>1</v>
      </c>
    </row>
    <row r="198" spans="1:2" x14ac:dyDescent="0.3">
      <c r="A198" s="5" t="s">
        <v>771</v>
      </c>
      <c r="B198">
        <v>10</v>
      </c>
    </row>
    <row r="199" spans="1:2" x14ac:dyDescent="0.3">
      <c r="A199" s="5" t="s">
        <v>695</v>
      </c>
      <c r="B199">
        <v>4</v>
      </c>
    </row>
    <row r="200" spans="1:2" x14ac:dyDescent="0.3">
      <c r="A200" s="5" t="s">
        <v>1393</v>
      </c>
      <c r="B200">
        <v>1</v>
      </c>
    </row>
    <row r="201" spans="1:2" x14ac:dyDescent="0.3">
      <c r="A201" s="5" t="s">
        <v>1226</v>
      </c>
      <c r="B201">
        <v>3</v>
      </c>
    </row>
    <row r="202" spans="1:2" x14ac:dyDescent="0.3">
      <c r="A202" s="5" t="s">
        <v>204</v>
      </c>
      <c r="B202">
        <v>3</v>
      </c>
    </row>
    <row r="203" spans="1:2" x14ac:dyDescent="0.3">
      <c r="A203" s="5" t="s">
        <v>3069</v>
      </c>
      <c r="B203">
        <v>3</v>
      </c>
    </row>
    <row r="204" spans="1:2" x14ac:dyDescent="0.3">
      <c r="A204" s="5" t="s">
        <v>72</v>
      </c>
      <c r="B204">
        <v>1</v>
      </c>
    </row>
    <row r="205" spans="1:2" x14ac:dyDescent="0.3">
      <c r="A205" s="5" t="s">
        <v>1289</v>
      </c>
      <c r="B205">
        <v>6</v>
      </c>
    </row>
    <row r="206" spans="1:2" x14ac:dyDescent="0.3">
      <c r="A206" s="5" t="s">
        <v>2284</v>
      </c>
      <c r="B206">
        <v>1</v>
      </c>
    </row>
    <row r="207" spans="1:2" x14ac:dyDescent="0.3">
      <c r="A207" s="5" t="s">
        <v>129</v>
      </c>
      <c r="B207">
        <v>4</v>
      </c>
    </row>
    <row r="208" spans="1:2" x14ac:dyDescent="0.3">
      <c r="A208" s="5" t="s">
        <v>160</v>
      </c>
      <c r="B208">
        <v>3</v>
      </c>
    </row>
    <row r="209" spans="1:2" x14ac:dyDescent="0.3">
      <c r="A209" s="5" t="s">
        <v>2695</v>
      </c>
      <c r="B209">
        <v>1</v>
      </c>
    </row>
    <row r="210" spans="1:2" x14ac:dyDescent="0.3">
      <c r="A210" s="5" t="s">
        <v>116</v>
      </c>
      <c r="B210">
        <v>3</v>
      </c>
    </row>
    <row r="211" spans="1:2" x14ac:dyDescent="0.3">
      <c r="A211" s="5" t="s">
        <v>2944</v>
      </c>
      <c r="B211">
        <v>1</v>
      </c>
    </row>
    <row r="212" spans="1:2" x14ac:dyDescent="0.3">
      <c r="A212" s="5" t="s">
        <v>748</v>
      </c>
      <c r="B212">
        <v>2</v>
      </c>
    </row>
    <row r="213" spans="1:2" x14ac:dyDescent="0.3">
      <c r="A213" s="5" t="s">
        <v>310</v>
      </c>
      <c r="B213">
        <v>2</v>
      </c>
    </row>
    <row r="214" spans="1:2" x14ac:dyDescent="0.3">
      <c r="A214" s="5" t="s">
        <v>371</v>
      </c>
      <c r="B214">
        <v>2</v>
      </c>
    </row>
    <row r="215" spans="1:2" x14ac:dyDescent="0.3">
      <c r="A215" s="5" t="s">
        <v>1230</v>
      </c>
      <c r="B215">
        <v>3</v>
      </c>
    </row>
    <row r="216" spans="1:2" x14ac:dyDescent="0.3">
      <c r="A216" s="5" t="s">
        <v>1574</v>
      </c>
      <c r="B216">
        <v>2</v>
      </c>
    </row>
    <row r="217" spans="1:2" x14ac:dyDescent="0.3">
      <c r="A217" s="5" t="s">
        <v>957</v>
      </c>
      <c r="B217">
        <v>5</v>
      </c>
    </row>
    <row r="218" spans="1:2" x14ac:dyDescent="0.3">
      <c r="A218" s="5" t="s">
        <v>3168</v>
      </c>
      <c r="B218">
        <v>2</v>
      </c>
    </row>
    <row r="219" spans="1:2" x14ac:dyDescent="0.3">
      <c r="A219" s="5" t="s">
        <v>1325</v>
      </c>
      <c r="B219">
        <v>2</v>
      </c>
    </row>
    <row r="220" spans="1:2" x14ac:dyDescent="0.3">
      <c r="A220" s="5" t="s">
        <v>1621</v>
      </c>
      <c r="B220">
        <v>1</v>
      </c>
    </row>
    <row r="221" spans="1:2" x14ac:dyDescent="0.3">
      <c r="A221" s="5" t="s">
        <v>388</v>
      </c>
      <c r="B221">
        <v>3</v>
      </c>
    </row>
    <row r="222" spans="1:2" x14ac:dyDescent="0.3">
      <c r="A222" s="5" t="s">
        <v>2023</v>
      </c>
      <c r="B222">
        <v>1</v>
      </c>
    </row>
    <row r="223" spans="1:2" x14ac:dyDescent="0.3">
      <c r="A223" s="5" t="s">
        <v>415</v>
      </c>
      <c r="B223">
        <v>4</v>
      </c>
    </row>
    <row r="224" spans="1:2" x14ac:dyDescent="0.3">
      <c r="A224" s="5" t="s">
        <v>680</v>
      </c>
      <c r="B224">
        <v>2</v>
      </c>
    </row>
    <row r="225" spans="1:2" x14ac:dyDescent="0.3">
      <c r="A225" s="5" t="s">
        <v>405</v>
      </c>
      <c r="B225">
        <v>4</v>
      </c>
    </row>
    <row r="226" spans="1:2" x14ac:dyDescent="0.3">
      <c r="A226" s="5" t="s">
        <v>427</v>
      </c>
      <c r="B226">
        <v>4</v>
      </c>
    </row>
    <row r="227" spans="1:2" x14ac:dyDescent="0.3">
      <c r="A227" s="5" t="s">
        <v>491</v>
      </c>
      <c r="B227">
        <v>7</v>
      </c>
    </row>
    <row r="228" spans="1:2" x14ac:dyDescent="0.3">
      <c r="A228" s="5" t="s">
        <v>783</v>
      </c>
      <c r="B228">
        <v>2</v>
      </c>
    </row>
    <row r="229" spans="1:2" x14ac:dyDescent="0.3">
      <c r="A229" s="5" t="s">
        <v>189</v>
      </c>
      <c r="B229">
        <v>1</v>
      </c>
    </row>
    <row r="230" spans="1:2" x14ac:dyDescent="0.3">
      <c r="A230" s="5" t="s">
        <v>1634</v>
      </c>
      <c r="B230">
        <v>1</v>
      </c>
    </row>
    <row r="231" spans="1:2" x14ac:dyDescent="0.3">
      <c r="A231" s="5" t="s">
        <v>170</v>
      </c>
      <c r="B231">
        <v>3</v>
      </c>
    </row>
    <row r="232" spans="1:2" x14ac:dyDescent="0.3">
      <c r="A232" s="5" t="s">
        <v>1960</v>
      </c>
      <c r="B232">
        <v>1</v>
      </c>
    </row>
    <row r="233" spans="1:2" x14ac:dyDescent="0.3">
      <c r="A233" s="5" t="s">
        <v>199</v>
      </c>
      <c r="B233">
        <v>4</v>
      </c>
    </row>
    <row r="234" spans="1:2" x14ac:dyDescent="0.3">
      <c r="A234" s="5" t="s">
        <v>799</v>
      </c>
      <c r="B234">
        <v>1</v>
      </c>
    </row>
    <row r="235" spans="1:2" x14ac:dyDescent="0.3">
      <c r="A235" s="5" t="s">
        <v>1601</v>
      </c>
      <c r="B235">
        <v>3</v>
      </c>
    </row>
    <row r="236" spans="1:2" x14ac:dyDescent="0.3">
      <c r="A236" s="5" t="s">
        <v>2791</v>
      </c>
      <c r="B236">
        <v>1</v>
      </c>
    </row>
    <row r="237" spans="1:2" x14ac:dyDescent="0.3">
      <c r="A237" s="5" t="s">
        <v>816</v>
      </c>
      <c r="B237">
        <v>3</v>
      </c>
    </row>
    <row r="238" spans="1:2" x14ac:dyDescent="0.3">
      <c r="A238" s="5" t="s">
        <v>913</v>
      </c>
      <c r="B238">
        <v>9</v>
      </c>
    </row>
    <row r="239" spans="1:2" x14ac:dyDescent="0.3">
      <c r="A239" s="5" t="s">
        <v>2570</v>
      </c>
      <c r="B239">
        <v>3</v>
      </c>
    </row>
    <row r="240" spans="1:2" x14ac:dyDescent="0.3">
      <c r="A240" s="5" t="s">
        <v>2342</v>
      </c>
      <c r="B240">
        <v>1</v>
      </c>
    </row>
    <row r="241" spans="1:2" x14ac:dyDescent="0.3">
      <c r="A241" s="5" t="s">
        <v>1121</v>
      </c>
      <c r="B241">
        <v>7</v>
      </c>
    </row>
    <row r="242" spans="1:2" x14ac:dyDescent="0.3">
      <c r="A242" s="5" t="s">
        <v>562</v>
      </c>
      <c r="B242">
        <v>3</v>
      </c>
    </row>
    <row r="243" spans="1:2" x14ac:dyDescent="0.3">
      <c r="A243" s="5" t="s">
        <v>357</v>
      </c>
      <c r="B243">
        <v>4</v>
      </c>
    </row>
    <row r="244" spans="1:2" x14ac:dyDescent="0.3">
      <c r="A244" s="5" t="s">
        <v>648</v>
      </c>
      <c r="B244">
        <v>1</v>
      </c>
    </row>
    <row r="245" spans="1:2" x14ac:dyDescent="0.3">
      <c r="A245" s="5" t="s">
        <v>566</v>
      </c>
      <c r="B245">
        <v>3</v>
      </c>
    </row>
    <row r="246" spans="1:2" x14ac:dyDescent="0.3">
      <c r="A246" s="5" t="s">
        <v>2296</v>
      </c>
      <c r="B246">
        <v>1</v>
      </c>
    </row>
    <row r="247" spans="1:2" x14ac:dyDescent="0.3">
      <c r="A247" s="5" t="s">
        <v>121</v>
      </c>
      <c r="B247">
        <v>2</v>
      </c>
    </row>
    <row r="248" spans="1:2" x14ac:dyDescent="0.3">
      <c r="A248" s="5" t="s">
        <v>1471</v>
      </c>
      <c r="B248">
        <v>3</v>
      </c>
    </row>
    <row r="249" spans="1:2" x14ac:dyDescent="0.3">
      <c r="A249" s="5" t="s">
        <v>165</v>
      </c>
      <c r="B249">
        <v>3</v>
      </c>
    </row>
    <row r="250" spans="1:2" x14ac:dyDescent="0.3">
      <c r="A250" s="5" t="s">
        <v>2660</v>
      </c>
      <c r="B250">
        <v>2</v>
      </c>
    </row>
    <row r="251" spans="1:2" x14ac:dyDescent="0.3">
      <c r="A251" s="5" t="s">
        <v>1594</v>
      </c>
      <c r="B251">
        <v>3</v>
      </c>
    </row>
    <row r="252" spans="1:2" x14ac:dyDescent="0.3">
      <c r="A252" s="5" t="s">
        <v>1321</v>
      </c>
      <c r="B252">
        <v>5</v>
      </c>
    </row>
    <row r="253" spans="1:2" x14ac:dyDescent="0.3">
      <c r="A253" s="5" t="s">
        <v>1293</v>
      </c>
      <c r="B253">
        <v>2</v>
      </c>
    </row>
    <row r="254" spans="1:2" x14ac:dyDescent="0.3">
      <c r="A254" s="5" t="s">
        <v>982</v>
      </c>
      <c r="B254">
        <v>2</v>
      </c>
    </row>
    <row r="255" spans="1:2" x14ac:dyDescent="0.3">
      <c r="A255" s="5" t="s">
        <v>2048</v>
      </c>
      <c r="B255">
        <v>3</v>
      </c>
    </row>
    <row r="256" spans="1:2" x14ac:dyDescent="0.3">
      <c r="A256" s="5" t="s">
        <v>1981</v>
      </c>
      <c r="B256">
        <v>1</v>
      </c>
    </row>
    <row r="257" spans="1:2" x14ac:dyDescent="0.3">
      <c r="A257" s="5" t="s">
        <v>581</v>
      </c>
      <c r="B257">
        <v>3</v>
      </c>
    </row>
    <row r="258" spans="1:2" x14ac:dyDescent="0.3">
      <c r="A258" s="5" t="s">
        <v>2597</v>
      </c>
      <c r="B258">
        <v>2</v>
      </c>
    </row>
    <row r="259" spans="1:2" x14ac:dyDescent="0.3">
      <c r="A259" s="5" t="s">
        <v>251</v>
      </c>
      <c r="B259">
        <v>3</v>
      </c>
    </row>
    <row r="260" spans="1:2" x14ac:dyDescent="0.3">
      <c r="A260" s="5" t="s">
        <v>1084</v>
      </c>
      <c r="B260">
        <v>3</v>
      </c>
    </row>
    <row r="261" spans="1:2" x14ac:dyDescent="0.3">
      <c r="A261" s="5" t="s">
        <v>557</v>
      </c>
      <c r="B261">
        <v>3</v>
      </c>
    </row>
    <row r="262" spans="1:2" x14ac:dyDescent="0.3">
      <c r="A262" s="5" t="s">
        <v>336</v>
      </c>
      <c r="B262">
        <v>2</v>
      </c>
    </row>
    <row r="263" spans="1:2" x14ac:dyDescent="0.3">
      <c r="A263" s="5" t="s">
        <v>458</v>
      </c>
      <c r="B263">
        <v>6</v>
      </c>
    </row>
    <row r="264" spans="1:2" x14ac:dyDescent="0.3">
      <c r="A264" s="5" t="s">
        <v>602</v>
      </c>
      <c r="B264">
        <v>4</v>
      </c>
    </row>
    <row r="265" spans="1:2" x14ac:dyDescent="0.3">
      <c r="A265" s="5" t="s">
        <v>1665</v>
      </c>
      <c r="B265">
        <v>3</v>
      </c>
    </row>
    <row r="266" spans="1:2" x14ac:dyDescent="0.3">
      <c r="A266" s="5" t="s">
        <v>2656</v>
      </c>
      <c r="B266">
        <v>3</v>
      </c>
    </row>
    <row r="267" spans="1:2" x14ac:dyDescent="0.3">
      <c r="A267" s="5" t="s">
        <v>611</v>
      </c>
      <c r="B267">
        <v>3</v>
      </c>
    </row>
    <row r="268" spans="1:2" x14ac:dyDescent="0.3">
      <c r="A268" s="5" t="s">
        <v>930</v>
      </c>
      <c r="B268">
        <v>4</v>
      </c>
    </row>
    <row r="269" spans="1:2" x14ac:dyDescent="0.3">
      <c r="A269" s="5" t="s">
        <v>380</v>
      </c>
      <c r="B269">
        <v>1</v>
      </c>
    </row>
    <row r="270" spans="1:2" x14ac:dyDescent="0.3">
      <c r="A270" s="5" t="s">
        <v>763</v>
      </c>
      <c r="B270">
        <v>4</v>
      </c>
    </row>
    <row r="271" spans="1:2" x14ac:dyDescent="0.3">
      <c r="A271" s="5" t="s">
        <v>699</v>
      </c>
      <c r="B271">
        <v>6</v>
      </c>
    </row>
    <row r="272" spans="1:2" x14ac:dyDescent="0.3">
      <c r="A272" s="5" t="s">
        <v>1348</v>
      </c>
      <c r="B272">
        <v>2</v>
      </c>
    </row>
    <row r="273" spans="1:2" x14ac:dyDescent="0.3">
      <c r="A273" s="5" t="s">
        <v>668</v>
      </c>
      <c r="B273">
        <v>6</v>
      </c>
    </row>
    <row r="274" spans="1:2" x14ac:dyDescent="0.3">
      <c r="A274" s="5" t="s">
        <v>1133</v>
      </c>
      <c r="B274">
        <v>4</v>
      </c>
    </row>
    <row r="275" spans="1:2" x14ac:dyDescent="0.3">
      <c r="A275" s="5" t="s">
        <v>434</v>
      </c>
      <c r="B275">
        <v>2</v>
      </c>
    </row>
    <row r="276" spans="1:2" x14ac:dyDescent="0.3">
      <c r="A276" s="5" t="s">
        <v>268</v>
      </c>
      <c r="B276">
        <v>6</v>
      </c>
    </row>
    <row r="277" spans="1:2" x14ac:dyDescent="0.3">
      <c r="A277" s="5" t="s">
        <v>731</v>
      </c>
      <c r="B277">
        <v>2</v>
      </c>
    </row>
    <row r="278" spans="1:2" x14ac:dyDescent="0.3">
      <c r="A278" s="5" t="s">
        <v>344</v>
      </c>
      <c r="B278">
        <v>2</v>
      </c>
    </row>
    <row r="279" spans="1:2" x14ac:dyDescent="0.3">
      <c r="A279" s="5" t="s">
        <v>1923</v>
      </c>
      <c r="B279">
        <v>2</v>
      </c>
    </row>
    <row r="280" spans="1:2" x14ac:dyDescent="0.3">
      <c r="A280" s="5" t="s">
        <v>125</v>
      </c>
      <c r="B280">
        <v>3</v>
      </c>
    </row>
    <row r="281" spans="1:2" x14ac:dyDescent="0.3">
      <c r="A281" s="5" t="s">
        <v>1358</v>
      </c>
      <c r="B281">
        <v>2</v>
      </c>
    </row>
    <row r="282" spans="1:2" x14ac:dyDescent="0.3">
      <c r="A282" s="5" t="s">
        <v>209</v>
      </c>
      <c r="B282">
        <v>3</v>
      </c>
    </row>
    <row r="283" spans="1:2" x14ac:dyDescent="0.3">
      <c r="A283" s="5" t="s">
        <v>945</v>
      </c>
      <c r="B283">
        <v>5</v>
      </c>
    </row>
    <row r="284" spans="1:2" x14ac:dyDescent="0.3">
      <c r="A284" s="5" t="s">
        <v>495</v>
      </c>
      <c r="B284">
        <v>4</v>
      </c>
    </row>
    <row r="285" spans="1:2" x14ac:dyDescent="0.3">
      <c r="A285" s="5" t="s">
        <v>653</v>
      </c>
      <c r="B285">
        <v>1</v>
      </c>
    </row>
    <row r="286" spans="1:2" x14ac:dyDescent="0.3">
      <c r="A286" s="5" t="s">
        <v>227</v>
      </c>
      <c r="B286">
        <v>2</v>
      </c>
    </row>
    <row r="287" spans="1:2" x14ac:dyDescent="0.3">
      <c r="A287" s="5" t="s">
        <v>2274</v>
      </c>
      <c r="B287">
        <v>3</v>
      </c>
    </row>
    <row r="288" spans="1:2" x14ac:dyDescent="0.3">
      <c r="A288" s="5" t="s">
        <v>1467</v>
      </c>
      <c r="B288">
        <v>2</v>
      </c>
    </row>
    <row r="289" spans="1:2" x14ac:dyDescent="0.3">
      <c r="A289" s="5" t="s">
        <v>66</v>
      </c>
      <c r="B289">
        <v>2</v>
      </c>
    </row>
    <row r="290" spans="1:2" x14ac:dyDescent="0.3">
      <c r="A290" s="5" t="s">
        <v>400</v>
      </c>
      <c r="B290">
        <v>4</v>
      </c>
    </row>
    <row r="291" spans="1:2" x14ac:dyDescent="0.3">
      <c r="A291" s="5" t="s">
        <v>1872</v>
      </c>
      <c r="B291">
        <v>3</v>
      </c>
    </row>
    <row r="292" spans="1:2" x14ac:dyDescent="0.3">
      <c r="A292" s="5" t="s">
        <v>376</v>
      </c>
      <c r="B292">
        <v>3</v>
      </c>
    </row>
    <row r="293" spans="1:2" x14ac:dyDescent="0.3">
      <c r="A293" s="5" t="s">
        <v>1267</v>
      </c>
      <c r="B293">
        <v>4</v>
      </c>
    </row>
    <row r="294" spans="1:2" x14ac:dyDescent="0.3">
      <c r="A294" s="5" t="s">
        <v>2840</v>
      </c>
      <c r="B294">
        <v>1</v>
      </c>
    </row>
    <row r="295" spans="1:2" x14ac:dyDescent="0.3">
      <c r="A295" s="5" t="s">
        <v>803</v>
      </c>
      <c r="B295">
        <v>5</v>
      </c>
    </row>
    <row r="296" spans="1:2" x14ac:dyDescent="0.3">
      <c r="A296" s="5" t="s">
        <v>713</v>
      </c>
      <c r="B296">
        <v>2</v>
      </c>
    </row>
    <row r="297" spans="1:2" x14ac:dyDescent="0.3">
      <c r="A297" s="5" t="s">
        <v>953</v>
      </c>
      <c r="B297">
        <v>3</v>
      </c>
    </row>
    <row r="298" spans="1:2" x14ac:dyDescent="0.3">
      <c r="A298" s="5" t="s">
        <v>2291</v>
      </c>
      <c r="B298">
        <v>1</v>
      </c>
    </row>
    <row r="299" spans="1:2" x14ac:dyDescent="0.3">
      <c r="A299" s="5" t="s">
        <v>2928</v>
      </c>
      <c r="B299">
        <v>1</v>
      </c>
    </row>
    <row r="300" spans="1:2" x14ac:dyDescent="0.3">
      <c r="A300" s="5" t="s">
        <v>1460</v>
      </c>
      <c r="B300">
        <v>4</v>
      </c>
    </row>
    <row r="301" spans="1:2" x14ac:dyDescent="0.3">
      <c r="A301" s="5" t="s">
        <v>620</v>
      </c>
      <c r="B301">
        <v>5</v>
      </c>
    </row>
    <row r="302" spans="1:2" x14ac:dyDescent="0.3">
      <c r="A302" s="5" t="s">
        <v>2903</v>
      </c>
      <c r="B302">
        <v>1</v>
      </c>
    </row>
    <row r="303" spans="1:2" x14ac:dyDescent="0.3">
      <c r="A303" s="5" t="s">
        <v>2359</v>
      </c>
      <c r="B303">
        <v>2</v>
      </c>
    </row>
    <row r="304" spans="1:2" x14ac:dyDescent="0.3">
      <c r="A304" s="5" t="s">
        <v>1107</v>
      </c>
      <c r="B304">
        <v>2</v>
      </c>
    </row>
    <row r="305" spans="1:2" x14ac:dyDescent="0.3">
      <c r="A305" s="5" t="s">
        <v>77</v>
      </c>
      <c r="B305">
        <v>4</v>
      </c>
    </row>
    <row r="306" spans="1:2" x14ac:dyDescent="0.3">
      <c r="A306" s="5" t="s">
        <v>3002</v>
      </c>
      <c r="B306">
        <v>1</v>
      </c>
    </row>
    <row r="307" spans="1:2" x14ac:dyDescent="0.3">
      <c r="A307" s="5" t="s">
        <v>2083</v>
      </c>
      <c r="B307">
        <v>4</v>
      </c>
    </row>
    <row r="308" spans="1:2" x14ac:dyDescent="0.3">
      <c r="A308" s="5" t="s">
        <v>466</v>
      </c>
      <c r="B308">
        <v>4</v>
      </c>
    </row>
    <row r="309" spans="1:2" x14ac:dyDescent="0.3">
      <c r="A309" s="5" t="s">
        <v>736</v>
      </c>
      <c r="B309">
        <v>3</v>
      </c>
    </row>
    <row r="310" spans="1:2" x14ac:dyDescent="0.3">
      <c r="A310" s="5" t="s">
        <v>899</v>
      </c>
      <c r="B310">
        <v>3</v>
      </c>
    </row>
    <row r="311" spans="1:2" x14ac:dyDescent="0.3">
      <c r="A311" s="5" t="s">
        <v>54</v>
      </c>
      <c r="B311">
        <v>4</v>
      </c>
    </row>
    <row r="312" spans="1:2" x14ac:dyDescent="0.3">
      <c r="A312" s="5" t="s">
        <v>2652</v>
      </c>
      <c r="B312">
        <v>2</v>
      </c>
    </row>
    <row r="313" spans="1:2" x14ac:dyDescent="0.3">
      <c r="A313" s="5" t="s">
        <v>2212</v>
      </c>
      <c r="B313">
        <v>1</v>
      </c>
    </row>
    <row r="314" spans="1:2" x14ac:dyDescent="0.3">
      <c r="A314" s="5" t="s">
        <v>836</v>
      </c>
      <c r="B314">
        <v>3</v>
      </c>
    </row>
    <row r="315" spans="1:2" x14ac:dyDescent="0.3">
      <c r="A315" s="5" t="s">
        <v>3360</v>
      </c>
      <c r="B315">
        <v>1</v>
      </c>
    </row>
    <row r="316" spans="1:2" x14ac:dyDescent="0.3">
      <c r="A316" s="5" t="s">
        <v>718</v>
      </c>
      <c r="B316">
        <v>2</v>
      </c>
    </row>
    <row r="317" spans="1:2" x14ac:dyDescent="0.3">
      <c r="A317" s="5" t="s">
        <v>1967</v>
      </c>
      <c r="B317">
        <v>1</v>
      </c>
    </row>
    <row r="318" spans="1:2" x14ac:dyDescent="0.3">
      <c r="A318" s="5" t="s">
        <v>1034</v>
      </c>
      <c r="B318">
        <v>3</v>
      </c>
    </row>
    <row r="319" spans="1:2" x14ac:dyDescent="0.3">
      <c r="A319" s="5" t="s">
        <v>2179</v>
      </c>
      <c r="B319">
        <v>2</v>
      </c>
    </row>
    <row r="320" spans="1:2" x14ac:dyDescent="0.3">
      <c r="A320" s="5" t="s">
        <v>2147</v>
      </c>
      <c r="B320">
        <v>2</v>
      </c>
    </row>
    <row r="321" spans="1:2" x14ac:dyDescent="0.3">
      <c r="A321" s="5" t="s">
        <v>1802</v>
      </c>
      <c r="B321">
        <v>1</v>
      </c>
    </row>
    <row r="322" spans="1:2" x14ac:dyDescent="0.3">
      <c r="A322" s="5" t="s">
        <v>934</v>
      </c>
      <c r="B322">
        <v>4</v>
      </c>
    </row>
    <row r="323" spans="1:2" x14ac:dyDescent="0.3">
      <c r="A323" s="5" t="s">
        <v>850</v>
      </c>
      <c r="B323">
        <v>2</v>
      </c>
    </row>
    <row r="324" spans="1:2" x14ac:dyDescent="0.3">
      <c r="A324" s="5" t="s">
        <v>2463</v>
      </c>
      <c r="B324">
        <v>1</v>
      </c>
    </row>
    <row r="325" spans="1:2" x14ac:dyDescent="0.3">
      <c r="A325" s="5" t="s">
        <v>232</v>
      </c>
      <c r="B325">
        <v>2</v>
      </c>
    </row>
    <row r="326" spans="1:2" x14ac:dyDescent="0.3">
      <c r="A326" s="5" t="s">
        <v>305</v>
      </c>
      <c r="B326">
        <v>7</v>
      </c>
    </row>
    <row r="327" spans="1:2" x14ac:dyDescent="0.3">
      <c r="A327" s="5" t="s">
        <v>1702</v>
      </c>
      <c r="B327">
        <v>1</v>
      </c>
    </row>
    <row r="328" spans="1:2" x14ac:dyDescent="0.3">
      <c r="A328" s="5" t="s">
        <v>1505</v>
      </c>
      <c r="B328">
        <v>1</v>
      </c>
    </row>
    <row r="329" spans="1:2" x14ac:dyDescent="0.3">
      <c r="A329" s="5" t="s">
        <v>453</v>
      </c>
      <c r="B329">
        <v>4</v>
      </c>
    </row>
    <row r="330" spans="1:2" x14ac:dyDescent="0.3">
      <c r="A330" s="5" t="s">
        <v>1180</v>
      </c>
      <c r="B330">
        <v>4</v>
      </c>
    </row>
    <row r="331" spans="1:2" x14ac:dyDescent="0.3">
      <c r="A331" s="5" t="s">
        <v>40</v>
      </c>
      <c r="B331">
        <v>7</v>
      </c>
    </row>
    <row r="332" spans="1:2" x14ac:dyDescent="0.3">
      <c r="A332" s="5" t="s">
        <v>301</v>
      </c>
      <c r="B332">
        <v>2</v>
      </c>
    </row>
    <row r="333" spans="1:2" x14ac:dyDescent="0.3">
      <c r="A333" s="5" t="s">
        <v>1310</v>
      </c>
      <c r="B333">
        <v>2</v>
      </c>
    </row>
    <row r="334" spans="1:2" x14ac:dyDescent="0.3">
      <c r="A334" s="5" t="s">
        <v>97</v>
      </c>
      <c r="B334">
        <v>3</v>
      </c>
    </row>
    <row r="335" spans="1:2" x14ac:dyDescent="0.3">
      <c r="A335" s="5" t="s">
        <v>968</v>
      </c>
      <c r="B335">
        <v>4</v>
      </c>
    </row>
    <row r="336" spans="1:2" x14ac:dyDescent="0.3">
      <c r="A336" s="5" t="s">
        <v>384</v>
      </c>
      <c r="B336">
        <v>3</v>
      </c>
    </row>
    <row r="337" spans="1:2" x14ac:dyDescent="0.3">
      <c r="A337" s="5" t="s">
        <v>846</v>
      </c>
      <c r="B337">
        <v>4</v>
      </c>
    </row>
    <row r="338" spans="1:2" x14ac:dyDescent="0.3">
      <c r="A338" s="5" t="s">
        <v>101</v>
      </c>
      <c r="B338">
        <v>4</v>
      </c>
    </row>
    <row r="339" spans="1:2" x14ac:dyDescent="0.3">
      <c r="A339" s="5" t="s">
        <v>2470</v>
      </c>
      <c r="B339">
        <v>3</v>
      </c>
    </row>
    <row r="340" spans="1:2" x14ac:dyDescent="0.3">
      <c r="A340" s="5" t="s">
        <v>328</v>
      </c>
      <c r="B340">
        <v>1</v>
      </c>
    </row>
    <row r="341" spans="1:2" x14ac:dyDescent="0.3">
      <c r="A341" s="5" t="s">
        <v>2534</v>
      </c>
      <c r="B341">
        <v>1</v>
      </c>
    </row>
    <row r="342" spans="1:2" x14ac:dyDescent="0.3">
      <c r="A342" s="5" t="s">
        <v>255</v>
      </c>
      <c r="B342">
        <v>2</v>
      </c>
    </row>
    <row r="343" spans="1:2" x14ac:dyDescent="0.3">
      <c r="A343" s="5" t="s">
        <v>1397</v>
      </c>
      <c r="B343">
        <v>3</v>
      </c>
    </row>
    <row r="344" spans="1:2" x14ac:dyDescent="0.3">
      <c r="A344" s="5" t="s">
        <v>2349</v>
      </c>
      <c r="B344">
        <v>3</v>
      </c>
    </row>
    <row r="345" spans="1:2" x14ac:dyDescent="0.3">
      <c r="A345" s="5" t="s">
        <v>548</v>
      </c>
      <c r="B345">
        <v>1</v>
      </c>
    </row>
    <row r="346" spans="1:2" x14ac:dyDescent="0.3">
      <c r="A346" s="5" t="s">
        <v>920</v>
      </c>
      <c r="B346">
        <v>3</v>
      </c>
    </row>
    <row r="347" spans="1:2" x14ac:dyDescent="0.3">
      <c r="A347" s="5" t="s">
        <v>82</v>
      </c>
      <c r="B347">
        <v>2</v>
      </c>
    </row>
    <row r="348" spans="1:2" x14ac:dyDescent="0.3">
      <c r="A348" s="5" t="s">
        <v>1522</v>
      </c>
      <c r="B348">
        <v>3</v>
      </c>
    </row>
    <row r="349" spans="1:2" x14ac:dyDescent="0.3">
      <c r="A349" s="5" t="s">
        <v>1946</v>
      </c>
      <c r="B349">
        <v>2</v>
      </c>
    </row>
    <row r="350" spans="1:2" x14ac:dyDescent="0.3">
      <c r="A350" s="5" t="s">
        <v>2872</v>
      </c>
      <c r="B350">
        <v>2</v>
      </c>
    </row>
    <row r="351" spans="1:2" x14ac:dyDescent="0.3">
      <c r="A351" s="5" t="s">
        <v>2186</v>
      </c>
      <c r="B351">
        <v>3</v>
      </c>
    </row>
    <row r="352" spans="1:2" x14ac:dyDescent="0.3">
      <c r="A352" s="5" t="s">
        <v>475</v>
      </c>
      <c r="B352">
        <v>3</v>
      </c>
    </row>
    <row r="353" spans="1:2" x14ac:dyDescent="0.3">
      <c r="A353" s="5" t="s">
        <v>3196</v>
      </c>
      <c r="B353">
        <v>1</v>
      </c>
    </row>
    <row r="354" spans="1:2" x14ac:dyDescent="0.3">
      <c r="A354" s="5" t="s">
        <v>2331</v>
      </c>
      <c r="B354">
        <v>2</v>
      </c>
    </row>
    <row r="355" spans="1:2" x14ac:dyDescent="0.3">
      <c r="A355" s="5" t="s">
        <v>1456</v>
      </c>
      <c r="B355">
        <v>3</v>
      </c>
    </row>
    <row r="356" spans="1:2" x14ac:dyDescent="0.3">
      <c r="A356" s="5" t="s">
        <v>2763</v>
      </c>
      <c r="B356">
        <v>2</v>
      </c>
    </row>
    <row r="357" spans="1:2" x14ac:dyDescent="0.3">
      <c r="A357" s="5" t="s">
        <v>285</v>
      </c>
      <c r="B357">
        <v>3</v>
      </c>
    </row>
    <row r="358" spans="1:2" x14ac:dyDescent="0.3">
      <c r="A358" s="5" t="s">
        <v>1208</v>
      </c>
      <c r="B358">
        <v>3</v>
      </c>
    </row>
    <row r="359" spans="1:2" x14ac:dyDescent="0.3">
      <c r="A359" s="5" t="s">
        <v>2530</v>
      </c>
      <c r="B359">
        <v>1</v>
      </c>
    </row>
    <row r="360" spans="1:2" x14ac:dyDescent="0.3">
      <c r="A360" s="5" t="s">
        <v>949</v>
      </c>
      <c r="B360">
        <v>5</v>
      </c>
    </row>
    <row r="361" spans="1:2" x14ac:dyDescent="0.3">
      <c r="A361" s="5" t="s">
        <v>1010</v>
      </c>
      <c r="B361">
        <v>3</v>
      </c>
    </row>
    <row r="362" spans="1:2" x14ac:dyDescent="0.3">
      <c r="A362" s="5" t="s">
        <v>690</v>
      </c>
      <c r="B362">
        <v>3</v>
      </c>
    </row>
    <row r="363" spans="1:2" x14ac:dyDescent="0.3">
      <c r="A363" s="5" t="s">
        <v>722</v>
      </c>
      <c r="B363">
        <v>3</v>
      </c>
    </row>
    <row r="364" spans="1:2" x14ac:dyDescent="0.3">
      <c r="A364" s="5" t="s">
        <v>1795</v>
      </c>
      <c r="B364">
        <v>5</v>
      </c>
    </row>
    <row r="365" spans="1:2" x14ac:dyDescent="0.3">
      <c r="A365" s="5" t="s">
        <v>111</v>
      </c>
      <c r="B365">
        <v>5</v>
      </c>
    </row>
    <row r="366" spans="1:2" x14ac:dyDescent="0.3">
      <c r="A366" s="5" t="s">
        <v>1692</v>
      </c>
      <c r="B366">
        <v>2</v>
      </c>
    </row>
    <row r="367" spans="1:2" x14ac:dyDescent="0.3">
      <c r="A367" s="5" t="s">
        <v>1001</v>
      </c>
      <c r="B367">
        <v>3</v>
      </c>
    </row>
    <row r="368" spans="1:2" x14ac:dyDescent="0.3">
      <c r="A368" s="5" t="s">
        <v>1587</v>
      </c>
      <c r="B368">
        <v>2</v>
      </c>
    </row>
    <row r="369" spans="1:2" x14ac:dyDescent="0.3">
      <c r="A369" s="5" t="s">
        <v>1017</v>
      </c>
      <c r="B369">
        <v>3</v>
      </c>
    </row>
    <row r="370" spans="1:2" x14ac:dyDescent="0.3">
      <c r="A370" s="5" t="s">
        <v>1441</v>
      </c>
      <c r="B370">
        <v>2</v>
      </c>
    </row>
    <row r="371" spans="1:2" x14ac:dyDescent="0.3">
      <c r="A371" s="5" t="s">
        <v>1114</v>
      </c>
      <c r="B371">
        <v>4</v>
      </c>
    </row>
    <row r="372" spans="1:2" x14ac:dyDescent="0.3">
      <c r="A372" s="5" t="s">
        <v>823</v>
      </c>
      <c r="B372">
        <v>2</v>
      </c>
    </row>
    <row r="373" spans="1:2" x14ac:dyDescent="0.3">
      <c r="A373" s="5" t="s">
        <v>3155</v>
      </c>
      <c r="B373">
        <v>1</v>
      </c>
    </row>
    <row r="374" spans="1:2" x14ac:dyDescent="0.3">
      <c r="A374" s="5" t="s">
        <v>487</v>
      </c>
      <c r="B374">
        <v>3</v>
      </c>
    </row>
    <row r="375" spans="1:2" x14ac:dyDescent="0.3">
      <c r="A375" s="5" t="s">
        <v>1933</v>
      </c>
      <c r="B375">
        <v>1</v>
      </c>
    </row>
    <row r="376" spans="1:2" x14ac:dyDescent="0.3">
      <c r="A376" s="5" t="s">
        <v>2453</v>
      </c>
      <c r="B376">
        <v>1</v>
      </c>
    </row>
    <row r="377" spans="1:2" x14ac:dyDescent="0.3">
      <c r="A377" s="5" t="s">
        <v>1237</v>
      </c>
      <c r="B377">
        <v>3</v>
      </c>
    </row>
    <row r="378" spans="1:2" x14ac:dyDescent="0.3">
      <c r="A378" s="5" t="s">
        <v>1042</v>
      </c>
      <c r="B378">
        <v>1</v>
      </c>
    </row>
    <row r="379" spans="1:2" x14ac:dyDescent="0.3">
      <c r="A379" s="5" t="s">
        <v>986</v>
      </c>
      <c r="B379">
        <v>1</v>
      </c>
    </row>
    <row r="380" spans="1:2" x14ac:dyDescent="0.3">
      <c r="A380" s="5" t="s">
        <v>938</v>
      </c>
      <c r="B380">
        <v>4</v>
      </c>
    </row>
    <row r="381" spans="1:2" x14ac:dyDescent="0.3">
      <c r="A381" s="5" t="s">
        <v>91</v>
      </c>
      <c r="B381">
        <v>2</v>
      </c>
    </row>
    <row r="382" spans="1:2" x14ac:dyDescent="0.3">
      <c r="A382" s="5" t="s">
        <v>3109</v>
      </c>
      <c r="B382">
        <v>1</v>
      </c>
    </row>
    <row r="383" spans="1:2" x14ac:dyDescent="0.3">
      <c r="A383" s="5" t="s">
        <v>3481</v>
      </c>
      <c r="B383">
        <v>990</v>
      </c>
    </row>
    <row r="386" spans="1:2" x14ac:dyDescent="0.3">
      <c r="A386" t="s">
        <v>3498</v>
      </c>
    </row>
    <row r="387" spans="1:2" x14ac:dyDescent="0.3">
      <c r="A387" s="4" t="s">
        <v>3479</v>
      </c>
      <c r="B387" t="s">
        <v>3499</v>
      </c>
    </row>
    <row r="388" spans="1:2" x14ac:dyDescent="0.3">
      <c r="A388" s="5" t="s">
        <v>58</v>
      </c>
      <c r="B388" s="2">
        <v>159</v>
      </c>
    </row>
    <row r="389" spans="1:2" x14ac:dyDescent="0.3">
      <c r="A389" s="5" t="s">
        <v>507</v>
      </c>
      <c r="B389" s="2">
        <v>582</v>
      </c>
    </row>
    <row r="390" spans="1:2" x14ac:dyDescent="0.3">
      <c r="A390" s="5" t="s">
        <v>806</v>
      </c>
      <c r="B390" s="2">
        <v>816</v>
      </c>
    </row>
    <row r="391" spans="1:2" x14ac:dyDescent="0.3">
      <c r="A391" s="5" t="s">
        <v>1240</v>
      </c>
      <c r="B391" s="2">
        <v>417</v>
      </c>
    </row>
    <row r="392" spans="1:2" x14ac:dyDescent="0.3">
      <c r="A392" s="5" t="s">
        <v>1190</v>
      </c>
      <c r="B392" s="2">
        <v>477</v>
      </c>
    </row>
    <row r="393" spans="1:2" x14ac:dyDescent="0.3">
      <c r="A393" s="5" t="s">
        <v>32</v>
      </c>
      <c r="B393" s="2">
        <v>854</v>
      </c>
    </row>
    <row r="394" spans="1:2" x14ac:dyDescent="0.3">
      <c r="A394" s="5" t="s">
        <v>391</v>
      </c>
      <c r="B394" s="2">
        <v>342</v>
      </c>
    </row>
    <row r="395" spans="1:2" x14ac:dyDescent="0.3">
      <c r="A395" s="5" t="s">
        <v>757</v>
      </c>
      <c r="B395" s="2">
        <v>438</v>
      </c>
    </row>
    <row r="396" spans="1:2" x14ac:dyDescent="0.3">
      <c r="A396" s="5" t="s">
        <v>609</v>
      </c>
      <c r="B396" s="2">
        <v>280</v>
      </c>
    </row>
    <row r="397" spans="1:2" x14ac:dyDescent="0.3">
      <c r="A397" s="5" t="s">
        <v>543</v>
      </c>
      <c r="B397" s="2">
        <v>272</v>
      </c>
    </row>
    <row r="398" spans="1:2" x14ac:dyDescent="0.3">
      <c r="A398" s="5" t="s">
        <v>834</v>
      </c>
      <c r="B398" s="2">
        <v>234</v>
      </c>
    </row>
    <row r="399" spans="1:2" x14ac:dyDescent="0.3">
      <c r="A399" s="5" t="s">
        <v>374</v>
      </c>
      <c r="B399" s="2">
        <v>867</v>
      </c>
    </row>
    <row r="400" spans="1:2" x14ac:dyDescent="0.3">
      <c r="A400" s="5" t="s">
        <v>240</v>
      </c>
      <c r="B400" s="2">
        <v>517</v>
      </c>
    </row>
    <row r="401" spans="1:2" x14ac:dyDescent="0.3">
      <c r="A401" s="5" t="s">
        <v>38</v>
      </c>
      <c r="B401" s="2">
        <v>680</v>
      </c>
    </row>
    <row r="402" spans="1:2" x14ac:dyDescent="0.3">
      <c r="A402" s="5" t="s">
        <v>322</v>
      </c>
      <c r="B402" s="2">
        <v>278</v>
      </c>
    </row>
    <row r="403" spans="1:2" x14ac:dyDescent="0.3">
      <c r="A403" s="5" t="s">
        <v>446</v>
      </c>
      <c r="B403" s="2">
        <v>428</v>
      </c>
    </row>
    <row r="404" spans="1:2" x14ac:dyDescent="0.3">
      <c r="A404" s="5" t="s">
        <v>114</v>
      </c>
      <c r="B404" s="2">
        <v>1120</v>
      </c>
    </row>
    <row r="405" spans="1:2" x14ac:dyDescent="0.3">
      <c r="A405" s="5" t="s">
        <v>355</v>
      </c>
      <c r="B405" s="2">
        <v>604</v>
      </c>
    </row>
    <row r="406" spans="1:2" x14ac:dyDescent="0.3">
      <c r="A406" s="5" t="s">
        <v>1151</v>
      </c>
      <c r="B406" s="2">
        <v>440</v>
      </c>
    </row>
    <row r="407" spans="1:2" x14ac:dyDescent="0.3">
      <c r="A407" s="5" t="s">
        <v>244</v>
      </c>
      <c r="B407" s="2">
        <v>241</v>
      </c>
    </row>
    <row r="408" spans="1:2" x14ac:dyDescent="0.3">
      <c r="A408" s="5" t="s">
        <v>403</v>
      </c>
      <c r="B408" s="2">
        <v>263</v>
      </c>
    </row>
    <row r="409" spans="1:2" x14ac:dyDescent="0.3">
      <c r="A409" s="5" t="s">
        <v>635</v>
      </c>
      <c r="B409" s="2">
        <v>365</v>
      </c>
    </row>
    <row r="410" spans="1:2" x14ac:dyDescent="0.3">
      <c r="A410" s="5" t="s">
        <v>148</v>
      </c>
      <c r="B410" s="2">
        <v>522</v>
      </c>
    </row>
    <row r="411" spans="1:2" x14ac:dyDescent="0.3">
      <c r="A411" s="5" t="s">
        <v>605</v>
      </c>
      <c r="B411" s="2">
        <v>575</v>
      </c>
    </row>
    <row r="412" spans="1:2" x14ac:dyDescent="0.3">
      <c r="A412" s="5" t="s">
        <v>317</v>
      </c>
      <c r="B412" s="2">
        <v>443</v>
      </c>
    </row>
    <row r="413" spans="1:2" x14ac:dyDescent="0.3">
      <c r="A413" s="5" t="s">
        <v>600</v>
      </c>
      <c r="B413" s="2">
        <v>909</v>
      </c>
    </row>
    <row r="414" spans="1:2" x14ac:dyDescent="0.3">
      <c r="A414" s="5" t="s">
        <v>725</v>
      </c>
      <c r="B414" s="2">
        <v>585</v>
      </c>
    </row>
    <row r="415" spans="1:2" x14ac:dyDescent="0.3">
      <c r="A415" s="5" t="s">
        <v>456</v>
      </c>
      <c r="B415" s="2">
        <v>514</v>
      </c>
    </row>
    <row r="416" spans="1:2" x14ac:dyDescent="0.3">
      <c r="A416" s="5" t="s">
        <v>2263</v>
      </c>
      <c r="B416" s="2">
        <v>159</v>
      </c>
    </row>
    <row r="417" spans="1:2" x14ac:dyDescent="0.3">
      <c r="A417" s="5" t="s">
        <v>451</v>
      </c>
      <c r="B417" s="2">
        <v>562</v>
      </c>
    </row>
    <row r="418" spans="1:2" x14ac:dyDescent="0.3">
      <c r="A418" s="5" t="s">
        <v>534</v>
      </c>
      <c r="B418" s="2">
        <v>396</v>
      </c>
    </row>
    <row r="419" spans="1:2" x14ac:dyDescent="0.3">
      <c r="A419" s="5" t="s">
        <v>1544</v>
      </c>
      <c r="B419" s="2">
        <v>266</v>
      </c>
    </row>
    <row r="420" spans="1:2" x14ac:dyDescent="0.3">
      <c r="A420" s="5" t="s">
        <v>1270</v>
      </c>
      <c r="B420" s="2">
        <v>228</v>
      </c>
    </row>
    <row r="421" spans="1:2" x14ac:dyDescent="0.3">
      <c r="A421" s="5" t="s">
        <v>538</v>
      </c>
      <c r="B421" s="2">
        <v>359</v>
      </c>
    </row>
    <row r="422" spans="1:2" x14ac:dyDescent="0.3">
      <c r="A422" s="5" t="s">
        <v>63</v>
      </c>
      <c r="B422" s="2">
        <v>414</v>
      </c>
    </row>
    <row r="423" spans="1:2" x14ac:dyDescent="0.3">
      <c r="A423" s="5" t="s">
        <v>498</v>
      </c>
      <c r="B423" s="2">
        <v>261</v>
      </c>
    </row>
    <row r="424" spans="1:2" x14ac:dyDescent="0.3">
      <c r="A424" s="5" t="s">
        <v>413</v>
      </c>
      <c r="B424" s="2">
        <v>304</v>
      </c>
    </row>
    <row r="425" spans="1:2" x14ac:dyDescent="0.3">
      <c r="A425" s="5" t="s">
        <v>182</v>
      </c>
      <c r="B425" s="2">
        <v>476</v>
      </c>
    </row>
    <row r="426" spans="1:2" x14ac:dyDescent="0.3">
      <c r="A426" s="5" t="s">
        <v>989</v>
      </c>
      <c r="B426" s="2">
        <v>577</v>
      </c>
    </row>
    <row r="427" spans="1:2" x14ac:dyDescent="0.3">
      <c r="A427" s="5" t="s">
        <v>2294</v>
      </c>
      <c r="B427" s="2">
        <v>306</v>
      </c>
    </row>
    <row r="428" spans="1:2" x14ac:dyDescent="0.3">
      <c r="A428" s="5" t="s">
        <v>80</v>
      </c>
      <c r="B428" s="2">
        <v>450</v>
      </c>
    </row>
    <row r="429" spans="1:2" x14ac:dyDescent="0.3">
      <c r="A429" s="5" t="s">
        <v>69</v>
      </c>
      <c r="B429" s="2">
        <v>748</v>
      </c>
    </row>
    <row r="430" spans="1:2" x14ac:dyDescent="0.3">
      <c r="A430" s="5" t="s">
        <v>163</v>
      </c>
      <c r="B430" s="2">
        <v>425</v>
      </c>
    </row>
    <row r="431" spans="1:2" x14ac:dyDescent="0.3">
      <c r="A431" s="5" t="s">
        <v>734</v>
      </c>
      <c r="B431" s="2">
        <v>540</v>
      </c>
    </row>
    <row r="432" spans="1:2" x14ac:dyDescent="0.3">
      <c r="A432" s="5" t="s">
        <v>360</v>
      </c>
      <c r="B432" s="2">
        <v>567</v>
      </c>
    </row>
    <row r="433" spans="1:2" x14ac:dyDescent="0.3">
      <c r="A433" s="5" t="s">
        <v>1198</v>
      </c>
      <c r="B433" s="2">
        <v>342</v>
      </c>
    </row>
    <row r="434" spans="1:2" x14ac:dyDescent="0.3">
      <c r="A434" s="5" t="s">
        <v>109</v>
      </c>
      <c r="B434" s="2">
        <v>534</v>
      </c>
    </row>
    <row r="435" spans="1:2" x14ac:dyDescent="0.3">
      <c r="A435" s="5" t="s">
        <v>469</v>
      </c>
      <c r="B435" s="2">
        <v>179</v>
      </c>
    </row>
    <row r="436" spans="1:2" x14ac:dyDescent="0.3">
      <c r="A436" s="5" t="s">
        <v>618</v>
      </c>
      <c r="B436" s="2">
        <v>492</v>
      </c>
    </row>
    <row r="437" spans="1:2" x14ac:dyDescent="0.3">
      <c r="A437" s="5" t="s">
        <v>1131</v>
      </c>
      <c r="B437" s="2">
        <v>820</v>
      </c>
    </row>
    <row r="438" spans="1:2" x14ac:dyDescent="0.3">
      <c r="A438" s="5" t="s">
        <v>75</v>
      </c>
      <c r="B438" s="2">
        <v>398</v>
      </c>
    </row>
    <row r="439" spans="1:2" x14ac:dyDescent="0.3">
      <c r="A439" s="5" t="s">
        <v>143</v>
      </c>
      <c r="B439" s="2">
        <v>415</v>
      </c>
    </row>
    <row r="440" spans="1:2" x14ac:dyDescent="0.3">
      <c r="A440" s="5" t="s">
        <v>292</v>
      </c>
      <c r="B440" s="2">
        <v>407</v>
      </c>
    </row>
    <row r="441" spans="1:2" x14ac:dyDescent="0.3">
      <c r="A441" s="5" t="s">
        <v>678</v>
      </c>
      <c r="B441" s="2">
        <v>484</v>
      </c>
    </row>
    <row r="442" spans="1:2" x14ac:dyDescent="0.3">
      <c r="A442" s="5" t="s">
        <v>202</v>
      </c>
      <c r="B442" s="2">
        <v>799</v>
      </c>
    </row>
    <row r="443" spans="1:2" x14ac:dyDescent="0.3">
      <c r="A443" s="5" t="s">
        <v>1172</v>
      </c>
      <c r="B443" s="2">
        <v>392</v>
      </c>
    </row>
    <row r="444" spans="1:2" x14ac:dyDescent="0.3">
      <c r="A444" s="5" t="s">
        <v>369</v>
      </c>
      <c r="B444" s="2">
        <v>546</v>
      </c>
    </row>
    <row r="445" spans="1:2" x14ac:dyDescent="0.3">
      <c r="A445" s="5" t="s">
        <v>197</v>
      </c>
      <c r="B445" s="2">
        <v>292</v>
      </c>
    </row>
    <row r="446" spans="1:2" x14ac:dyDescent="0.3">
      <c r="A446" s="5" t="s">
        <v>473</v>
      </c>
      <c r="B446" s="2">
        <v>620</v>
      </c>
    </row>
    <row r="447" spans="1:2" x14ac:dyDescent="0.3">
      <c r="A447" s="5" t="s">
        <v>1008</v>
      </c>
      <c r="B447" s="2">
        <v>324</v>
      </c>
    </row>
    <row r="448" spans="1:2" x14ac:dyDescent="0.3">
      <c r="A448" s="5" t="s">
        <v>262</v>
      </c>
      <c r="B448" s="2">
        <v>258</v>
      </c>
    </row>
    <row r="449" spans="1:2" x14ac:dyDescent="0.3">
      <c r="A449" s="5" t="s">
        <v>235</v>
      </c>
      <c r="B449" s="2">
        <v>602</v>
      </c>
    </row>
    <row r="450" spans="1:2" x14ac:dyDescent="0.3">
      <c r="A450" s="5" t="s">
        <v>518</v>
      </c>
      <c r="B450" s="2">
        <v>268</v>
      </c>
    </row>
    <row r="451" spans="1:2" x14ac:dyDescent="0.3">
      <c r="A451" s="5" t="s">
        <v>887</v>
      </c>
      <c r="B451" s="2">
        <v>308</v>
      </c>
    </row>
    <row r="452" spans="1:2" x14ac:dyDescent="0.3">
      <c r="A452" s="5" t="s">
        <v>45</v>
      </c>
      <c r="B452" s="2">
        <v>455</v>
      </c>
    </row>
    <row r="453" spans="1:2" x14ac:dyDescent="0.3">
      <c r="A453" s="5" t="s">
        <v>1048</v>
      </c>
      <c r="B453" s="2">
        <v>484</v>
      </c>
    </row>
    <row r="454" spans="1:2" x14ac:dyDescent="0.3">
      <c r="A454" s="5" t="s">
        <v>230</v>
      </c>
      <c r="B454" s="2">
        <v>725</v>
      </c>
    </row>
    <row r="455" spans="1:2" x14ac:dyDescent="0.3">
      <c r="A455" s="5" t="s">
        <v>1105</v>
      </c>
      <c r="B455" s="2">
        <v>160</v>
      </c>
    </row>
    <row r="456" spans="1:2" x14ac:dyDescent="0.3">
      <c r="A456" s="5" t="s">
        <v>350</v>
      </c>
      <c r="B456" s="2">
        <v>330</v>
      </c>
    </row>
    <row r="457" spans="1:2" x14ac:dyDescent="0.3">
      <c r="A457" s="5" t="s">
        <v>249</v>
      </c>
      <c r="B457" s="2">
        <v>517</v>
      </c>
    </row>
    <row r="458" spans="1:2" x14ac:dyDescent="0.3">
      <c r="A458" s="5" t="s">
        <v>168</v>
      </c>
      <c r="B458" s="2">
        <v>441</v>
      </c>
    </row>
    <row r="459" spans="1:2" x14ac:dyDescent="0.3">
      <c r="A459" s="5" t="s">
        <v>173</v>
      </c>
      <c r="B459" s="2">
        <v>294</v>
      </c>
    </row>
    <row r="460" spans="1:2" x14ac:dyDescent="0.3">
      <c r="A460" s="5" t="s">
        <v>192</v>
      </c>
      <c r="B460" s="2">
        <v>346</v>
      </c>
    </row>
    <row r="461" spans="1:2" x14ac:dyDescent="0.3">
      <c r="A461" s="5" t="s">
        <v>207</v>
      </c>
      <c r="B461" s="2">
        <v>543</v>
      </c>
    </row>
    <row r="462" spans="1:2" x14ac:dyDescent="0.3">
      <c r="A462" s="5" t="s">
        <v>280</v>
      </c>
      <c r="B462" s="2">
        <v>735</v>
      </c>
    </row>
    <row r="463" spans="1:2" x14ac:dyDescent="0.3">
      <c r="A463" s="5" t="s">
        <v>461</v>
      </c>
      <c r="B463" s="2">
        <v>430</v>
      </c>
    </row>
    <row r="464" spans="1:2" x14ac:dyDescent="0.3">
      <c r="A464" s="5" t="s">
        <v>1211</v>
      </c>
      <c r="B464" s="2">
        <v>429</v>
      </c>
    </row>
    <row r="465" spans="1:2" x14ac:dyDescent="0.3">
      <c r="A465" s="5" t="s">
        <v>153</v>
      </c>
      <c r="B465" s="2">
        <v>593</v>
      </c>
    </row>
    <row r="466" spans="1:2" x14ac:dyDescent="0.3">
      <c r="A466" s="5" t="s">
        <v>560</v>
      </c>
      <c r="B466" s="2">
        <v>438</v>
      </c>
    </row>
    <row r="467" spans="1:2" x14ac:dyDescent="0.3">
      <c r="A467" s="5" t="s">
        <v>441</v>
      </c>
      <c r="B467" s="2">
        <v>413</v>
      </c>
    </row>
    <row r="468" spans="1:2" x14ac:dyDescent="0.3">
      <c r="A468" s="5" t="s">
        <v>177</v>
      </c>
      <c r="B468" s="2">
        <v>537</v>
      </c>
    </row>
    <row r="469" spans="1:2" x14ac:dyDescent="0.3">
      <c r="A469" s="5" t="s">
        <v>408</v>
      </c>
      <c r="B469" s="2">
        <v>383</v>
      </c>
    </row>
    <row r="470" spans="1:2" x14ac:dyDescent="0.3">
      <c r="A470" s="5" t="s">
        <v>187</v>
      </c>
      <c r="B470" s="2">
        <v>420</v>
      </c>
    </row>
    <row r="471" spans="1:2" x14ac:dyDescent="0.3">
      <c r="A471" s="5" t="s">
        <v>51</v>
      </c>
      <c r="B471" s="2">
        <v>411</v>
      </c>
    </row>
    <row r="472" spans="1:2" x14ac:dyDescent="0.3">
      <c r="A472" s="5" t="s">
        <v>551</v>
      </c>
      <c r="B472" s="2">
        <v>766</v>
      </c>
    </row>
    <row r="473" spans="1:2" x14ac:dyDescent="0.3">
      <c r="A473" s="5" t="s">
        <v>395</v>
      </c>
      <c r="B473" s="2">
        <v>194</v>
      </c>
    </row>
    <row r="474" spans="1:2" x14ac:dyDescent="0.3">
      <c r="A474" s="5" t="s">
        <v>693</v>
      </c>
      <c r="B474" s="2">
        <v>491</v>
      </c>
    </row>
    <row r="475" spans="1:2" x14ac:dyDescent="0.3">
      <c r="A475" s="5" t="s">
        <v>158</v>
      </c>
      <c r="B475" s="2">
        <v>312</v>
      </c>
    </row>
    <row r="476" spans="1:2" x14ac:dyDescent="0.3">
      <c r="A476" s="5" t="s">
        <v>478</v>
      </c>
      <c r="B476" s="2">
        <v>288</v>
      </c>
    </row>
    <row r="477" spans="1:2" x14ac:dyDescent="0.3">
      <c r="A477" s="5" t="s">
        <v>334</v>
      </c>
      <c r="B477" s="2">
        <v>604</v>
      </c>
    </row>
    <row r="478" spans="1:2" x14ac:dyDescent="0.3">
      <c r="A478" s="5" t="s">
        <v>781</v>
      </c>
      <c r="B478" s="2">
        <v>398</v>
      </c>
    </row>
    <row r="479" spans="1:2" x14ac:dyDescent="0.3">
      <c r="A479" s="5" t="s">
        <v>94</v>
      </c>
      <c r="B479" s="2">
        <v>431</v>
      </c>
    </row>
    <row r="480" spans="1:2" x14ac:dyDescent="0.3">
      <c r="A480" s="5" t="s">
        <v>1485</v>
      </c>
      <c r="B480" s="2">
        <v>605</v>
      </c>
    </row>
    <row r="481" spans="1:2" x14ac:dyDescent="0.3">
      <c r="A481" s="5" t="s">
        <v>308</v>
      </c>
      <c r="B481" s="2">
        <v>371</v>
      </c>
    </row>
    <row r="482" spans="1:2" x14ac:dyDescent="0.3">
      <c r="A482" s="5" t="s">
        <v>743</v>
      </c>
      <c r="B482" s="2">
        <v>723</v>
      </c>
    </row>
    <row r="483" spans="1:2" x14ac:dyDescent="0.3">
      <c r="A483" s="5" t="s">
        <v>225</v>
      </c>
      <c r="B483" s="2">
        <v>314</v>
      </c>
    </row>
    <row r="484" spans="1:2" x14ac:dyDescent="0.3">
      <c r="A484" s="5" t="s">
        <v>651</v>
      </c>
      <c r="B484" s="2">
        <v>278</v>
      </c>
    </row>
    <row r="485" spans="1:2" x14ac:dyDescent="0.3">
      <c r="A485" s="5" t="s">
        <v>271</v>
      </c>
      <c r="B485" s="2">
        <v>480</v>
      </c>
    </row>
    <row r="486" spans="1:2" x14ac:dyDescent="0.3">
      <c r="A486" s="5" t="s">
        <v>132</v>
      </c>
      <c r="B486" s="2">
        <v>330</v>
      </c>
    </row>
    <row r="487" spans="1:2" x14ac:dyDescent="0.3">
      <c r="A487" s="5" t="s">
        <v>104</v>
      </c>
      <c r="B487" s="2">
        <v>279</v>
      </c>
    </row>
    <row r="488" spans="1:2" x14ac:dyDescent="0.3">
      <c r="A488" s="5" t="s">
        <v>870</v>
      </c>
      <c r="B488" s="2">
        <v>341</v>
      </c>
    </row>
    <row r="489" spans="1:2" x14ac:dyDescent="0.3">
      <c r="A489" s="5" t="s">
        <v>23</v>
      </c>
      <c r="B489" s="2">
        <v>470</v>
      </c>
    </row>
    <row r="490" spans="1:2" x14ac:dyDescent="0.3">
      <c r="A490" s="5" t="s">
        <v>1537</v>
      </c>
      <c r="B490" s="2">
        <v>433</v>
      </c>
    </row>
    <row r="491" spans="1:2" x14ac:dyDescent="0.3">
      <c r="A491" s="5" t="s">
        <v>119</v>
      </c>
      <c r="B491" s="2">
        <v>636</v>
      </c>
    </row>
    <row r="492" spans="1:2" x14ac:dyDescent="0.3">
      <c r="A492" s="5" t="s">
        <v>514</v>
      </c>
      <c r="B492" s="2">
        <v>656</v>
      </c>
    </row>
    <row r="493" spans="1:2" x14ac:dyDescent="0.3">
      <c r="A493" s="5" t="s">
        <v>1274</v>
      </c>
      <c r="B493" s="2">
        <v>271</v>
      </c>
    </row>
    <row r="494" spans="1:2" x14ac:dyDescent="0.3">
      <c r="A494" s="5" t="s">
        <v>137</v>
      </c>
      <c r="B494" s="2">
        <v>517</v>
      </c>
    </row>
    <row r="495" spans="1:2" x14ac:dyDescent="0.3">
      <c r="A495" s="5" t="s">
        <v>630</v>
      </c>
      <c r="B495" s="2">
        <v>602</v>
      </c>
    </row>
    <row r="496" spans="1:2" x14ac:dyDescent="0.3">
      <c r="A496" s="5" t="s">
        <v>1439</v>
      </c>
      <c r="B496" s="2">
        <v>263</v>
      </c>
    </row>
    <row r="497" spans="1:2" x14ac:dyDescent="0.3">
      <c r="A497" s="5" t="s">
        <v>716</v>
      </c>
      <c r="B497" s="2">
        <v>335</v>
      </c>
    </row>
    <row r="498" spans="1:2" x14ac:dyDescent="0.3">
      <c r="A498" s="5" t="s">
        <v>786</v>
      </c>
      <c r="B498" s="2">
        <v>461</v>
      </c>
    </row>
    <row r="499" spans="1:2" x14ac:dyDescent="0.3">
      <c r="A499" s="5" t="s">
        <v>502</v>
      </c>
      <c r="B499" s="2">
        <v>364</v>
      </c>
    </row>
    <row r="500" spans="1:2" x14ac:dyDescent="0.3">
      <c r="A500" s="5" t="s">
        <v>288</v>
      </c>
      <c r="B500" s="2">
        <v>586</v>
      </c>
    </row>
    <row r="501" spans="1:2" x14ac:dyDescent="0.3">
      <c r="A501" s="5" t="s">
        <v>595</v>
      </c>
      <c r="B501" s="2">
        <v>172</v>
      </c>
    </row>
    <row r="502" spans="1:2" x14ac:dyDescent="0.3">
      <c r="A502" s="5" t="s">
        <v>89</v>
      </c>
      <c r="B502" s="2">
        <v>429</v>
      </c>
    </row>
    <row r="503" spans="1:2" x14ac:dyDescent="0.3">
      <c r="A503" s="5" t="s">
        <v>342</v>
      </c>
      <c r="B503" s="2">
        <v>592</v>
      </c>
    </row>
    <row r="504" spans="1:2" x14ac:dyDescent="0.3">
      <c r="A504" s="5" t="s">
        <v>1557</v>
      </c>
      <c r="B504" s="2">
        <v>202</v>
      </c>
    </row>
    <row r="505" spans="1:2" x14ac:dyDescent="0.3">
      <c r="A505" s="5" t="s">
        <v>777</v>
      </c>
      <c r="B505" s="2">
        <v>472</v>
      </c>
    </row>
    <row r="506" spans="1:2" x14ac:dyDescent="0.3">
      <c r="A506" s="5" t="s">
        <v>1474</v>
      </c>
      <c r="B506" s="2">
        <v>392</v>
      </c>
    </row>
    <row r="507" spans="1:2" x14ac:dyDescent="0.3">
      <c r="A507" s="5" t="s">
        <v>1224</v>
      </c>
      <c r="B507" s="2">
        <v>608</v>
      </c>
    </row>
    <row r="508" spans="1:2" x14ac:dyDescent="0.3">
      <c r="A508" s="5" t="s">
        <v>220</v>
      </c>
      <c r="B508" s="2">
        <v>563</v>
      </c>
    </row>
    <row r="509" spans="1:2" x14ac:dyDescent="0.3">
      <c r="A509" s="5" t="s">
        <v>3481</v>
      </c>
      <c r="B509" s="2">
        <v>55053</v>
      </c>
    </row>
    <row r="512" spans="1:2" x14ac:dyDescent="0.3">
      <c r="A512" s="5" t="s">
        <v>3500</v>
      </c>
    </row>
    <row r="533" spans="1:1" x14ac:dyDescent="0.3">
      <c r="A533" t="s">
        <v>3501</v>
      </c>
    </row>
    <row r="554" spans="1:1" x14ac:dyDescent="0.3">
      <c r="A554" t="s">
        <v>3502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3A8A-EE55-4431-836C-A37DF764E44D}">
  <dimension ref="A1:B48"/>
  <sheetViews>
    <sheetView topLeftCell="A30" workbookViewId="0">
      <selection activeCell="C30" sqref="C30"/>
    </sheetView>
  </sheetViews>
  <sheetFormatPr defaultRowHeight="14.4" x14ac:dyDescent="0.3"/>
  <cols>
    <col min="1" max="1" width="16.6640625" bestFit="1" customWidth="1"/>
    <col min="2" max="2" width="31.33203125" bestFit="1" customWidth="1"/>
  </cols>
  <sheetData>
    <row r="1" spans="1:2" x14ac:dyDescent="0.3">
      <c r="A1" t="s">
        <v>3490</v>
      </c>
    </row>
    <row r="3" spans="1:2" x14ac:dyDescent="0.3">
      <c r="A3" s="4" t="s">
        <v>3479</v>
      </c>
      <c r="B3" t="s">
        <v>3482</v>
      </c>
    </row>
    <row r="4" spans="1:2" x14ac:dyDescent="0.3">
      <c r="A4" s="5" t="s">
        <v>95</v>
      </c>
      <c r="B4" s="3">
        <v>16788.8</v>
      </c>
    </row>
    <row r="5" spans="1:2" x14ac:dyDescent="0.3">
      <c r="A5" s="5" t="s">
        <v>33</v>
      </c>
      <c r="B5" s="3">
        <v>62942.25</v>
      </c>
    </row>
    <row r="6" spans="1:2" x14ac:dyDescent="0.3">
      <c r="A6" s="5" t="s">
        <v>70</v>
      </c>
      <c r="B6" s="3">
        <v>50601.94999999999</v>
      </c>
    </row>
    <row r="7" spans="1:2" x14ac:dyDescent="0.3">
      <c r="A7" s="5" t="s">
        <v>52</v>
      </c>
      <c r="B7" s="3">
        <v>86033.159999999989</v>
      </c>
    </row>
    <row r="8" spans="1:2" x14ac:dyDescent="0.3">
      <c r="A8" s="5" t="s">
        <v>24</v>
      </c>
      <c r="B8" s="3">
        <v>31969.200000000001</v>
      </c>
    </row>
    <row r="9" spans="1:2" x14ac:dyDescent="0.3">
      <c r="A9" s="5" t="s">
        <v>64</v>
      </c>
      <c r="B9" s="3">
        <v>17211.500000000004</v>
      </c>
    </row>
    <row r="10" spans="1:2" x14ac:dyDescent="0.3">
      <c r="A10" s="5" t="s">
        <v>138</v>
      </c>
      <c r="B10" s="3">
        <v>62515.899999999994</v>
      </c>
    </row>
    <row r="11" spans="1:2" x14ac:dyDescent="0.3">
      <c r="A11" s="5" t="s">
        <v>3480</v>
      </c>
      <c r="B11" s="3">
        <v>4591.95</v>
      </c>
    </row>
    <row r="12" spans="1:2" x14ac:dyDescent="0.3">
      <c r="A12" s="5" t="s">
        <v>3481</v>
      </c>
      <c r="B12" s="3">
        <v>332654.71000000002</v>
      </c>
    </row>
    <row r="24" spans="1:2" x14ac:dyDescent="0.3">
      <c r="A24" s="4" t="s">
        <v>3479</v>
      </c>
      <c r="B24" t="s">
        <v>3489</v>
      </c>
    </row>
    <row r="25" spans="1:2" x14ac:dyDescent="0.3">
      <c r="A25" s="5" t="s">
        <v>95</v>
      </c>
      <c r="B25" s="3">
        <v>1021551.6000000001</v>
      </c>
    </row>
    <row r="26" spans="1:2" x14ac:dyDescent="0.3">
      <c r="A26" s="5" t="s">
        <v>33</v>
      </c>
      <c r="B26" s="3">
        <v>3848843.85</v>
      </c>
    </row>
    <row r="27" spans="1:2" x14ac:dyDescent="0.3">
      <c r="A27" s="5" t="s">
        <v>70</v>
      </c>
      <c r="B27" s="3">
        <v>3099638.8499999996</v>
      </c>
    </row>
    <row r="28" spans="1:2" x14ac:dyDescent="0.3">
      <c r="A28" s="5" t="s">
        <v>52</v>
      </c>
      <c r="B28" s="3">
        <v>5101257.5900000008</v>
      </c>
    </row>
    <row r="29" spans="1:2" x14ac:dyDescent="0.3">
      <c r="A29" s="5" t="s">
        <v>24</v>
      </c>
      <c r="B29" s="3">
        <v>1699582.55</v>
      </c>
    </row>
    <row r="30" spans="1:2" x14ac:dyDescent="0.3">
      <c r="A30" s="5" t="s">
        <v>64</v>
      </c>
      <c r="B30" s="3">
        <v>1042268.8</v>
      </c>
    </row>
    <row r="31" spans="1:2" x14ac:dyDescent="0.3">
      <c r="A31" s="5" t="s">
        <v>138</v>
      </c>
      <c r="B31" s="3">
        <v>3823243</v>
      </c>
    </row>
    <row r="32" spans="1:2" x14ac:dyDescent="0.3">
      <c r="A32" s="5" t="s">
        <v>3480</v>
      </c>
      <c r="B32" s="3">
        <v>165310.19999999998</v>
      </c>
    </row>
    <row r="33" spans="1:2" x14ac:dyDescent="0.3">
      <c r="A33" s="5" t="s">
        <v>3481</v>
      </c>
      <c r="B33" s="3">
        <v>19801696.440000001</v>
      </c>
    </row>
    <row r="39" spans="1:2" x14ac:dyDescent="0.3">
      <c r="A39" s="4" t="s">
        <v>3479</v>
      </c>
      <c r="B39" t="s">
        <v>3492</v>
      </c>
    </row>
    <row r="40" spans="1:2" x14ac:dyDescent="0.3">
      <c r="A40" s="5" t="s">
        <v>95</v>
      </c>
      <c r="B40" s="3">
        <v>1004762.8</v>
      </c>
    </row>
    <row r="41" spans="1:2" x14ac:dyDescent="0.3">
      <c r="A41" s="5" t="s">
        <v>33</v>
      </c>
      <c r="B41" s="3">
        <v>3785901.6</v>
      </c>
    </row>
    <row r="42" spans="1:2" x14ac:dyDescent="0.3">
      <c r="A42" s="5" t="s">
        <v>70</v>
      </c>
      <c r="B42" s="3">
        <v>3049036.8999999994</v>
      </c>
    </row>
    <row r="43" spans="1:2" x14ac:dyDescent="0.3">
      <c r="A43" s="5" t="s">
        <v>52</v>
      </c>
      <c r="B43" s="3">
        <v>5015224.43</v>
      </c>
    </row>
    <row r="44" spans="1:2" x14ac:dyDescent="0.3">
      <c r="A44" s="5" t="s">
        <v>24</v>
      </c>
      <c r="B44" s="3">
        <v>1667613.35</v>
      </c>
    </row>
    <row r="45" spans="1:2" x14ac:dyDescent="0.3">
      <c r="A45" s="5" t="s">
        <v>64</v>
      </c>
      <c r="B45" s="3">
        <v>1025057.3</v>
      </c>
    </row>
    <row r="46" spans="1:2" x14ac:dyDescent="0.3">
      <c r="A46" s="5" t="s">
        <v>138</v>
      </c>
      <c r="B46" s="3">
        <v>3760727.1</v>
      </c>
    </row>
    <row r="47" spans="1:2" x14ac:dyDescent="0.3">
      <c r="A47" s="5" t="s">
        <v>3480</v>
      </c>
      <c r="B47" s="3">
        <v>160718.24999999997</v>
      </c>
    </row>
    <row r="48" spans="1:2" x14ac:dyDescent="0.3">
      <c r="A48" s="5" t="s">
        <v>3481</v>
      </c>
      <c r="B48" s="3">
        <v>19469041.73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Grocery_Inventory_and_Sales_Dat</vt:lpstr>
      <vt:lpstr>EDA</vt:lpstr>
      <vt:lpstr>Graphical Representations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Baggu Prameela Rani</dc:creator>
  <cp:lastModifiedBy>Baggu Prameela Rani</cp:lastModifiedBy>
  <dcterms:created xsi:type="dcterms:W3CDTF">2026-02-27T04:11:39Z</dcterms:created>
  <dcterms:modified xsi:type="dcterms:W3CDTF">2026-03-05T04:04:59Z</dcterms:modified>
</cp:coreProperties>
</file>